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selec-my.sharepoint.com/personal/badara_thiaw_coselec_sn/Documents/Documents/MAGASIN/"/>
    </mc:Choice>
  </mc:AlternateContent>
  <xr:revisionPtr revIDLastSave="11" documentId="8_{EF8ADF7D-9659-4906-9C76-AB6B176082D1}" xr6:coauthVersionLast="47" xr6:coauthVersionMax="47" xr10:uidLastSave="{72F13024-CA15-4093-A8FA-F38D461416E6}"/>
  <bookViews>
    <workbookView xWindow="-120" yWindow="-120" windowWidth="29040" windowHeight="15840" xr2:uid="{E306FB11-390B-40DA-A7F6-B083675F0FD6}"/>
  </bookViews>
  <sheets>
    <sheet name="Inventaire exercise 2025 valeur" sheetId="1" r:id="rId1"/>
  </sheets>
  <definedNames>
    <definedName name="_1Macros_.Commentaires" localSheetId="0">'Inventaire exercise 2025 valeur'!_1Macros_.Commentaires</definedName>
    <definedName name="_1Macros_.Commentaires">#N/A</definedName>
    <definedName name="_2Macros_.Commentaires" localSheetId="0">'Inventaire exercise 2025 valeur'!_2Macros_.Commentaires</definedName>
    <definedName name="_2Macros_.Commentaires">#N/A</definedName>
    <definedName name="_3Macros_.Commentaires" localSheetId="0">#N/A</definedName>
    <definedName name="_3Macros_.Commentaires">#N/A</definedName>
    <definedName name="_4Macros_.Commentaires">#N/A</definedName>
    <definedName name="_Com1" localSheetId="0">#REF!</definedName>
    <definedName name="_Com1">#REF!</definedName>
    <definedName name="_Com2" localSheetId="0">#REF!</definedName>
    <definedName name="_Com2">#REF!</definedName>
    <definedName name="BALANCE000999" localSheetId="0">#REF!</definedName>
    <definedName name="BALANCE000999">#REF!</definedName>
    <definedName name="bilan">#N/A</definedName>
    <definedName name="Caseàcocher10_QuandClic">#N/A</definedName>
    <definedName name="Caseàcocher42_QuandClic">#N/A</definedName>
    <definedName name="Charges">#N/A</definedName>
    <definedName name="Choix_Imprimantes">#N/A</definedName>
    <definedName name="coeff" localSheetId="0">#REF!</definedName>
    <definedName name="coeff">#REF!</definedName>
    <definedName name="CoeffC" localSheetId="0">#REF!</definedName>
    <definedName name="CoeffC">#REF!</definedName>
    <definedName name="Coin" localSheetId="0">#REF!</definedName>
    <definedName name="Coin">#REF!</definedName>
    <definedName name="commentaires">#N/A</definedName>
    <definedName name="Désactiver">#N/A</definedName>
    <definedName name="edition">#N/A</definedName>
    <definedName name="ETXAcces">"ETAT.ACC"</definedName>
    <definedName name="Evolution">#N/A</definedName>
    <definedName name="Financement">#N/A</definedName>
    <definedName name="Garde">#N/A</definedName>
    <definedName name="ImpGestion">#N/A</definedName>
    <definedName name="Impression_Caseàcocher43_QuandClic">#N/A</definedName>
    <definedName name="_xlnm.Print_Titles" localSheetId="0">'Inventaire exercise 2025 valeur'!$5:$7</definedName>
    <definedName name="Macros.bilan">#N/A</definedName>
    <definedName name="Macros.Charges">#N/A</definedName>
    <definedName name="Macros.Commentaires">#N/A</definedName>
    <definedName name="Macros.Detail">#N/A</definedName>
    <definedName name="Macros.Evolution">#N/A</definedName>
    <definedName name="Macros.Financement">#N/A</definedName>
    <definedName name="Macros.Garde">#N/A</definedName>
    <definedName name="Macros.ratio1">#N/A</definedName>
    <definedName name="Macros.ratio2">#N/A</definedName>
    <definedName name="Macros.resultat">#N/A</definedName>
    <definedName name="Macros.Retour_Menu">#N/A</definedName>
    <definedName name="Macros.Saisie">#N/A</definedName>
    <definedName name="NOPAGE">1</definedName>
    <definedName name="Prixtableau" localSheetId="0">#REF!</definedName>
    <definedName name="Prixtableau">#REF!</definedName>
    <definedName name="ratio1">#N/A</definedName>
    <definedName name="ratio2">#N/A</definedName>
    <definedName name="resultat">#N/A</definedName>
    <definedName name="Retour_Menu">#N/A</definedName>
    <definedName name="Saisie">#N/A</definedName>
    <definedName name="select">#N/A</definedName>
    <definedName name="So">3</definedName>
    <definedName name="St">1</definedName>
    <definedName name="TdcA" localSheetId="0">#REF!</definedName>
    <definedName name="TdcA">#REF!</definedName>
    <definedName name="TdcC" localSheetId="0">#REF!</definedName>
    <definedName name="TdcC">#REF!</definedName>
    <definedName name="TdcV" localSheetId="0">#REF!</definedName>
    <definedName name="TdcV">#REF!</definedName>
    <definedName name="TOTO" localSheetId="0">#REF!</definedName>
    <definedName name="TOTO">#REF!</definedName>
    <definedName name="TRANCHÉE" localSheetId="0">#REF!</definedName>
    <definedName name="TRANCHÉE">#REF!</definedName>
    <definedName name="wrn.Etafi." localSheetId="0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wrn.Etafi." hidden="1">{#N/A,#N/A,FALSE,"SIG";#N/A,#N/A,FALSE,"Graphe_SIG";#N/A,#N/A,FALSE,"CAF";#N/A,#N/A,FALSE,"VA";#N/A,#N/A,FALSE,"Autofinancement";#N/A,#N/A,FALSE,"BILAN";#N/A,#N/A,FALSE,"FR";#N/A,#N/A,FALSE,"Exploitation";#N/A,#N/A,FALSE,"Rentabilité";#N/A,#N/A,FALSE,"Profit";#N/A,#N/A,FALSE,"Financier";#N/A,#N/A,FALSE,"Trésorerie"}</definedName>
    <definedName name="_xlnm.Print_Area" localSheetId="0">'Inventaire exercise 2025 valeur'!$A$1:$BF$786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786" i="1" l="1"/>
  <c r="BM785" i="1"/>
  <c r="BP784" i="1"/>
  <c r="BM784" i="1"/>
  <c r="BH784" i="1"/>
  <c r="AY784" i="1"/>
  <c r="AW784" i="1"/>
  <c r="AU784" i="1"/>
  <c r="AV784" i="1" s="1"/>
  <c r="AS784" i="1"/>
  <c r="AT784" i="1" s="1"/>
  <c r="AR784" i="1"/>
  <c r="AQ784" i="1"/>
  <c r="AP784" i="1"/>
  <c r="AO784" i="1"/>
  <c r="AN784" i="1"/>
  <c r="AM784" i="1"/>
  <c r="AK784" i="1"/>
  <c r="AL784" i="1" s="1"/>
  <c r="BB784" i="1" s="1"/>
  <c r="AJ784" i="1"/>
  <c r="AX784" i="1" s="1"/>
  <c r="AI784" i="1"/>
  <c r="AH784" i="1"/>
  <c r="AG784" i="1"/>
  <c r="AD784" i="1"/>
  <c r="BP783" i="1"/>
  <c r="BM783" i="1"/>
  <c r="BH783" i="1"/>
  <c r="AY783" i="1"/>
  <c r="AW783" i="1"/>
  <c r="AV783" i="1"/>
  <c r="AU783" i="1"/>
  <c r="AT783" i="1"/>
  <c r="AS783" i="1"/>
  <c r="AR783" i="1"/>
  <c r="AQ783" i="1"/>
  <c r="AO783" i="1"/>
  <c r="AP783" i="1" s="1"/>
  <c r="AM783" i="1"/>
  <c r="AN783" i="1" s="1"/>
  <c r="AZ783" i="1" s="1"/>
  <c r="AK783" i="1"/>
  <c r="AL783" i="1" s="1"/>
  <c r="AI783" i="1"/>
  <c r="AJ783" i="1" s="1"/>
  <c r="AG783" i="1"/>
  <c r="AH783" i="1" s="1"/>
  <c r="AD783" i="1"/>
  <c r="BP782" i="1"/>
  <c r="BM782" i="1"/>
  <c r="BH782" i="1"/>
  <c r="AY782" i="1"/>
  <c r="AW782" i="1"/>
  <c r="AU782" i="1"/>
  <c r="AV782" i="1" s="1"/>
  <c r="AS782" i="1"/>
  <c r="AT782" i="1" s="1"/>
  <c r="BD782" i="1" s="1"/>
  <c r="AQ782" i="1"/>
  <c r="AR782" i="1" s="1"/>
  <c r="AP782" i="1"/>
  <c r="BC782" i="1" s="1"/>
  <c r="AO782" i="1"/>
  <c r="AM782" i="1"/>
  <c r="AN782" i="1" s="1"/>
  <c r="AK782" i="1"/>
  <c r="AL782" i="1" s="1"/>
  <c r="AI782" i="1"/>
  <c r="AJ782" i="1" s="1"/>
  <c r="AG782" i="1"/>
  <c r="AH782" i="1" s="1"/>
  <c r="BA782" i="1" s="1"/>
  <c r="AD782" i="1"/>
  <c r="BP781" i="1"/>
  <c r="BM781" i="1"/>
  <c r="BH781" i="1"/>
  <c r="AY781" i="1"/>
  <c r="AZ781" i="1" s="1"/>
  <c r="AW781" i="1"/>
  <c r="AU781" i="1"/>
  <c r="AV781" i="1" s="1"/>
  <c r="AS781" i="1"/>
  <c r="AT781" i="1" s="1"/>
  <c r="AQ781" i="1"/>
  <c r="AR781" i="1" s="1"/>
  <c r="AO781" i="1"/>
  <c r="AP781" i="1" s="1"/>
  <c r="AN781" i="1"/>
  <c r="AX781" i="1" s="1"/>
  <c r="AM781" i="1"/>
  <c r="AK781" i="1"/>
  <c r="AL781" i="1" s="1"/>
  <c r="AJ781" i="1"/>
  <c r="AI781" i="1"/>
  <c r="AG781" i="1"/>
  <c r="AH781" i="1" s="1"/>
  <c r="BA781" i="1" s="1"/>
  <c r="AD781" i="1"/>
  <c r="BP780" i="1"/>
  <c r="BM780" i="1"/>
  <c r="BH780" i="1"/>
  <c r="AY780" i="1"/>
  <c r="AW780" i="1"/>
  <c r="AU780" i="1"/>
  <c r="AV780" i="1" s="1"/>
  <c r="BD780" i="1" s="1"/>
  <c r="AT780" i="1"/>
  <c r="AS780" i="1"/>
  <c r="AQ780" i="1"/>
  <c r="AR780" i="1" s="1"/>
  <c r="AO780" i="1"/>
  <c r="AP780" i="1" s="1"/>
  <c r="AM780" i="1"/>
  <c r="AN780" i="1" s="1"/>
  <c r="AK780" i="1"/>
  <c r="AL780" i="1" s="1"/>
  <c r="BB780" i="1" s="1"/>
  <c r="AI780" i="1"/>
  <c r="AJ780" i="1" s="1"/>
  <c r="AG780" i="1"/>
  <c r="AH780" i="1" s="1"/>
  <c r="AD780" i="1"/>
  <c r="BP779" i="1"/>
  <c r="BM779" i="1"/>
  <c r="BH779" i="1"/>
  <c r="AY779" i="1"/>
  <c r="AW779" i="1"/>
  <c r="AU779" i="1"/>
  <c r="AV779" i="1" s="1"/>
  <c r="AS779" i="1"/>
  <c r="AT779" i="1" s="1"/>
  <c r="AR779" i="1"/>
  <c r="AQ779" i="1"/>
  <c r="AP779" i="1"/>
  <c r="AO779" i="1"/>
  <c r="AM779" i="1"/>
  <c r="AN779" i="1" s="1"/>
  <c r="AL779" i="1"/>
  <c r="AK779" i="1"/>
  <c r="AI779" i="1"/>
  <c r="AJ779" i="1" s="1"/>
  <c r="AG779" i="1"/>
  <c r="AH779" i="1" s="1"/>
  <c r="BA779" i="1" s="1"/>
  <c r="AD779" i="1"/>
  <c r="BP778" i="1"/>
  <c r="BM778" i="1"/>
  <c r="BH778" i="1"/>
  <c r="AY778" i="1"/>
  <c r="AW778" i="1"/>
  <c r="AU778" i="1"/>
  <c r="AV778" i="1" s="1"/>
  <c r="AS778" i="1"/>
  <c r="AT778" i="1" s="1"/>
  <c r="AR778" i="1"/>
  <c r="AQ778" i="1"/>
  <c r="AP778" i="1"/>
  <c r="BC778" i="1" s="1"/>
  <c r="AO778" i="1"/>
  <c r="AM778" i="1"/>
  <c r="AN778" i="1" s="1"/>
  <c r="AK778" i="1"/>
  <c r="AL778" i="1" s="1"/>
  <c r="AI778" i="1"/>
  <c r="AJ778" i="1" s="1"/>
  <c r="AG778" i="1"/>
  <c r="AH778" i="1" s="1"/>
  <c r="BA778" i="1" s="1"/>
  <c r="AD778" i="1"/>
  <c r="BP777" i="1"/>
  <c r="BM777" i="1"/>
  <c r="BH777" i="1"/>
  <c r="AY777" i="1"/>
  <c r="AW777" i="1"/>
  <c r="AU777" i="1"/>
  <c r="AV777" i="1" s="1"/>
  <c r="AS777" i="1"/>
  <c r="AT777" i="1" s="1"/>
  <c r="BD777" i="1" s="1"/>
  <c r="AR777" i="1"/>
  <c r="AQ777" i="1"/>
  <c r="AP777" i="1"/>
  <c r="AO777" i="1"/>
  <c r="AM777" i="1"/>
  <c r="AN777" i="1" s="1"/>
  <c r="AX777" i="1" s="1"/>
  <c r="AL777" i="1"/>
  <c r="AK777" i="1"/>
  <c r="AI777" i="1"/>
  <c r="AJ777" i="1" s="1"/>
  <c r="AG777" i="1"/>
  <c r="AH777" i="1" s="1"/>
  <c r="AD777" i="1"/>
  <c r="BP776" i="1"/>
  <c r="BM776" i="1"/>
  <c r="BH776" i="1"/>
  <c r="AY776" i="1"/>
  <c r="AW776" i="1"/>
  <c r="AU776" i="1"/>
  <c r="AV776" i="1" s="1"/>
  <c r="AT776" i="1"/>
  <c r="BD776" i="1" s="1"/>
  <c r="AS776" i="1"/>
  <c r="AQ776" i="1"/>
  <c r="AR776" i="1" s="1"/>
  <c r="AO776" i="1"/>
  <c r="AP776" i="1" s="1"/>
  <c r="AM776" i="1"/>
  <c r="AN776" i="1" s="1"/>
  <c r="AK776" i="1"/>
  <c r="AL776" i="1" s="1"/>
  <c r="BB776" i="1" s="1"/>
  <c r="AJ776" i="1"/>
  <c r="AI776" i="1"/>
  <c r="AG776" i="1"/>
  <c r="AH776" i="1" s="1"/>
  <c r="AD776" i="1"/>
  <c r="BP775" i="1"/>
  <c r="BM775" i="1"/>
  <c r="BH775" i="1"/>
  <c r="AY775" i="1"/>
  <c r="AW775" i="1"/>
  <c r="AX775" i="1" s="1"/>
  <c r="AV775" i="1"/>
  <c r="AU775" i="1"/>
  <c r="AS775" i="1"/>
  <c r="AT775" i="1" s="1"/>
  <c r="AR775" i="1"/>
  <c r="AQ775" i="1"/>
  <c r="AO775" i="1"/>
  <c r="AP775" i="1" s="1"/>
  <c r="AM775" i="1"/>
  <c r="AN775" i="1" s="1"/>
  <c r="AK775" i="1"/>
  <c r="AL775" i="1" s="1"/>
  <c r="AI775" i="1"/>
  <c r="AJ775" i="1" s="1"/>
  <c r="AG775" i="1"/>
  <c r="AH775" i="1" s="1"/>
  <c r="BA775" i="1" s="1"/>
  <c r="AD775" i="1"/>
  <c r="BP774" i="1"/>
  <c r="BM774" i="1"/>
  <c r="BH774" i="1"/>
  <c r="AY774" i="1"/>
  <c r="AW774" i="1"/>
  <c r="AV774" i="1"/>
  <c r="AU774" i="1"/>
  <c r="AS774" i="1"/>
  <c r="AT774" i="1" s="1"/>
  <c r="BD774" i="1" s="1"/>
  <c r="AQ774" i="1"/>
  <c r="AR774" i="1" s="1"/>
  <c r="AP774" i="1"/>
  <c r="AO774" i="1"/>
  <c r="AM774" i="1"/>
  <c r="AN774" i="1" s="1"/>
  <c r="AX774" i="1" s="1"/>
  <c r="AL774" i="1"/>
  <c r="BB774" i="1" s="1"/>
  <c r="AK774" i="1"/>
  <c r="AI774" i="1"/>
  <c r="AJ774" i="1" s="1"/>
  <c r="AG774" i="1"/>
  <c r="AH774" i="1" s="1"/>
  <c r="AD774" i="1"/>
  <c r="BP773" i="1"/>
  <c r="BM773" i="1"/>
  <c r="BH773" i="1"/>
  <c r="AY773" i="1"/>
  <c r="AW773" i="1"/>
  <c r="AV773" i="1"/>
  <c r="AU773" i="1"/>
  <c r="AS773" i="1"/>
  <c r="AT773" i="1" s="1"/>
  <c r="BD773" i="1" s="1"/>
  <c r="AQ773" i="1"/>
  <c r="AR773" i="1" s="1"/>
  <c r="AO773" i="1"/>
  <c r="AP773" i="1" s="1"/>
  <c r="AM773" i="1"/>
  <c r="AN773" i="1" s="1"/>
  <c r="AZ773" i="1" s="1"/>
  <c r="AK773" i="1"/>
  <c r="AL773" i="1" s="1"/>
  <c r="BB773" i="1" s="1"/>
  <c r="AJ773" i="1"/>
  <c r="AI773" i="1"/>
  <c r="AG773" i="1"/>
  <c r="AH773" i="1" s="1"/>
  <c r="AD773" i="1"/>
  <c r="BP772" i="1"/>
  <c r="BM772" i="1"/>
  <c r="BH772" i="1"/>
  <c r="AY772" i="1"/>
  <c r="AW772" i="1"/>
  <c r="AX772" i="1" s="1"/>
  <c r="AU772" i="1"/>
  <c r="AV772" i="1" s="1"/>
  <c r="AS772" i="1"/>
  <c r="AT772" i="1" s="1"/>
  <c r="BD772" i="1" s="1"/>
  <c r="AR772" i="1"/>
  <c r="AQ772" i="1"/>
  <c r="AP772" i="1"/>
  <c r="AO772" i="1"/>
  <c r="AM772" i="1"/>
  <c r="AN772" i="1" s="1"/>
  <c r="AK772" i="1"/>
  <c r="AL772" i="1" s="1"/>
  <c r="BB772" i="1" s="1"/>
  <c r="AI772" i="1"/>
  <c r="AJ772" i="1" s="1"/>
  <c r="AG772" i="1"/>
  <c r="AH772" i="1" s="1"/>
  <c r="AD772" i="1"/>
  <c r="BP771" i="1"/>
  <c r="BM771" i="1"/>
  <c r="BH771" i="1"/>
  <c r="AY771" i="1"/>
  <c r="AW771" i="1"/>
  <c r="AU771" i="1"/>
  <c r="AV771" i="1" s="1"/>
  <c r="AS771" i="1"/>
  <c r="AT771" i="1" s="1"/>
  <c r="AQ771" i="1"/>
  <c r="AR771" i="1" s="1"/>
  <c r="AO771" i="1"/>
  <c r="AP771" i="1" s="1"/>
  <c r="AM771" i="1"/>
  <c r="AN771" i="1" s="1"/>
  <c r="AZ771" i="1" s="1"/>
  <c r="AK771" i="1"/>
  <c r="AL771" i="1" s="1"/>
  <c r="AJ771" i="1"/>
  <c r="AI771" i="1"/>
  <c r="AG771" i="1"/>
  <c r="AH771" i="1" s="1"/>
  <c r="AD771" i="1"/>
  <c r="BP770" i="1"/>
  <c r="BM770" i="1"/>
  <c r="BH770" i="1"/>
  <c r="AY770" i="1"/>
  <c r="AW770" i="1"/>
  <c r="AU770" i="1"/>
  <c r="AV770" i="1" s="1"/>
  <c r="AT770" i="1"/>
  <c r="AS770" i="1"/>
  <c r="AQ770" i="1"/>
  <c r="AR770" i="1" s="1"/>
  <c r="BC770" i="1" s="1"/>
  <c r="AP770" i="1"/>
  <c r="AO770" i="1"/>
  <c r="AM770" i="1"/>
  <c r="AN770" i="1" s="1"/>
  <c r="AL770" i="1"/>
  <c r="AK770" i="1"/>
  <c r="AI770" i="1"/>
  <c r="AJ770" i="1" s="1"/>
  <c r="AG770" i="1"/>
  <c r="AH770" i="1" s="1"/>
  <c r="BA770" i="1" s="1"/>
  <c r="AD770" i="1"/>
  <c r="BP769" i="1"/>
  <c r="BM769" i="1"/>
  <c r="BH769" i="1"/>
  <c r="AY769" i="1"/>
  <c r="AW769" i="1"/>
  <c r="AU769" i="1"/>
  <c r="AV769" i="1" s="1"/>
  <c r="AS769" i="1"/>
  <c r="AT769" i="1" s="1"/>
  <c r="BD769" i="1" s="1"/>
  <c r="AQ769" i="1"/>
  <c r="AR769" i="1" s="1"/>
  <c r="AO769" i="1"/>
  <c r="AP769" i="1" s="1"/>
  <c r="AN769" i="1"/>
  <c r="AM769" i="1"/>
  <c r="AK769" i="1"/>
  <c r="AL769" i="1" s="1"/>
  <c r="BB769" i="1" s="1"/>
  <c r="AJ769" i="1"/>
  <c r="AI769" i="1"/>
  <c r="AG769" i="1"/>
  <c r="AH769" i="1" s="1"/>
  <c r="AD769" i="1"/>
  <c r="BP768" i="1"/>
  <c r="BM768" i="1"/>
  <c r="BH768" i="1"/>
  <c r="AY768" i="1"/>
  <c r="AZ768" i="1" s="1"/>
  <c r="AW768" i="1"/>
  <c r="AX768" i="1" s="1"/>
  <c r="AU768" i="1"/>
  <c r="AV768" i="1" s="1"/>
  <c r="AS768" i="1"/>
  <c r="AT768" i="1" s="1"/>
  <c r="BD768" i="1" s="1"/>
  <c r="AR768" i="1"/>
  <c r="AQ768" i="1"/>
  <c r="AO768" i="1"/>
  <c r="AP768" i="1" s="1"/>
  <c r="AM768" i="1"/>
  <c r="AN768" i="1" s="1"/>
  <c r="AK768" i="1"/>
  <c r="AL768" i="1" s="1"/>
  <c r="BB768" i="1" s="1"/>
  <c r="AI768" i="1"/>
  <c r="AJ768" i="1" s="1"/>
  <c r="AG768" i="1"/>
  <c r="AH768" i="1" s="1"/>
  <c r="AD768" i="1"/>
  <c r="BP767" i="1"/>
  <c r="BM767" i="1"/>
  <c r="BH767" i="1"/>
  <c r="AY767" i="1"/>
  <c r="AZ767" i="1" s="1"/>
  <c r="AW767" i="1"/>
  <c r="AX767" i="1" s="1"/>
  <c r="AU767" i="1"/>
  <c r="AV767" i="1" s="1"/>
  <c r="AS767" i="1"/>
  <c r="AT767" i="1" s="1"/>
  <c r="AQ767" i="1"/>
  <c r="AR767" i="1" s="1"/>
  <c r="AO767" i="1"/>
  <c r="AP767" i="1" s="1"/>
  <c r="AM767" i="1"/>
  <c r="AN767" i="1" s="1"/>
  <c r="AK767" i="1"/>
  <c r="AL767" i="1" s="1"/>
  <c r="AI767" i="1"/>
  <c r="AJ767" i="1" s="1"/>
  <c r="AG767" i="1"/>
  <c r="AH767" i="1" s="1"/>
  <c r="AD767" i="1"/>
  <c r="BP766" i="1"/>
  <c r="BM766" i="1"/>
  <c r="BH766" i="1"/>
  <c r="AY766" i="1"/>
  <c r="AZ766" i="1" s="1"/>
  <c r="AX766" i="1"/>
  <c r="AW766" i="1"/>
  <c r="AU766" i="1"/>
  <c r="AV766" i="1" s="1"/>
  <c r="AS766" i="1"/>
  <c r="AT766" i="1" s="1"/>
  <c r="AQ766" i="1"/>
  <c r="AR766" i="1" s="1"/>
  <c r="AO766" i="1"/>
  <c r="AP766" i="1" s="1"/>
  <c r="BC766" i="1" s="1"/>
  <c r="AN766" i="1"/>
  <c r="AM766" i="1"/>
  <c r="AK766" i="1"/>
  <c r="AL766" i="1" s="1"/>
  <c r="AJ766" i="1"/>
  <c r="AI766" i="1"/>
  <c r="AG766" i="1"/>
  <c r="AH766" i="1" s="1"/>
  <c r="BA766" i="1" s="1"/>
  <c r="AD766" i="1"/>
  <c r="BP765" i="1"/>
  <c r="BM765" i="1"/>
  <c r="BH765" i="1"/>
  <c r="AZ765" i="1"/>
  <c r="AY765" i="1"/>
  <c r="AX765" i="1"/>
  <c r="AW765" i="1"/>
  <c r="AU765" i="1"/>
  <c r="AV765" i="1" s="1"/>
  <c r="AS765" i="1"/>
  <c r="AT765" i="1" s="1"/>
  <c r="AQ765" i="1"/>
  <c r="AR765" i="1" s="1"/>
  <c r="AO765" i="1"/>
  <c r="AP765" i="1" s="1"/>
  <c r="AN765" i="1"/>
  <c r="AM765" i="1"/>
  <c r="AK765" i="1"/>
  <c r="AL765" i="1" s="1"/>
  <c r="AJ765" i="1"/>
  <c r="AI765" i="1"/>
  <c r="AG765" i="1"/>
  <c r="AH765" i="1" s="1"/>
  <c r="BA765" i="1" s="1"/>
  <c r="AD765" i="1"/>
  <c r="BP764" i="1"/>
  <c r="BM764" i="1"/>
  <c r="BH764" i="1"/>
  <c r="AY764" i="1"/>
  <c r="AZ764" i="1" s="1"/>
  <c r="AW764" i="1"/>
  <c r="AX764" i="1" s="1"/>
  <c r="AU764" i="1"/>
  <c r="AV764" i="1" s="1"/>
  <c r="BD764" i="1" s="1"/>
  <c r="AT764" i="1"/>
  <c r="AS764" i="1"/>
  <c r="AQ764" i="1"/>
  <c r="AR764" i="1" s="1"/>
  <c r="AO764" i="1"/>
  <c r="AP764" i="1" s="1"/>
  <c r="AM764" i="1"/>
  <c r="AN764" i="1" s="1"/>
  <c r="AK764" i="1"/>
  <c r="AL764" i="1" s="1"/>
  <c r="AI764" i="1"/>
  <c r="AJ764" i="1" s="1"/>
  <c r="AG764" i="1"/>
  <c r="AH764" i="1" s="1"/>
  <c r="AD764" i="1"/>
  <c r="BP763" i="1"/>
  <c r="BM763" i="1"/>
  <c r="BH763" i="1"/>
  <c r="AZ763" i="1"/>
  <c r="AY763" i="1"/>
  <c r="AW763" i="1"/>
  <c r="AX763" i="1" s="1"/>
  <c r="BE763" i="1" s="1"/>
  <c r="AU763" i="1"/>
  <c r="AV763" i="1" s="1"/>
  <c r="AT763" i="1"/>
  <c r="AS763" i="1"/>
  <c r="AQ763" i="1"/>
  <c r="AR763" i="1" s="1"/>
  <c r="AP763" i="1"/>
  <c r="AO763" i="1"/>
  <c r="AM763" i="1"/>
  <c r="AN763" i="1" s="1"/>
  <c r="AL763" i="1"/>
  <c r="AK763" i="1"/>
  <c r="AI763" i="1"/>
  <c r="AJ763" i="1" s="1"/>
  <c r="AG763" i="1"/>
  <c r="AH763" i="1" s="1"/>
  <c r="BA763" i="1" s="1"/>
  <c r="AD763" i="1"/>
  <c r="BP762" i="1"/>
  <c r="BM762" i="1"/>
  <c r="BH762" i="1"/>
  <c r="AZ762" i="1"/>
  <c r="AY762" i="1"/>
  <c r="AW762" i="1"/>
  <c r="AX762" i="1" s="1"/>
  <c r="BE762" i="1" s="1"/>
  <c r="AU762" i="1"/>
  <c r="AV762" i="1" s="1"/>
  <c r="AT762" i="1"/>
  <c r="AS762" i="1"/>
  <c r="AQ762" i="1"/>
  <c r="AR762" i="1" s="1"/>
  <c r="AP762" i="1"/>
  <c r="BC762" i="1" s="1"/>
  <c r="AO762" i="1"/>
  <c r="AM762" i="1"/>
  <c r="AN762" i="1" s="1"/>
  <c r="AL762" i="1"/>
  <c r="AK762" i="1"/>
  <c r="AI762" i="1"/>
  <c r="AJ762" i="1" s="1"/>
  <c r="AG762" i="1"/>
  <c r="AH762" i="1" s="1"/>
  <c r="AD762" i="1"/>
  <c r="BP761" i="1"/>
  <c r="BM761" i="1"/>
  <c r="BH761" i="1"/>
  <c r="AY761" i="1"/>
  <c r="AZ761" i="1" s="1"/>
  <c r="AW761" i="1"/>
  <c r="AX761" i="1" s="1"/>
  <c r="AU761" i="1"/>
  <c r="AV761" i="1" s="1"/>
  <c r="AS761" i="1"/>
  <c r="AT761" i="1" s="1"/>
  <c r="AQ761" i="1"/>
  <c r="AR761" i="1" s="1"/>
  <c r="AP761" i="1"/>
  <c r="AO761" i="1"/>
  <c r="AM761" i="1"/>
  <c r="AN761" i="1" s="1"/>
  <c r="AK761" i="1"/>
  <c r="AL761" i="1" s="1"/>
  <c r="AI761" i="1"/>
  <c r="AJ761" i="1" s="1"/>
  <c r="AG761" i="1"/>
  <c r="AH761" i="1" s="1"/>
  <c r="AD761" i="1"/>
  <c r="BP760" i="1"/>
  <c r="BM760" i="1"/>
  <c r="BH760" i="1"/>
  <c r="AY760" i="1"/>
  <c r="AZ760" i="1" s="1"/>
  <c r="AX760" i="1"/>
  <c r="AW760" i="1"/>
  <c r="AV760" i="1"/>
  <c r="AU760" i="1"/>
  <c r="AS760" i="1"/>
  <c r="AT760" i="1" s="1"/>
  <c r="AQ760" i="1"/>
  <c r="AR760" i="1" s="1"/>
  <c r="AO760" i="1"/>
  <c r="AP760" i="1" s="1"/>
  <c r="AM760" i="1"/>
  <c r="AN760" i="1" s="1"/>
  <c r="AL760" i="1"/>
  <c r="AK760" i="1"/>
  <c r="AI760" i="1"/>
  <c r="AJ760" i="1" s="1"/>
  <c r="AH760" i="1"/>
  <c r="AG760" i="1"/>
  <c r="AD760" i="1"/>
  <c r="BH759" i="1"/>
  <c r="BC759" i="1"/>
  <c r="AY759" i="1"/>
  <c r="AZ759" i="1" s="1"/>
  <c r="AW759" i="1"/>
  <c r="AX759" i="1" s="1"/>
  <c r="AU759" i="1"/>
  <c r="AV759" i="1" s="1"/>
  <c r="AS759" i="1"/>
  <c r="AT759" i="1" s="1"/>
  <c r="AM759" i="1"/>
  <c r="AN759" i="1" s="1"/>
  <c r="BB759" i="1" s="1"/>
  <c r="AL759" i="1"/>
  <c r="AK759" i="1"/>
  <c r="AI759" i="1"/>
  <c r="AJ759" i="1" s="1"/>
  <c r="AH759" i="1"/>
  <c r="AG759" i="1"/>
  <c r="AD759" i="1"/>
  <c r="BP758" i="1"/>
  <c r="BM758" i="1"/>
  <c r="BH758" i="1"/>
  <c r="AZ758" i="1"/>
  <c r="AY758" i="1"/>
  <c r="AW758" i="1"/>
  <c r="AX758" i="1" s="1"/>
  <c r="AV758" i="1"/>
  <c r="AU758" i="1"/>
  <c r="AS758" i="1"/>
  <c r="AT758" i="1" s="1"/>
  <c r="BD758" i="1" s="1"/>
  <c r="AQ758" i="1"/>
  <c r="AR758" i="1" s="1"/>
  <c r="AO758" i="1"/>
  <c r="AP758" i="1" s="1"/>
  <c r="AM758" i="1"/>
  <c r="AN758" i="1" s="1"/>
  <c r="AL758" i="1"/>
  <c r="AK758" i="1"/>
  <c r="AJ758" i="1"/>
  <c r="AI758" i="1"/>
  <c r="AG758" i="1"/>
  <c r="AH758" i="1" s="1"/>
  <c r="AD758" i="1"/>
  <c r="BP757" i="1"/>
  <c r="BM757" i="1"/>
  <c r="BH757" i="1"/>
  <c r="AY757" i="1"/>
  <c r="AZ757" i="1" s="1"/>
  <c r="AX757" i="1"/>
  <c r="AW757" i="1"/>
  <c r="AU757" i="1"/>
  <c r="AV757" i="1" s="1"/>
  <c r="AS757" i="1"/>
  <c r="AT757" i="1" s="1"/>
  <c r="AQ757" i="1"/>
  <c r="AR757" i="1" s="1"/>
  <c r="BC757" i="1" s="1"/>
  <c r="AP757" i="1"/>
  <c r="AO757" i="1"/>
  <c r="AM757" i="1"/>
  <c r="AN757" i="1" s="1"/>
  <c r="AK757" i="1"/>
  <c r="AL757" i="1" s="1"/>
  <c r="BB757" i="1" s="1"/>
  <c r="AJ757" i="1"/>
  <c r="AI757" i="1"/>
  <c r="AG757" i="1"/>
  <c r="AH757" i="1" s="1"/>
  <c r="AD757" i="1"/>
  <c r="BP756" i="1"/>
  <c r="BM756" i="1"/>
  <c r="BH756" i="1"/>
  <c r="AY756" i="1"/>
  <c r="AZ756" i="1" s="1"/>
  <c r="AW756" i="1"/>
  <c r="AX756" i="1" s="1"/>
  <c r="BE756" i="1" s="1"/>
  <c r="AU756" i="1"/>
  <c r="AV756" i="1" s="1"/>
  <c r="AS756" i="1"/>
  <c r="AT756" i="1" s="1"/>
  <c r="AQ756" i="1"/>
  <c r="AR756" i="1" s="1"/>
  <c r="AP756" i="1"/>
  <c r="AO756" i="1"/>
  <c r="AM756" i="1"/>
  <c r="AN756" i="1" s="1"/>
  <c r="AK756" i="1"/>
  <c r="AL756" i="1" s="1"/>
  <c r="AI756" i="1"/>
  <c r="AJ756" i="1" s="1"/>
  <c r="AG756" i="1"/>
  <c r="AH756" i="1" s="1"/>
  <c r="AD756" i="1"/>
  <c r="BP755" i="1"/>
  <c r="BM755" i="1"/>
  <c r="BH755" i="1"/>
  <c r="AY755" i="1"/>
  <c r="AZ755" i="1" s="1"/>
  <c r="AW755" i="1"/>
  <c r="AX755" i="1" s="1"/>
  <c r="BE755" i="1" s="1"/>
  <c r="AU755" i="1"/>
  <c r="AV755" i="1" s="1"/>
  <c r="AS755" i="1"/>
  <c r="AT755" i="1" s="1"/>
  <c r="AQ755" i="1"/>
  <c r="AR755" i="1" s="1"/>
  <c r="AO755" i="1"/>
  <c r="AP755" i="1" s="1"/>
  <c r="AM755" i="1"/>
  <c r="AN755" i="1" s="1"/>
  <c r="AL755" i="1"/>
  <c r="AK755" i="1"/>
  <c r="AI755" i="1"/>
  <c r="AJ755" i="1" s="1"/>
  <c r="AG755" i="1"/>
  <c r="AH755" i="1" s="1"/>
  <c r="BA755" i="1" s="1"/>
  <c r="AD755" i="1"/>
  <c r="BP754" i="1"/>
  <c r="BM754" i="1"/>
  <c r="BH754" i="1"/>
  <c r="AY754" i="1"/>
  <c r="AZ754" i="1" s="1"/>
  <c r="BE754" i="1" s="1"/>
  <c r="AW754" i="1"/>
  <c r="AX754" i="1" s="1"/>
  <c r="AU754" i="1"/>
  <c r="AV754" i="1" s="1"/>
  <c r="AS754" i="1"/>
  <c r="AT754" i="1" s="1"/>
  <c r="AQ754" i="1"/>
  <c r="AR754" i="1" s="1"/>
  <c r="AO754" i="1"/>
  <c r="AP754" i="1" s="1"/>
  <c r="AM754" i="1"/>
  <c r="AN754" i="1" s="1"/>
  <c r="AL754" i="1"/>
  <c r="BB754" i="1" s="1"/>
  <c r="AK754" i="1"/>
  <c r="AJ754" i="1"/>
  <c r="AI754" i="1"/>
  <c r="AG754" i="1"/>
  <c r="AH754" i="1" s="1"/>
  <c r="AD754" i="1"/>
  <c r="BP753" i="1"/>
  <c r="BM753" i="1"/>
  <c r="BH753" i="1"/>
  <c r="AY753" i="1"/>
  <c r="AZ753" i="1" s="1"/>
  <c r="AX753" i="1"/>
  <c r="AW753" i="1"/>
  <c r="AU753" i="1"/>
  <c r="AV753" i="1" s="1"/>
  <c r="AS753" i="1"/>
  <c r="AT753" i="1" s="1"/>
  <c r="AQ753" i="1"/>
  <c r="AR753" i="1" s="1"/>
  <c r="BC753" i="1" s="1"/>
  <c r="AP753" i="1"/>
  <c r="AO753" i="1"/>
  <c r="AM753" i="1"/>
  <c r="AN753" i="1" s="1"/>
  <c r="AK753" i="1"/>
  <c r="AL753" i="1" s="1"/>
  <c r="BB753" i="1" s="1"/>
  <c r="AJ753" i="1"/>
  <c r="AI753" i="1"/>
  <c r="AG753" i="1"/>
  <c r="AH753" i="1" s="1"/>
  <c r="BA753" i="1" s="1"/>
  <c r="AD753" i="1"/>
  <c r="BP752" i="1"/>
  <c r="BM752" i="1"/>
  <c r="BH752" i="1"/>
  <c r="AY752" i="1"/>
  <c r="AZ752" i="1" s="1"/>
  <c r="AW752" i="1"/>
  <c r="AX752" i="1" s="1"/>
  <c r="AV752" i="1"/>
  <c r="AU752" i="1"/>
  <c r="AS752" i="1"/>
  <c r="AT752" i="1" s="1"/>
  <c r="AQ752" i="1"/>
  <c r="AR752" i="1" s="1"/>
  <c r="AP752" i="1"/>
  <c r="AO752" i="1"/>
  <c r="AM752" i="1"/>
  <c r="AN752" i="1" s="1"/>
  <c r="AK752" i="1"/>
  <c r="AL752" i="1" s="1"/>
  <c r="AI752" i="1"/>
  <c r="AJ752" i="1" s="1"/>
  <c r="AG752" i="1"/>
  <c r="AH752" i="1" s="1"/>
  <c r="BA752" i="1" s="1"/>
  <c r="AD752" i="1"/>
  <c r="BP751" i="1"/>
  <c r="BM751" i="1"/>
  <c r="BH751" i="1"/>
  <c r="AY751" i="1"/>
  <c r="AZ751" i="1" s="1"/>
  <c r="AX751" i="1"/>
  <c r="BE751" i="1" s="1"/>
  <c r="AW751" i="1"/>
  <c r="AV751" i="1"/>
  <c r="AU751" i="1"/>
  <c r="AS751" i="1"/>
  <c r="AT751" i="1" s="1"/>
  <c r="BD751" i="1" s="1"/>
  <c r="AQ751" i="1"/>
  <c r="AR751" i="1" s="1"/>
  <c r="AO751" i="1"/>
  <c r="AP751" i="1" s="1"/>
  <c r="AN751" i="1"/>
  <c r="AM751" i="1"/>
  <c r="AK751" i="1"/>
  <c r="AL751" i="1" s="1"/>
  <c r="BB751" i="1" s="1"/>
  <c r="AI751" i="1"/>
  <c r="AJ751" i="1" s="1"/>
  <c r="AH751" i="1"/>
  <c r="BA751" i="1" s="1"/>
  <c r="AG751" i="1"/>
  <c r="AD751" i="1"/>
  <c r="BP750" i="1"/>
  <c r="BM750" i="1"/>
  <c r="BH750" i="1"/>
  <c r="AZ750" i="1"/>
  <c r="AY750" i="1"/>
  <c r="AW750" i="1"/>
  <c r="AX750" i="1" s="1"/>
  <c r="AU750" i="1"/>
  <c r="AV750" i="1" s="1"/>
  <c r="AS750" i="1"/>
  <c r="AT750" i="1" s="1"/>
  <c r="BD750" i="1" s="1"/>
  <c r="AQ750" i="1"/>
  <c r="AR750" i="1" s="1"/>
  <c r="AO750" i="1"/>
  <c r="AP750" i="1" s="1"/>
  <c r="BC750" i="1" s="1"/>
  <c r="AN750" i="1"/>
  <c r="BB750" i="1" s="1"/>
  <c r="AM750" i="1"/>
  <c r="AL750" i="1"/>
  <c r="AK750" i="1"/>
  <c r="AI750" i="1"/>
  <c r="AJ750" i="1" s="1"/>
  <c r="AG750" i="1"/>
  <c r="AH750" i="1" s="1"/>
  <c r="AD750" i="1"/>
  <c r="BH749" i="1"/>
  <c r="BC749" i="1"/>
  <c r="AY749" i="1"/>
  <c r="AZ749" i="1" s="1"/>
  <c r="AX749" i="1"/>
  <c r="AW749" i="1"/>
  <c r="AU749" i="1"/>
  <c r="AV749" i="1" s="1"/>
  <c r="AT749" i="1"/>
  <c r="AS749" i="1"/>
  <c r="AM749" i="1"/>
  <c r="AN749" i="1" s="1"/>
  <c r="AL749" i="1"/>
  <c r="AK749" i="1"/>
  <c r="AJ749" i="1"/>
  <c r="AI749" i="1"/>
  <c r="AG749" i="1"/>
  <c r="AH749" i="1" s="1"/>
  <c r="AD749" i="1"/>
  <c r="BP748" i="1"/>
  <c r="BM748" i="1"/>
  <c r="BH748" i="1"/>
  <c r="AY748" i="1"/>
  <c r="AZ748" i="1" s="1"/>
  <c r="AW748" i="1"/>
  <c r="AX748" i="1" s="1"/>
  <c r="AU748" i="1"/>
  <c r="AV748" i="1" s="1"/>
  <c r="AS748" i="1"/>
  <c r="AT748" i="1" s="1"/>
  <c r="AQ748" i="1"/>
  <c r="AR748" i="1" s="1"/>
  <c r="AP748" i="1"/>
  <c r="AO748" i="1"/>
  <c r="AM748" i="1"/>
  <c r="AN748" i="1" s="1"/>
  <c r="AK748" i="1"/>
  <c r="AL748" i="1" s="1"/>
  <c r="AI748" i="1"/>
  <c r="AJ748" i="1" s="1"/>
  <c r="AG748" i="1"/>
  <c r="AH748" i="1" s="1"/>
  <c r="AD748" i="1"/>
  <c r="BP747" i="1"/>
  <c r="BM747" i="1"/>
  <c r="BH747" i="1"/>
  <c r="AZ747" i="1"/>
  <c r="AY747" i="1"/>
  <c r="AW747" i="1"/>
  <c r="AX747" i="1" s="1"/>
  <c r="AV747" i="1"/>
  <c r="AU747" i="1"/>
  <c r="AS747" i="1"/>
  <c r="AT747" i="1" s="1"/>
  <c r="AQ747" i="1"/>
  <c r="AR747" i="1" s="1"/>
  <c r="AO747" i="1"/>
  <c r="AP747" i="1" s="1"/>
  <c r="AN747" i="1"/>
  <c r="AM747" i="1"/>
  <c r="AK747" i="1"/>
  <c r="AL747" i="1" s="1"/>
  <c r="BB747" i="1" s="1"/>
  <c r="AJ747" i="1"/>
  <c r="AI747" i="1"/>
  <c r="AG747" i="1"/>
  <c r="AH747" i="1" s="1"/>
  <c r="AD747" i="1"/>
  <c r="BP746" i="1"/>
  <c r="BM746" i="1"/>
  <c r="BH746" i="1"/>
  <c r="BE746" i="1"/>
  <c r="AZ746" i="1"/>
  <c r="AY746" i="1"/>
  <c r="AW746" i="1"/>
  <c r="AX746" i="1" s="1"/>
  <c r="AV746" i="1"/>
  <c r="AU746" i="1"/>
  <c r="AS746" i="1"/>
  <c r="AT746" i="1" s="1"/>
  <c r="AQ746" i="1"/>
  <c r="AR746" i="1" s="1"/>
  <c r="AO746" i="1"/>
  <c r="AP746" i="1" s="1"/>
  <c r="AM746" i="1"/>
  <c r="AN746" i="1" s="1"/>
  <c r="AL746" i="1"/>
  <c r="AK746" i="1"/>
  <c r="AI746" i="1"/>
  <c r="AJ746" i="1" s="1"/>
  <c r="AG746" i="1"/>
  <c r="AH746" i="1" s="1"/>
  <c r="AD746" i="1"/>
  <c r="BP745" i="1"/>
  <c r="BM745" i="1"/>
  <c r="BH745" i="1"/>
  <c r="AY745" i="1"/>
  <c r="AZ745" i="1" s="1"/>
  <c r="AX745" i="1"/>
  <c r="AW745" i="1"/>
  <c r="AU745" i="1"/>
  <c r="AV745" i="1" s="1"/>
  <c r="AS745" i="1"/>
  <c r="AT745" i="1" s="1"/>
  <c r="AQ745" i="1"/>
  <c r="AR745" i="1" s="1"/>
  <c r="BC745" i="1" s="1"/>
  <c r="AP745" i="1"/>
  <c r="AO745" i="1"/>
  <c r="AM745" i="1"/>
  <c r="AN745" i="1" s="1"/>
  <c r="AK745" i="1"/>
  <c r="AL745" i="1" s="1"/>
  <c r="AI745" i="1"/>
  <c r="AJ745" i="1" s="1"/>
  <c r="AH745" i="1"/>
  <c r="AG745" i="1"/>
  <c r="AD745" i="1"/>
  <c r="BP744" i="1"/>
  <c r="BM744" i="1"/>
  <c r="BH744" i="1"/>
  <c r="AY744" i="1"/>
  <c r="AZ744" i="1" s="1"/>
  <c r="AW744" i="1"/>
  <c r="AX744" i="1" s="1"/>
  <c r="AV744" i="1"/>
  <c r="AU744" i="1"/>
  <c r="AS744" i="1"/>
  <c r="AT744" i="1" s="1"/>
  <c r="BD744" i="1" s="1"/>
  <c r="AR744" i="1"/>
  <c r="AQ744" i="1"/>
  <c r="AO744" i="1"/>
  <c r="AP744" i="1" s="1"/>
  <c r="AM744" i="1"/>
  <c r="AN744" i="1" s="1"/>
  <c r="AK744" i="1"/>
  <c r="AL744" i="1" s="1"/>
  <c r="BB744" i="1" s="1"/>
  <c r="BF744" i="1" s="1"/>
  <c r="AJ744" i="1"/>
  <c r="AI744" i="1"/>
  <c r="AG744" i="1"/>
  <c r="AH744" i="1" s="1"/>
  <c r="BA744" i="1" s="1"/>
  <c r="AD744" i="1"/>
  <c r="BP743" i="1"/>
  <c r="BM743" i="1"/>
  <c r="BH743" i="1"/>
  <c r="AY743" i="1"/>
  <c r="AZ743" i="1" s="1"/>
  <c r="AW743" i="1"/>
  <c r="AX743" i="1" s="1"/>
  <c r="BE743" i="1" s="1"/>
  <c r="AU743" i="1"/>
  <c r="AV743" i="1" s="1"/>
  <c r="BD743" i="1" s="1"/>
  <c r="AT743" i="1"/>
  <c r="AS743" i="1"/>
  <c r="AQ743" i="1"/>
  <c r="AR743" i="1" s="1"/>
  <c r="AO743" i="1"/>
  <c r="AP743" i="1" s="1"/>
  <c r="AN743" i="1"/>
  <c r="AM743" i="1"/>
  <c r="AK743" i="1"/>
  <c r="AL743" i="1" s="1"/>
  <c r="BB743" i="1" s="1"/>
  <c r="AI743" i="1"/>
  <c r="AJ743" i="1" s="1"/>
  <c r="AG743" i="1"/>
  <c r="AH743" i="1" s="1"/>
  <c r="AD743" i="1"/>
  <c r="BP742" i="1"/>
  <c r="BM742" i="1"/>
  <c r="BH742" i="1"/>
  <c r="AZ742" i="1"/>
  <c r="AY742" i="1"/>
  <c r="AW742" i="1"/>
  <c r="AX742" i="1" s="1"/>
  <c r="BE742" i="1" s="1"/>
  <c r="AU742" i="1"/>
  <c r="AV742" i="1" s="1"/>
  <c r="AS742" i="1"/>
  <c r="AT742" i="1" s="1"/>
  <c r="AQ742" i="1"/>
  <c r="AR742" i="1" s="1"/>
  <c r="AP742" i="1"/>
  <c r="AO742" i="1"/>
  <c r="AM742" i="1"/>
  <c r="AN742" i="1" s="1"/>
  <c r="AL742" i="1"/>
  <c r="AK742" i="1"/>
  <c r="AI742" i="1"/>
  <c r="AJ742" i="1" s="1"/>
  <c r="AH742" i="1"/>
  <c r="AG742" i="1"/>
  <c r="AD742" i="1"/>
  <c r="BP741" i="1"/>
  <c r="BM741" i="1"/>
  <c r="BH741" i="1"/>
  <c r="BD741" i="1"/>
  <c r="AZ741" i="1"/>
  <c r="AY741" i="1"/>
  <c r="AW741" i="1"/>
  <c r="AX741" i="1" s="1"/>
  <c r="BE741" i="1" s="1"/>
  <c r="AU741" i="1"/>
  <c r="AV741" i="1" s="1"/>
  <c r="AT741" i="1"/>
  <c r="AS741" i="1"/>
  <c r="AQ741" i="1"/>
  <c r="AR741" i="1" s="1"/>
  <c r="AP741" i="1"/>
  <c r="BC741" i="1" s="1"/>
  <c r="AO741" i="1"/>
  <c r="AM741" i="1"/>
  <c r="AN741" i="1" s="1"/>
  <c r="AL741" i="1"/>
  <c r="AK741" i="1"/>
  <c r="AI741" i="1"/>
  <c r="AJ741" i="1" s="1"/>
  <c r="AG741" i="1"/>
  <c r="AH741" i="1" s="1"/>
  <c r="AD741" i="1"/>
  <c r="BP740" i="1"/>
  <c r="BM740" i="1"/>
  <c r="BH740" i="1"/>
  <c r="AY740" i="1"/>
  <c r="AZ740" i="1" s="1"/>
  <c r="AX740" i="1"/>
  <c r="AW740" i="1"/>
  <c r="AU740" i="1"/>
  <c r="AV740" i="1" s="1"/>
  <c r="AS740" i="1"/>
  <c r="AT740" i="1" s="1"/>
  <c r="AQ740" i="1"/>
  <c r="AR740" i="1" s="1"/>
  <c r="AP740" i="1"/>
  <c r="BC740" i="1" s="1"/>
  <c r="AO740" i="1"/>
  <c r="AM740" i="1"/>
  <c r="AN740" i="1" s="1"/>
  <c r="AK740" i="1"/>
  <c r="AL740" i="1" s="1"/>
  <c r="AI740" i="1"/>
  <c r="AJ740" i="1" s="1"/>
  <c r="AH740" i="1"/>
  <c r="AG740" i="1"/>
  <c r="AD740" i="1"/>
  <c r="BP739" i="1"/>
  <c r="BM739" i="1"/>
  <c r="BH739" i="1"/>
  <c r="AY739" i="1"/>
  <c r="AZ739" i="1" s="1"/>
  <c r="AW739" i="1"/>
  <c r="AX739" i="1" s="1"/>
  <c r="AU739" i="1"/>
  <c r="AV739" i="1" s="1"/>
  <c r="BD739" i="1" s="1"/>
  <c r="AS739" i="1"/>
  <c r="AT739" i="1" s="1"/>
  <c r="AQ739" i="1"/>
  <c r="AR739" i="1" s="1"/>
  <c r="AP739" i="1"/>
  <c r="AO739" i="1"/>
  <c r="AN739" i="1"/>
  <c r="AM739" i="1"/>
  <c r="AL739" i="1"/>
  <c r="BB739" i="1" s="1"/>
  <c r="AK739" i="1"/>
  <c r="AI739" i="1"/>
  <c r="AJ739" i="1" s="1"/>
  <c r="AG739" i="1"/>
  <c r="AH739" i="1" s="1"/>
  <c r="AD739" i="1"/>
  <c r="BP738" i="1"/>
  <c r="BM738" i="1"/>
  <c r="BH738" i="1"/>
  <c r="AY738" i="1"/>
  <c r="AW738" i="1"/>
  <c r="AU738" i="1"/>
  <c r="AV738" i="1" s="1"/>
  <c r="AS738" i="1"/>
  <c r="AQ738" i="1"/>
  <c r="AO738" i="1"/>
  <c r="AN738" i="1"/>
  <c r="AM738" i="1"/>
  <c r="AK738" i="1"/>
  <c r="AI738" i="1"/>
  <c r="AG738" i="1"/>
  <c r="AF738" i="1"/>
  <c r="AX738" i="1" s="1"/>
  <c r="AD738" i="1"/>
  <c r="BH737" i="1"/>
  <c r="BC737" i="1"/>
  <c r="AY737" i="1"/>
  <c r="AZ737" i="1" s="1"/>
  <c r="AW737" i="1"/>
  <c r="AU737" i="1"/>
  <c r="AS737" i="1"/>
  <c r="AT737" i="1" s="1"/>
  <c r="AM737" i="1"/>
  <c r="AN737" i="1" s="1"/>
  <c r="AK737" i="1"/>
  <c r="AI737" i="1"/>
  <c r="AG737" i="1"/>
  <c r="AH737" i="1" s="1"/>
  <c r="AF737" i="1"/>
  <c r="AD737" i="1"/>
  <c r="BH736" i="1"/>
  <c r="BC736" i="1"/>
  <c r="AY736" i="1"/>
  <c r="AZ736" i="1" s="1"/>
  <c r="AX736" i="1"/>
  <c r="AW736" i="1"/>
  <c r="AU736" i="1"/>
  <c r="AV736" i="1" s="1"/>
  <c r="AS736" i="1"/>
  <c r="AT736" i="1" s="1"/>
  <c r="BD736" i="1" s="1"/>
  <c r="AQ736" i="1"/>
  <c r="AO736" i="1"/>
  <c r="AM736" i="1"/>
  <c r="AN736" i="1" s="1"/>
  <c r="AK736" i="1"/>
  <c r="AL736" i="1" s="1"/>
  <c r="BB736" i="1" s="1"/>
  <c r="AI736" i="1"/>
  <c r="AJ736" i="1" s="1"/>
  <c r="AG736" i="1"/>
  <c r="AH736" i="1" s="1"/>
  <c r="BA736" i="1" s="1"/>
  <c r="BH735" i="1"/>
  <c r="BC735" i="1"/>
  <c r="AZ735" i="1"/>
  <c r="AY735" i="1"/>
  <c r="AX735" i="1"/>
  <c r="BE735" i="1" s="1"/>
  <c r="AW735" i="1"/>
  <c r="AU735" i="1"/>
  <c r="AV735" i="1" s="1"/>
  <c r="AT735" i="1"/>
  <c r="AS735" i="1"/>
  <c r="AQ735" i="1"/>
  <c r="AO735" i="1"/>
  <c r="AM735" i="1"/>
  <c r="AN735" i="1" s="1"/>
  <c r="AL735" i="1"/>
  <c r="AK735" i="1"/>
  <c r="AJ735" i="1"/>
  <c r="AI735" i="1"/>
  <c r="AG735" i="1"/>
  <c r="AH735" i="1" s="1"/>
  <c r="BH734" i="1"/>
  <c r="BC734" i="1"/>
  <c r="AZ734" i="1"/>
  <c r="AY734" i="1"/>
  <c r="AW734" i="1"/>
  <c r="AX734" i="1" s="1"/>
  <c r="AU734" i="1"/>
  <c r="AV734" i="1" s="1"/>
  <c r="AS734" i="1"/>
  <c r="AT734" i="1" s="1"/>
  <c r="BD734" i="1" s="1"/>
  <c r="AQ734" i="1"/>
  <c r="AO734" i="1"/>
  <c r="AM734" i="1"/>
  <c r="AN734" i="1" s="1"/>
  <c r="AL734" i="1"/>
  <c r="BB734" i="1" s="1"/>
  <c r="AK734" i="1"/>
  <c r="AJ734" i="1"/>
  <c r="BA734" i="1" s="1"/>
  <c r="AI734" i="1"/>
  <c r="AH734" i="1"/>
  <c r="AG734" i="1"/>
  <c r="BH733" i="1"/>
  <c r="BC733" i="1"/>
  <c r="AY733" i="1"/>
  <c r="AZ733" i="1" s="1"/>
  <c r="AX733" i="1"/>
  <c r="AW733" i="1"/>
  <c r="AU733" i="1"/>
  <c r="AV733" i="1" s="1"/>
  <c r="BD733" i="1" s="1"/>
  <c r="AT733" i="1"/>
  <c r="AS733" i="1"/>
  <c r="AQ733" i="1"/>
  <c r="AO733" i="1"/>
  <c r="AM733" i="1"/>
  <c r="AN733" i="1" s="1"/>
  <c r="AK733" i="1"/>
  <c r="AL733" i="1" s="1"/>
  <c r="AI733" i="1"/>
  <c r="AJ733" i="1" s="1"/>
  <c r="BA733" i="1" s="1"/>
  <c r="AH733" i="1"/>
  <c r="AG733" i="1"/>
  <c r="BH732" i="1"/>
  <c r="BC732" i="1"/>
  <c r="AY732" i="1"/>
  <c r="AZ732" i="1" s="1"/>
  <c r="AX732" i="1"/>
  <c r="AW732" i="1"/>
  <c r="AV732" i="1"/>
  <c r="AU732" i="1"/>
  <c r="AS732" i="1"/>
  <c r="AT732" i="1" s="1"/>
  <c r="BD732" i="1" s="1"/>
  <c r="AQ732" i="1"/>
  <c r="AO732" i="1"/>
  <c r="AN732" i="1"/>
  <c r="AM732" i="1"/>
  <c r="AK732" i="1"/>
  <c r="AL732" i="1" s="1"/>
  <c r="BB732" i="1" s="1"/>
  <c r="BF732" i="1" s="1"/>
  <c r="AJ732" i="1"/>
  <c r="AI732" i="1"/>
  <c r="AG732" i="1"/>
  <c r="AH732" i="1" s="1"/>
  <c r="BA732" i="1" s="1"/>
  <c r="BP731" i="1"/>
  <c r="BM731" i="1"/>
  <c r="BH731" i="1"/>
  <c r="AY731" i="1"/>
  <c r="AZ731" i="1" s="1"/>
  <c r="AW731" i="1"/>
  <c r="AX731" i="1" s="1"/>
  <c r="AV731" i="1"/>
  <c r="AU731" i="1"/>
  <c r="AS731" i="1"/>
  <c r="AT731" i="1" s="1"/>
  <c r="AR731" i="1"/>
  <c r="AQ731" i="1"/>
  <c r="AP731" i="1"/>
  <c r="AO731" i="1"/>
  <c r="AM731" i="1"/>
  <c r="AN731" i="1" s="1"/>
  <c r="AK731" i="1"/>
  <c r="AL731" i="1" s="1"/>
  <c r="AI731" i="1"/>
  <c r="AJ731" i="1" s="1"/>
  <c r="AH731" i="1"/>
  <c r="AG731" i="1"/>
  <c r="AD731" i="1"/>
  <c r="BP730" i="1"/>
  <c r="BM730" i="1"/>
  <c r="BH730" i="1"/>
  <c r="AY730" i="1"/>
  <c r="AZ730" i="1" s="1"/>
  <c r="AX730" i="1"/>
  <c r="AW730" i="1"/>
  <c r="AV730" i="1"/>
  <c r="AU730" i="1"/>
  <c r="AS730" i="1"/>
  <c r="AT730" i="1" s="1"/>
  <c r="BD730" i="1" s="1"/>
  <c r="AR730" i="1"/>
  <c r="AQ730" i="1"/>
  <c r="AP730" i="1"/>
  <c r="BC730" i="1" s="1"/>
  <c r="AO730" i="1"/>
  <c r="AM730" i="1"/>
  <c r="AN730" i="1" s="1"/>
  <c r="AL730" i="1"/>
  <c r="AK730" i="1"/>
  <c r="AJ730" i="1"/>
  <c r="AI730" i="1"/>
  <c r="AG730" i="1"/>
  <c r="AH730" i="1" s="1"/>
  <c r="BA730" i="1" s="1"/>
  <c r="AD730" i="1"/>
  <c r="BP729" i="1"/>
  <c r="BM729" i="1"/>
  <c r="BH729" i="1"/>
  <c r="AY729" i="1"/>
  <c r="AZ729" i="1" s="1"/>
  <c r="AW729" i="1"/>
  <c r="AX729" i="1" s="1"/>
  <c r="BE729" i="1" s="1"/>
  <c r="AU729" i="1"/>
  <c r="AV729" i="1" s="1"/>
  <c r="AS729" i="1"/>
  <c r="AT729" i="1" s="1"/>
  <c r="BD729" i="1" s="1"/>
  <c r="AR729" i="1"/>
  <c r="AQ729" i="1"/>
  <c r="AP729" i="1"/>
  <c r="BC729" i="1" s="1"/>
  <c r="AO729" i="1"/>
  <c r="AM729" i="1"/>
  <c r="AN729" i="1" s="1"/>
  <c r="AK729" i="1"/>
  <c r="AL729" i="1" s="1"/>
  <c r="AI729" i="1"/>
  <c r="AJ729" i="1" s="1"/>
  <c r="AH729" i="1"/>
  <c r="AG729" i="1"/>
  <c r="AD729" i="1"/>
  <c r="BP728" i="1"/>
  <c r="BM728" i="1"/>
  <c r="BH728" i="1"/>
  <c r="AY728" i="1"/>
  <c r="AZ728" i="1" s="1"/>
  <c r="AW728" i="1"/>
  <c r="AX728" i="1" s="1"/>
  <c r="AV728" i="1"/>
  <c r="AU728" i="1"/>
  <c r="AS728" i="1"/>
  <c r="AT728" i="1" s="1"/>
  <c r="AQ728" i="1"/>
  <c r="AR728" i="1" s="1"/>
  <c r="AO728" i="1"/>
  <c r="AP728" i="1" s="1"/>
  <c r="AM728" i="1"/>
  <c r="AN728" i="1" s="1"/>
  <c r="AK728" i="1"/>
  <c r="AL728" i="1" s="1"/>
  <c r="BB728" i="1" s="1"/>
  <c r="AJ728" i="1"/>
  <c r="AI728" i="1"/>
  <c r="AG728" i="1"/>
  <c r="AH728" i="1" s="1"/>
  <c r="BA728" i="1" s="1"/>
  <c r="AD728" i="1"/>
  <c r="BP727" i="1"/>
  <c r="BM727" i="1"/>
  <c r="BH727" i="1"/>
  <c r="AY727" i="1"/>
  <c r="AZ727" i="1" s="1"/>
  <c r="AX727" i="1"/>
  <c r="BE727" i="1" s="1"/>
  <c r="AW727" i="1"/>
  <c r="AV727" i="1"/>
  <c r="AU727" i="1"/>
  <c r="AT727" i="1"/>
  <c r="AS727" i="1"/>
  <c r="AQ727" i="1"/>
  <c r="AR727" i="1" s="1"/>
  <c r="AO727" i="1"/>
  <c r="AP727" i="1" s="1"/>
  <c r="BC727" i="1" s="1"/>
  <c r="AM727" i="1"/>
  <c r="AN727" i="1" s="1"/>
  <c r="AK727" i="1"/>
  <c r="AL727" i="1" s="1"/>
  <c r="BB727" i="1" s="1"/>
  <c r="AI727" i="1"/>
  <c r="AJ727" i="1" s="1"/>
  <c r="AH727" i="1"/>
  <c r="AG727" i="1"/>
  <c r="AD727" i="1"/>
  <c r="BH726" i="1"/>
  <c r="BC726" i="1"/>
  <c r="AZ726" i="1"/>
  <c r="AY726" i="1"/>
  <c r="AW726" i="1"/>
  <c r="AX726" i="1" s="1"/>
  <c r="BE726" i="1" s="1"/>
  <c r="AU726" i="1"/>
  <c r="AV726" i="1" s="1"/>
  <c r="AS726" i="1"/>
  <c r="AT726" i="1" s="1"/>
  <c r="AN726" i="1"/>
  <c r="AM726" i="1"/>
  <c r="AK726" i="1"/>
  <c r="AL726" i="1" s="1"/>
  <c r="BB726" i="1" s="1"/>
  <c r="AI726" i="1"/>
  <c r="AJ726" i="1" s="1"/>
  <c r="AG726" i="1"/>
  <c r="AH726" i="1" s="1"/>
  <c r="AD726" i="1"/>
  <c r="BP725" i="1"/>
  <c r="BM725" i="1"/>
  <c r="BH725" i="1"/>
  <c r="BE725" i="1"/>
  <c r="AY725" i="1"/>
  <c r="AZ725" i="1" s="1"/>
  <c r="AX725" i="1"/>
  <c r="AW725" i="1"/>
  <c r="AU725" i="1"/>
  <c r="AV725" i="1" s="1"/>
  <c r="AS725" i="1"/>
  <c r="AT725" i="1" s="1"/>
  <c r="BD725" i="1" s="1"/>
  <c r="AQ725" i="1"/>
  <c r="AR725" i="1" s="1"/>
  <c r="AP725" i="1"/>
  <c r="BC725" i="1" s="1"/>
  <c r="AO725" i="1"/>
  <c r="AM725" i="1"/>
  <c r="AN725" i="1" s="1"/>
  <c r="AL725" i="1"/>
  <c r="BB725" i="1" s="1"/>
  <c r="AK725" i="1"/>
  <c r="AI725" i="1"/>
  <c r="AJ725" i="1" s="1"/>
  <c r="AG725" i="1"/>
  <c r="AH725" i="1" s="1"/>
  <c r="AD725" i="1"/>
  <c r="BP724" i="1"/>
  <c r="BM724" i="1"/>
  <c r="BH724" i="1"/>
  <c r="AY724" i="1"/>
  <c r="AZ724" i="1" s="1"/>
  <c r="AW724" i="1"/>
  <c r="AX724" i="1" s="1"/>
  <c r="AU724" i="1"/>
  <c r="AV724" i="1" s="1"/>
  <c r="AS724" i="1"/>
  <c r="AT724" i="1" s="1"/>
  <c r="AR724" i="1"/>
  <c r="BC724" i="1" s="1"/>
  <c r="AQ724" i="1"/>
  <c r="AO724" i="1"/>
  <c r="AP724" i="1" s="1"/>
  <c r="AM724" i="1"/>
  <c r="AN724" i="1" s="1"/>
  <c r="BB724" i="1" s="1"/>
  <c r="AK724" i="1"/>
  <c r="AL724" i="1" s="1"/>
  <c r="AJ724" i="1"/>
  <c r="AI724" i="1"/>
  <c r="AG724" i="1"/>
  <c r="AH724" i="1" s="1"/>
  <c r="AD724" i="1"/>
  <c r="BP723" i="1"/>
  <c r="BM723" i="1"/>
  <c r="BH723" i="1"/>
  <c r="AY723" i="1"/>
  <c r="AZ723" i="1" s="1"/>
  <c r="AX723" i="1"/>
  <c r="AW723" i="1"/>
  <c r="AV723" i="1"/>
  <c r="AU723" i="1"/>
  <c r="AS723" i="1"/>
  <c r="AT723" i="1" s="1"/>
  <c r="BD723" i="1" s="1"/>
  <c r="AQ723" i="1"/>
  <c r="AR723" i="1" s="1"/>
  <c r="AO723" i="1"/>
  <c r="AP723" i="1" s="1"/>
  <c r="BC723" i="1" s="1"/>
  <c r="AN723" i="1"/>
  <c r="AM723" i="1"/>
  <c r="AK723" i="1"/>
  <c r="AL723" i="1" s="1"/>
  <c r="BB723" i="1" s="1"/>
  <c r="BF723" i="1" s="1"/>
  <c r="AI723" i="1"/>
  <c r="AJ723" i="1" s="1"/>
  <c r="AH723" i="1"/>
  <c r="BA723" i="1" s="1"/>
  <c r="AG723" i="1"/>
  <c r="AD723" i="1"/>
  <c r="BP722" i="1"/>
  <c r="BM722" i="1"/>
  <c r="BH722" i="1"/>
  <c r="AZ722" i="1"/>
  <c r="AY722" i="1"/>
  <c r="AW722" i="1"/>
  <c r="AX722" i="1" s="1"/>
  <c r="AU722" i="1"/>
  <c r="AV722" i="1" s="1"/>
  <c r="AS722" i="1"/>
  <c r="AT722" i="1" s="1"/>
  <c r="AQ722" i="1"/>
  <c r="AR722" i="1" s="1"/>
  <c r="AO722" i="1"/>
  <c r="AP722" i="1" s="1"/>
  <c r="AN722" i="1"/>
  <c r="AM722" i="1"/>
  <c r="AL722" i="1"/>
  <c r="AK722" i="1"/>
  <c r="AJ722" i="1"/>
  <c r="AI722" i="1"/>
  <c r="AG722" i="1"/>
  <c r="AH722" i="1" s="1"/>
  <c r="BA722" i="1" s="1"/>
  <c r="AD722" i="1"/>
  <c r="BH721" i="1"/>
  <c r="BC721" i="1"/>
  <c r="AY721" i="1"/>
  <c r="AZ721" i="1" s="1"/>
  <c r="AX721" i="1"/>
  <c r="AW721" i="1"/>
  <c r="AU721" i="1"/>
  <c r="AV721" i="1" s="1"/>
  <c r="BD721" i="1" s="1"/>
  <c r="AS721" i="1"/>
  <c r="AT721" i="1" s="1"/>
  <c r="AM721" i="1"/>
  <c r="AN721" i="1" s="1"/>
  <c r="AK721" i="1"/>
  <c r="AL721" i="1" s="1"/>
  <c r="AI721" i="1"/>
  <c r="AJ721" i="1" s="1"/>
  <c r="AG721" i="1"/>
  <c r="AH721" i="1" s="1"/>
  <c r="BP720" i="1"/>
  <c r="BM720" i="1"/>
  <c r="BH720" i="1"/>
  <c r="AY720" i="1"/>
  <c r="AZ720" i="1" s="1"/>
  <c r="AX720" i="1"/>
  <c r="AW720" i="1"/>
  <c r="AU720" i="1"/>
  <c r="AV720" i="1" s="1"/>
  <c r="BD720" i="1" s="1"/>
  <c r="AS720" i="1"/>
  <c r="AT720" i="1" s="1"/>
  <c r="AR720" i="1"/>
  <c r="AQ720" i="1"/>
  <c r="AO720" i="1"/>
  <c r="AP720" i="1" s="1"/>
  <c r="BC720" i="1" s="1"/>
  <c r="AN720" i="1"/>
  <c r="AM720" i="1"/>
  <c r="AK720" i="1"/>
  <c r="AL720" i="1" s="1"/>
  <c r="AJ720" i="1"/>
  <c r="AI720" i="1"/>
  <c r="AG720" i="1"/>
  <c r="AH720" i="1" s="1"/>
  <c r="AD720" i="1"/>
  <c r="BP719" i="1"/>
  <c r="BM719" i="1"/>
  <c r="BH719" i="1"/>
  <c r="AY719" i="1"/>
  <c r="AZ719" i="1" s="1"/>
  <c r="AW719" i="1"/>
  <c r="AX719" i="1" s="1"/>
  <c r="AU719" i="1"/>
  <c r="AV719" i="1" s="1"/>
  <c r="AT719" i="1"/>
  <c r="AS719" i="1"/>
  <c r="AQ719" i="1"/>
  <c r="AR719" i="1" s="1"/>
  <c r="AO719" i="1"/>
  <c r="AP719" i="1" s="1"/>
  <c r="BC719" i="1" s="1"/>
  <c r="AM719" i="1"/>
  <c r="AN719" i="1" s="1"/>
  <c r="AK719" i="1"/>
  <c r="AL719" i="1" s="1"/>
  <c r="AI719" i="1"/>
  <c r="AJ719" i="1" s="1"/>
  <c r="AG719" i="1"/>
  <c r="AH719" i="1" s="1"/>
  <c r="AD719" i="1"/>
  <c r="BP718" i="1"/>
  <c r="BM718" i="1"/>
  <c r="BH718" i="1"/>
  <c r="AY718" i="1"/>
  <c r="AZ718" i="1" s="1"/>
  <c r="AW718" i="1"/>
  <c r="AX718" i="1" s="1"/>
  <c r="AU718" i="1"/>
  <c r="AV718" i="1" s="1"/>
  <c r="AS718" i="1"/>
  <c r="AT718" i="1" s="1"/>
  <c r="AR718" i="1"/>
  <c r="AQ718" i="1"/>
  <c r="AO718" i="1"/>
  <c r="AP718" i="1" s="1"/>
  <c r="AN718" i="1"/>
  <c r="AM718" i="1"/>
  <c r="AL718" i="1"/>
  <c r="AK718" i="1"/>
  <c r="AJ718" i="1"/>
  <c r="AI718" i="1"/>
  <c r="AG718" i="1"/>
  <c r="AH718" i="1" s="1"/>
  <c r="BA718" i="1" s="1"/>
  <c r="AD718" i="1"/>
  <c r="BP717" i="1"/>
  <c r="BM717" i="1"/>
  <c r="BH717" i="1"/>
  <c r="AY717" i="1"/>
  <c r="AZ717" i="1" s="1"/>
  <c r="AX717" i="1"/>
  <c r="AW717" i="1"/>
  <c r="AU717" i="1"/>
  <c r="AV717" i="1" s="1"/>
  <c r="AS717" i="1"/>
  <c r="AT717" i="1" s="1"/>
  <c r="AQ717" i="1"/>
  <c r="AR717" i="1" s="1"/>
  <c r="AO717" i="1"/>
  <c r="AP717" i="1" s="1"/>
  <c r="AM717" i="1"/>
  <c r="AN717" i="1" s="1"/>
  <c r="AL717" i="1"/>
  <c r="BB717" i="1" s="1"/>
  <c r="AK717" i="1"/>
  <c r="AJ717" i="1"/>
  <c r="AI717" i="1"/>
  <c r="AG717" i="1"/>
  <c r="AH717" i="1" s="1"/>
  <c r="BA717" i="1" s="1"/>
  <c r="AD717" i="1"/>
  <c r="BP716" i="1"/>
  <c r="BM716" i="1"/>
  <c r="BH716" i="1"/>
  <c r="AY716" i="1"/>
  <c r="AZ716" i="1" s="1"/>
  <c r="AW716" i="1"/>
  <c r="AX716" i="1" s="1"/>
  <c r="AU716" i="1"/>
  <c r="AV716" i="1" s="1"/>
  <c r="AS716" i="1"/>
  <c r="AT716" i="1" s="1"/>
  <c r="AQ716" i="1"/>
  <c r="AR716" i="1" s="1"/>
  <c r="AO716" i="1"/>
  <c r="AP716" i="1" s="1"/>
  <c r="BC716" i="1" s="1"/>
  <c r="AM716" i="1"/>
  <c r="AN716" i="1" s="1"/>
  <c r="AK716" i="1"/>
  <c r="AL716" i="1" s="1"/>
  <c r="AI716" i="1"/>
  <c r="AJ716" i="1" s="1"/>
  <c r="AG716" i="1"/>
  <c r="AH716" i="1" s="1"/>
  <c r="AD716" i="1"/>
  <c r="BP715" i="1"/>
  <c r="BM715" i="1"/>
  <c r="BH715" i="1"/>
  <c r="AY715" i="1"/>
  <c r="AZ715" i="1" s="1"/>
  <c r="AW715" i="1"/>
  <c r="AX715" i="1" s="1"/>
  <c r="AU715" i="1"/>
  <c r="AV715" i="1" s="1"/>
  <c r="AS715" i="1"/>
  <c r="AT715" i="1" s="1"/>
  <c r="BD715" i="1" s="1"/>
  <c r="AQ715" i="1"/>
  <c r="AR715" i="1" s="1"/>
  <c r="AP715" i="1"/>
  <c r="BC715" i="1" s="1"/>
  <c r="AO715" i="1"/>
  <c r="AN715" i="1"/>
  <c r="AM715" i="1"/>
  <c r="AL715" i="1"/>
  <c r="AK715" i="1"/>
  <c r="AI715" i="1"/>
  <c r="AJ715" i="1" s="1"/>
  <c r="AG715" i="1"/>
  <c r="AH715" i="1" s="1"/>
  <c r="BA715" i="1" s="1"/>
  <c r="AD715" i="1"/>
  <c r="BP714" i="1"/>
  <c r="BM714" i="1"/>
  <c r="BH714" i="1"/>
  <c r="AZ714" i="1"/>
  <c r="AY714" i="1"/>
  <c r="AW714" i="1"/>
  <c r="AX714" i="1" s="1"/>
  <c r="AU714" i="1"/>
  <c r="AV714" i="1" s="1"/>
  <c r="BD714" i="1" s="1"/>
  <c r="AS714" i="1"/>
  <c r="AT714" i="1" s="1"/>
  <c r="AQ714" i="1"/>
  <c r="AR714" i="1" s="1"/>
  <c r="AO714" i="1"/>
  <c r="AP714" i="1" s="1"/>
  <c r="AM714" i="1"/>
  <c r="AN714" i="1" s="1"/>
  <c r="AK714" i="1"/>
  <c r="AL714" i="1" s="1"/>
  <c r="AI714" i="1"/>
  <c r="AJ714" i="1" s="1"/>
  <c r="AG714" i="1"/>
  <c r="AH714" i="1" s="1"/>
  <c r="AD714" i="1"/>
  <c r="BP713" i="1"/>
  <c r="BM713" i="1"/>
  <c r="BH713" i="1"/>
  <c r="AY713" i="1"/>
  <c r="AZ713" i="1" s="1"/>
  <c r="AW713" i="1"/>
  <c r="AX713" i="1" s="1"/>
  <c r="AU713" i="1"/>
  <c r="AV713" i="1" s="1"/>
  <c r="AS713" i="1"/>
  <c r="AT713" i="1" s="1"/>
  <c r="BD713" i="1" s="1"/>
  <c r="AQ713" i="1"/>
  <c r="AR713" i="1" s="1"/>
  <c r="AO713" i="1"/>
  <c r="AP713" i="1" s="1"/>
  <c r="BC713" i="1" s="1"/>
  <c r="AM713" i="1"/>
  <c r="AN713" i="1" s="1"/>
  <c r="AK713" i="1"/>
  <c r="AL713" i="1" s="1"/>
  <c r="BB713" i="1" s="1"/>
  <c r="AI713" i="1"/>
  <c r="AJ713" i="1" s="1"/>
  <c r="AG713" i="1"/>
  <c r="AH713" i="1" s="1"/>
  <c r="BA713" i="1" s="1"/>
  <c r="AD713" i="1"/>
  <c r="BP712" i="1"/>
  <c r="BM712" i="1"/>
  <c r="BH712" i="1"/>
  <c r="AY712" i="1"/>
  <c r="AZ712" i="1" s="1"/>
  <c r="AW712" i="1"/>
  <c r="AX712" i="1" s="1"/>
  <c r="AU712" i="1"/>
  <c r="AV712" i="1" s="1"/>
  <c r="AS712" i="1"/>
  <c r="AT712" i="1" s="1"/>
  <c r="AR712" i="1"/>
  <c r="AQ712" i="1"/>
  <c r="AP712" i="1"/>
  <c r="AO712" i="1"/>
  <c r="AN712" i="1"/>
  <c r="AM712" i="1"/>
  <c r="AK712" i="1"/>
  <c r="AL712" i="1" s="1"/>
  <c r="AI712" i="1"/>
  <c r="AJ712" i="1" s="1"/>
  <c r="AH712" i="1"/>
  <c r="BA712" i="1" s="1"/>
  <c r="AG712" i="1"/>
  <c r="AD712" i="1"/>
  <c r="BP711" i="1"/>
  <c r="BM711" i="1"/>
  <c r="BH711" i="1"/>
  <c r="AY711" i="1"/>
  <c r="AZ711" i="1" s="1"/>
  <c r="AX711" i="1"/>
  <c r="BE711" i="1" s="1"/>
  <c r="AW711" i="1"/>
  <c r="AU711" i="1"/>
  <c r="AV711" i="1" s="1"/>
  <c r="AT711" i="1"/>
  <c r="AS711" i="1"/>
  <c r="AQ711" i="1"/>
  <c r="AR711" i="1" s="1"/>
  <c r="AP711" i="1"/>
  <c r="BC711" i="1" s="1"/>
  <c r="AO711" i="1"/>
  <c r="AM711" i="1"/>
  <c r="AN711" i="1" s="1"/>
  <c r="AK711" i="1"/>
  <c r="AL711" i="1" s="1"/>
  <c r="BB711" i="1" s="1"/>
  <c r="AI711" i="1"/>
  <c r="AJ711" i="1" s="1"/>
  <c r="AG711" i="1"/>
  <c r="AH711" i="1" s="1"/>
  <c r="BA711" i="1" s="1"/>
  <c r="AD711" i="1"/>
  <c r="BP710" i="1"/>
  <c r="BM710" i="1"/>
  <c r="BH710" i="1"/>
  <c r="AZ710" i="1"/>
  <c r="AY710" i="1"/>
  <c r="AW710" i="1"/>
  <c r="AX710" i="1" s="1"/>
  <c r="AU710" i="1"/>
  <c r="AV710" i="1" s="1"/>
  <c r="AS710" i="1"/>
  <c r="AT710" i="1" s="1"/>
  <c r="BD710" i="1" s="1"/>
  <c r="AR710" i="1"/>
  <c r="AQ710" i="1"/>
  <c r="AO710" i="1"/>
  <c r="AP710" i="1" s="1"/>
  <c r="BC710" i="1" s="1"/>
  <c r="AM710" i="1"/>
  <c r="AN710" i="1" s="1"/>
  <c r="AL710" i="1"/>
  <c r="AK710" i="1"/>
  <c r="AI710" i="1"/>
  <c r="AJ710" i="1" s="1"/>
  <c r="AG710" i="1"/>
  <c r="AH710" i="1" s="1"/>
  <c r="AD710" i="1"/>
  <c r="BP709" i="1"/>
  <c r="BM709" i="1"/>
  <c r="BH709" i="1"/>
  <c r="AY709" i="1"/>
  <c r="AZ709" i="1" s="1"/>
  <c r="AX709" i="1"/>
  <c r="AW709" i="1"/>
  <c r="AV709" i="1"/>
  <c r="AU709" i="1"/>
  <c r="AS709" i="1"/>
  <c r="AT709" i="1" s="1"/>
  <c r="AQ709" i="1"/>
  <c r="AR709" i="1" s="1"/>
  <c r="AO709" i="1"/>
  <c r="AP709" i="1" s="1"/>
  <c r="AM709" i="1"/>
  <c r="AN709" i="1" s="1"/>
  <c r="AK709" i="1"/>
  <c r="AL709" i="1" s="1"/>
  <c r="AJ709" i="1"/>
  <c r="AI709" i="1"/>
  <c r="AH709" i="1"/>
  <c r="BA709" i="1" s="1"/>
  <c r="AG709" i="1"/>
  <c r="AD709" i="1"/>
  <c r="BP708" i="1"/>
  <c r="BM708" i="1"/>
  <c r="BH708" i="1"/>
  <c r="AY708" i="1"/>
  <c r="AZ708" i="1" s="1"/>
  <c r="AW708" i="1"/>
  <c r="AX708" i="1" s="1"/>
  <c r="AV708" i="1"/>
  <c r="AU708" i="1"/>
  <c r="AS708" i="1"/>
  <c r="AT708" i="1" s="1"/>
  <c r="AQ708" i="1"/>
  <c r="AR708" i="1" s="1"/>
  <c r="AP708" i="1"/>
  <c r="AO708" i="1"/>
  <c r="AM708" i="1"/>
  <c r="AN708" i="1" s="1"/>
  <c r="AK708" i="1"/>
  <c r="AL708" i="1" s="1"/>
  <c r="AI708" i="1"/>
  <c r="AJ708" i="1" s="1"/>
  <c r="AG708" i="1"/>
  <c r="AH708" i="1" s="1"/>
  <c r="AD708" i="1"/>
  <c r="BP707" i="1"/>
  <c r="BM707" i="1"/>
  <c r="BH707" i="1"/>
  <c r="AY707" i="1"/>
  <c r="AZ707" i="1" s="1"/>
  <c r="BE707" i="1" s="1"/>
  <c r="AX707" i="1"/>
  <c r="AW707" i="1"/>
  <c r="AU707" i="1"/>
  <c r="AV707" i="1" s="1"/>
  <c r="AT707" i="1"/>
  <c r="AS707" i="1"/>
  <c r="AQ707" i="1"/>
  <c r="AR707" i="1" s="1"/>
  <c r="AP707" i="1"/>
  <c r="AO707" i="1"/>
  <c r="AM707" i="1"/>
  <c r="AN707" i="1" s="1"/>
  <c r="AK707" i="1"/>
  <c r="AL707" i="1" s="1"/>
  <c r="BB707" i="1" s="1"/>
  <c r="AI707" i="1"/>
  <c r="AJ707" i="1" s="1"/>
  <c r="AG707" i="1"/>
  <c r="AH707" i="1" s="1"/>
  <c r="AD707" i="1"/>
  <c r="BP706" i="1"/>
  <c r="BM706" i="1"/>
  <c r="BH706" i="1"/>
  <c r="AZ706" i="1"/>
  <c r="AY706" i="1"/>
  <c r="AX706" i="1"/>
  <c r="AW706" i="1"/>
  <c r="AU706" i="1"/>
  <c r="AV706" i="1" s="1"/>
  <c r="AT706" i="1"/>
  <c r="AS706" i="1"/>
  <c r="AQ706" i="1"/>
  <c r="AR706" i="1" s="1"/>
  <c r="AO706" i="1"/>
  <c r="AP706" i="1" s="1"/>
  <c r="BC706" i="1" s="1"/>
  <c r="AM706" i="1"/>
  <c r="AN706" i="1" s="1"/>
  <c r="AL706" i="1"/>
  <c r="AK706" i="1"/>
  <c r="AJ706" i="1"/>
  <c r="AI706" i="1"/>
  <c r="AG706" i="1"/>
  <c r="AH706" i="1" s="1"/>
  <c r="BA706" i="1" s="1"/>
  <c r="AD706" i="1"/>
  <c r="BP705" i="1"/>
  <c r="BM705" i="1"/>
  <c r="BH705" i="1"/>
  <c r="AZ705" i="1"/>
  <c r="AY705" i="1"/>
  <c r="AW705" i="1"/>
  <c r="AX705" i="1" s="1"/>
  <c r="AU705" i="1"/>
  <c r="AV705" i="1" s="1"/>
  <c r="AS705" i="1"/>
  <c r="AT705" i="1" s="1"/>
  <c r="BD705" i="1" s="1"/>
  <c r="AR705" i="1"/>
  <c r="AQ705" i="1"/>
  <c r="AO705" i="1"/>
  <c r="AP705" i="1" s="1"/>
  <c r="AM705" i="1"/>
  <c r="AN705" i="1" s="1"/>
  <c r="AK705" i="1"/>
  <c r="AL705" i="1" s="1"/>
  <c r="BB705" i="1" s="1"/>
  <c r="AJ705" i="1"/>
  <c r="AI705" i="1"/>
  <c r="AG705" i="1"/>
  <c r="AH705" i="1" s="1"/>
  <c r="BA705" i="1" s="1"/>
  <c r="AD705" i="1"/>
  <c r="BP704" i="1"/>
  <c r="BM704" i="1"/>
  <c r="BH704" i="1"/>
  <c r="AY704" i="1"/>
  <c r="AZ704" i="1" s="1"/>
  <c r="AX704" i="1"/>
  <c r="AW704" i="1"/>
  <c r="AU704" i="1"/>
  <c r="AV704" i="1" s="1"/>
  <c r="AS704" i="1"/>
  <c r="AT704" i="1" s="1"/>
  <c r="AQ704" i="1"/>
  <c r="AR704" i="1" s="1"/>
  <c r="AO704" i="1"/>
  <c r="AP704" i="1" s="1"/>
  <c r="BC704" i="1" s="1"/>
  <c r="AM704" i="1"/>
  <c r="AN704" i="1" s="1"/>
  <c r="AK704" i="1"/>
  <c r="AL704" i="1" s="1"/>
  <c r="AI704" i="1"/>
  <c r="AJ704" i="1" s="1"/>
  <c r="AG704" i="1"/>
  <c r="AH704" i="1" s="1"/>
  <c r="BA704" i="1" s="1"/>
  <c r="AD704" i="1"/>
  <c r="BP703" i="1"/>
  <c r="BM703" i="1"/>
  <c r="BH703" i="1"/>
  <c r="BE703" i="1"/>
  <c r="AY703" i="1"/>
  <c r="AZ703" i="1" s="1"/>
  <c r="AW703" i="1"/>
  <c r="AX703" i="1" s="1"/>
  <c r="AU703" i="1"/>
  <c r="AV703" i="1" s="1"/>
  <c r="AS703" i="1"/>
  <c r="AT703" i="1" s="1"/>
  <c r="BD703" i="1" s="1"/>
  <c r="AQ703" i="1"/>
  <c r="AR703" i="1" s="1"/>
  <c r="AO703" i="1"/>
  <c r="AP703" i="1" s="1"/>
  <c r="BC703" i="1" s="1"/>
  <c r="AM703" i="1"/>
  <c r="AN703" i="1" s="1"/>
  <c r="AK703" i="1"/>
  <c r="AL703" i="1" s="1"/>
  <c r="AI703" i="1"/>
  <c r="AJ703" i="1" s="1"/>
  <c r="AG703" i="1"/>
  <c r="AH703" i="1" s="1"/>
  <c r="AD703" i="1"/>
  <c r="BP702" i="1"/>
  <c r="BM702" i="1"/>
  <c r="BH702" i="1"/>
  <c r="AY702" i="1"/>
  <c r="AZ702" i="1" s="1"/>
  <c r="AW702" i="1"/>
  <c r="AX702" i="1" s="1"/>
  <c r="AU702" i="1"/>
  <c r="AV702" i="1" s="1"/>
  <c r="AS702" i="1"/>
  <c r="AT702" i="1" s="1"/>
  <c r="BD702" i="1" s="1"/>
  <c r="AQ702" i="1"/>
  <c r="AR702" i="1" s="1"/>
  <c r="BC702" i="1" s="1"/>
  <c r="AO702" i="1"/>
  <c r="AP702" i="1" s="1"/>
  <c r="AM702" i="1"/>
  <c r="AN702" i="1" s="1"/>
  <c r="AL702" i="1"/>
  <c r="BB702" i="1" s="1"/>
  <c r="AK702" i="1"/>
  <c r="AI702" i="1"/>
  <c r="AJ702" i="1" s="1"/>
  <c r="AG702" i="1"/>
  <c r="AH702" i="1" s="1"/>
  <c r="AD702" i="1"/>
  <c r="BP701" i="1"/>
  <c r="BM701" i="1"/>
  <c r="BH701" i="1"/>
  <c r="AZ701" i="1"/>
  <c r="AY701" i="1"/>
  <c r="AW701" i="1"/>
  <c r="AX701" i="1" s="1"/>
  <c r="AU701" i="1"/>
  <c r="AV701" i="1" s="1"/>
  <c r="AS701" i="1"/>
  <c r="AT701" i="1" s="1"/>
  <c r="AQ701" i="1"/>
  <c r="AR701" i="1" s="1"/>
  <c r="AO701" i="1"/>
  <c r="AP701" i="1" s="1"/>
  <c r="AM701" i="1"/>
  <c r="AN701" i="1" s="1"/>
  <c r="AK701" i="1"/>
  <c r="AL701" i="1" s="1"/>
  <c r="BB701" i="1" s="1"/>
  <c r="AI701" i="1"/>
  <c r="AJ701" i="1" s="1"/>
  <c r="AH701" i="1"/>
  <c r="AG701" i="1"/>
  <c r="AD701" i="1"/>
  <c r="BP700" i="1"/>
  <c r="BM700" i="1"/>
  <c r="BH700" i="1"/>
  <c r="AY700" i="1"/>
  <c r="AZ700" i="1" s="1"/>
  <c r="AW700" i="1"/>
  <c r="AX700" i="1" s="1"/>
  <c r="BE700" i="1" s="1"/>
  <c r="AU700" i="1"/>
  <c r="AV700" i="1" s="1"/>
  <c r="AS700" i="1"/>
  <c r="AT700" i="1" s="1"/>
  <c r="BD700" i="1" s="1"/>
  <c r="AQ700" i="1"/>
  <c r="AR700" i="1" s="1"/>
  <c r="AO700" i="1"/>
  <c r="AP700" i="1" s="1"/>
  <c r="AM700" i="1"/>
  <c r="AN700" i="1" s="1"/>
  <c r="AK700" i="1"/>
  <c r="AL700" i="1" s="1"/>
  <c r="AI700" i="1"/>
  <c r="AJ700" i="1" s="1"/>
  <c r="AG700" i="1"/>
  <c r="AH700" i="1" s="1"/>
  <c r="AD700" i="1"/>
  <c r="BP699" i="1"/>
  <c r="BM699" i="1"/>
  <c r="BH699" i="1"/>
  <c r="AY699" i="1"/>
  <c r="AZ699" i="1" s="1"/>
  <c r="AW699" i="1"/>
  <c r="AX699" i="1" s="1"/>
  <c r="BE699" i="1" s="1"/>
  <c r="AU699" i="1"/>
  <c r="AV699" i="1" s="1"/>
  <c r="AS699" i="1"/>
  <c r="AT699" i="1" s="1"/>
  <c r="BD699" i="1" s="1"/>
  <c r="AQ699" i="1"/>
  <c r="AR699" i="1" s="1"/>
  <c r="AO699" i="1"/>
  <c r="AP699" i="1" s="1"/>
  <c r="AM699" i="1"/>
  <c r="AN699" i="1" s="1"/>
  <c r="AK699" i="1"/>
  <c r="AL699" i="1" s="1"/>
  <c r="BB699" i="1" s="1"/>
  <c r="AI699" i="1"/>
  <c r="AJ699" i="1" s="1"/>
  <c r="AG699" i="1"/>
  <c r="AH699" i="1" s="1"/>
  <c r="BA699" i="1" s="1"/>
  <c r="AD699" i="1"/>
  <c r="BP698" i="1"/>
  <c r="BM698" i="1"/>
  <c r="BH698" i="1"/>
  <c r="AY698" i="1"/>
  <c r="AZ698" i="1" s="1"/>
  <c r="AW698" i="1"/>
  <c r="AX698" i="1" s="1"/>
  <c r="AU698" i="1"/>
  <c r="AV698" i="1" s="1"/>
  <c r="AS698" i="1"/>
  <c r="AT698" i="1" s="1"/>
  <c r="AQ698" i="1"/>
  <c r="AR698" i="1" s="1"/>
  <c r="AO698" i="1"/>
  <c r="AP698" i="1" s="1"/>
  <c r="AM698" i="1"/>
  <c r="AN698" i="1" s="1"/>
  <c r="AK698" i="1"/>
  <c r="AL698" i="1" s="1"/>
  <c r="BB698" i="1" s="1"/>
  <c r="AI698" i="1"/>
  <c r="AJ698" i="1" s="1"/>
  <c r="AG698" i="1"/>
  <c r="AH698" i="1" s="1"/>
  <c r="AD698" i="1"/>
  <c r="BP697" i="1"/>
  <c r="BM697" i="1"/>
  <c r="BH697" i="1"/>
  <c r="AY697" i="1"/>
  <c r="AZ697" i="1" s="1"/>
  <c r="AW697" i="1"/>
  <c r="AX697" i="1" s="1"/>
  <c r="BE697" i="1" s="1"/>
  <c r="AU697" i="1"/>
  <c r="AV697" i="1" s="1"/>
  <c r="AS697" i="1"/>
  <c r="AT697" i="1" s="1"/>
  <c r="AQ697" i="1"/>
  <c r="AR697" i="1" s="1"/>
  <c r="AO697" i="1"/>
  <c r="AP697" i="1" s="1"/>
  <c r="AM697" i="1"/>
  <c r="AN697" i="1" s="1"/>
  <c r="AK697" i="1"/>
  <c r="AL697" i="1" s="1"/>
  <c r="AJ697" i="1"/>
  <c r="AI697" i="1"/>
  <c r="AG697" i="1"/>
  <c r="AH697" i="1" s="1"/>
  <c r="AD697" i="1"/>
  <c r="BP696" i="1"/>
  <c r="BM696" i="1"/>
  <c r="BH696" i="1"/>
  <c r="AY696" i="1"/>
  <c r="AZ696" i="1" s="1"/>
  <c r="AW696" i="1"/>
  <c r="AX696" i="1" s="1"/>
  <c r="BE696" i="1" s="1"/>
  <c r="AV696" i="1"/>
  <c r="AU696" i="1"/>
  <c r="AS696" i="1"/>
  <c r="AT696" i="1" s="1"/>
  <c r="AQ696" i="1"/>
  <c r="AR696" i="1" s="1"/>
  <c r="AO696" i="1"/>
  <c r="AP696" i="1" s="1"/>
  <c r="AM696" i="1"/>
  <c r="AN696" i="1" s="1"/>
  <c r="AK696" i="1"/>
  <c r="AL696" i="1" s="1"/>
  <c r="AI696" i="1"/>
  <c r="AJ696" i="1" s="1"/>
  <c r="AG696" i="1"/>
  <c r="AH696" i="1" s="1"/>
  <c r="BA696" i="1" s="1"/>
  <c r="AD696" i="1"/>
  <c r="BP695" i="1"/>
  <c r="BM695" i="1"/>
  <c r="BH695" i="1"/>
  <c r="BE695" i="1"/>
  <c r="AY695" i="1"/>
  <c r="AZ695" i="1" s="1"/>
  <c r="AW695" i="1"/>
  <c r="AX695" i="1" s="1"/>
  <c r="AU695" i="1"/>
  <c r="AV695" i="1" s="1"/>
  <c r="AS695" i="1"/>
  <c r="AT695" i="1" s="1"/>
  <c r="AQ695" i="1"/>
  <c r="AR695" i="1" s="1"/>
  <c r="AO695" i="1"/>
  <c r="AP695" i="1" s="1"/>
  <c r="BC695" i="1" s="1"/>
  <c r="AM695" i="1"/>
  <c r="AN695" i="1" s="1"/>
  <c r="AK695" i="1"/>
  <c r="AL695" i="1" s="1"/>
  <c r="AI695" i="1"/>
  <c r="AJ695" i="1" s="1"/>
  <c r="AG695" i="1"/>
  <c r="AH695" i="1" s="1"/>
  <c r="AD695" i="1"/>
  <c r="BP694" i="1"/>
  <c r="BM694" i="1"/>
  <c r="BH694" i="1"/>
  <c r="AZ694" i="1"/>
  <c r="AY694" i="1"/>
  <c r="AW694" i="1"/>
  <c r="AX694" i="1" s="1"/>
  <c r="BE694" i="1" s="1"/>
  <c r="AU694" i="1"/>
  <c r="AV694" i="1" s="1"/>
  <c r="AS694" i="1"/>
  <c r="AT694" i="1" s="1"/>
  <c r="BD694" i="1" s="1"/>
  <c r="AQ694" i="1"/>
  <c r="AR694" i="1" s="1"/>
  <c r="BC694" i="1" s="1"/>
  <c r="AO694" i="1"/>
  <c r="AP694" i="1" s="1"/>
  <c r="AM694" i="1"/>
  <c r="AN694" i="1" s="1"/>
  <c r="AK694" i="1"/>
  <c r="AL694" i="1" s="1"/>
  <c r="BB694" i="1" s="1"/>
  <c r="AI694" i="1"/>
  <c r="AJ694" i="1" s="1"/>
  <c r="BA694" i="1" s="1"/>
  <c r="AG694" i="1"/>
  <c r="AH694" i="1" s="1"/>
  <c r="AD694" i="1"/>
  <c r="BP693" i="1"/>
  <c r="BM693" i="1"/>
  <c r="BH693" i="1"/>
  <c r="AY693" i="1"/>
  <c r="AZ693" i="1" s="1"/>
  <c r="AW693" i="1"/>
  <c r="AX693" i="1" s="1"/>
  <c r="AU693" i="1"/>
  <c r="AV693" i="1" s="1"/>
  <c r="AS693" i="1"/>
  <c r="AT693" i="1" s="1"/>
  <c r="AQ693" i="1"/>
  <c r="AR693" i="1" s="1"/>
  <c r="BC693" i="1" s="1"/>
  <c r="AO693" i="1"/>
  <c r="AP693" i="1" s="1"/>
  <c r="AM693" i="1"/>
  <c r="AN693" i="1" s="1"/>
  <c r="AK693" i="1"/>
  <c r="AL693" i="1" s="1"/>
  <c r="BB693" i="1" s="1"/>
  <c r="AI693" i="1"/>
  <c r="AJ693" i="1" s="1"/>
  <c r="AG693" i="1"/>
  <c r="AH693" i="1" s="1"/>
  <c r="BA693" i="1" s="1"/>
  <c r="AD693" i="1"/>
  <c r="BP692" i="1"/>
  <c r="BM692" i="1"/>
  <c r="BH692" i="1"/>
  <c r="AY692" i="1"/>
  <c r="AZ692" i="1" s="1"/>
  <c r="AW692" i="1"/>
  <c r="AX692" i="1" s="1"/>
  <c r="BE692" i="1" s="1"/>
  <c r="AU692" i="1"/>
  <c r="AV692" i="1" s="1"/>
  <c r="AS692" i="1"/>
  <c r="AT692" i="1" s="1"/>
  <c r="BD692" i="1" s="1"/>
  <c r="AQ692" i="1"/>
  <c r="AR692" i="1" s="1"/>
  <c r="AO692" i="1"/>
  <c r="AP692" i="1" s="1"/>
  <c r="BC692" i="1" s="1"/>
  <c r="AM692" i="1"/>
  <c r="AN692" i="1" s="1"/>
  <c r="AK692" i="1"/>
  <c r="AL692" i="1" s="1"/>
  <c r="AI692" i="1"/>
  <c r="AJ692" i="1" s="1"/>
  <c r="AH692" i="1"/>
  <c r="AG692" i="1"/>
  <c r="AD692" i="1"/>
  <c r="BP691" i="1"/>
  <c r="BM691" i="1"/>
  <c r="BH691" i="1"/>
  <c r="AY691" i="1"/>
  <c r="AZ691" i="1" s="1"/>
  <c r="AW691" i="1"/>
  <c r="AX691" i="1" s="1"/>
  <c r="BE691" i="1" s="1"/>
  <c r="AV691" i="1"/>
  <c r="AU691" i="1"/>
  <c r="AS691" i="1"/>
  <c r="AT691" i="1" s="1"/>
  <c r="AQ691" i="1"/>
  <c r="AR691" i="1" s="1"/>
  <c r="AO691" i="1"/>
  <c r="AP691" i="1" s="1"/>
  <c r="BC691" i="1" s="1"/>
  <c r="AM691" i="1"/>
  <c r="AN691" i="1" s="1"/>
  <c r="AK691" i="1"/>
  <c r="AL691" i="1" s="1"/>
  <c r="BB691" i="1" s="1"/>
  <c r="AI691" i="1"/>
  <c r="AJ691" i="1" s="1"/>
  <c r="AG691" i="1"/>
  <c r="AH691" i="1" s="1"/>
  <c r="BA691" i="1" s="1"/>
  <c r="AD691" i="1"/>
  <c r="BP690" i="1"/>
  <c r="BM690" i="1"/>
  <c r="BH690" i="1"/>
  <c r="AY690" i="1"/>
  <c r="AZ690" i="1" s="1"/>
  <c r="BE690" i="1" s="1"/>
  <c r="AW690" i="1"/>
  <c r="AX690" i="1" s="1"/>
  <c r="AU690" i="1"/>
  <c r="AV690" i="1" s="1"/>
  <c r="AT690" i="1"/>
  <c r="BD690" i="1" s="1"/>
  <c r="AS690" i="1"/>
  <c r="AR690" i="1"/>
  <c r="BC690" i="1" s="1"/>
  <c r="AQ690" i="1"/>
  <c r="AO690" i="1"/>
  <c r="AP690" i="1" s="1"/>
  <c r="AM690" i="1"/>
  <c r="AN690" i="1" s="1"/>
  <c r="AL690" i="1"/>
  <c r="BB690" i="1" s="1"/>
  <c r="AK690" i="1"/>
  <c r="AI690" i="1"/>
  <c r="AJ690" i="1" s="1"/>
  <c r="AG690" i="1"/>
  <c r="AH690" i="1" s="1"/>
  <c r="AD690" i="1"/>
  <c r="BP689" i="1"/>
  <c r="BM689" i="1"/>
  <c r="BH689" i="1"/>
  <c r="AY689" i="1"/>
  <c r="AZ689" i="1" s="1"/>
  <c r="AW689" i="1"/>
  <c r="AX689" i="1" s="1"/>
  <c r="BE689" i="1" s="1"/>
  <c r="AU689" i="1"/>
  <c r="AV689" i="1" s="1"/>
  <c r="AS689" i="1"/>
  <c r="AT689" i="1" s="1"/>
  <c r="AQ689" i="1"/>
  <c r="AR689" i="1" s="1"/>
  <c r="AP689" i="1"/>
  <c r="AO689" i="1"/>
  <c r="AM689" i="1"/>
  <c r="AN689" i="1" s="1"/>
  <c r="AK689" i="1"/>
  <c r="AL689" i="1" s="1"/>
  <c r="BB689" i="1" s="1"/>
  <c r="AI689" i="1"/>
  <c r="AJ689" i="1" s="1"/>
  <c r="AG689" i="1"/>
  <c r="AH689" i="1" s="1"/>
  <c r="AD689" i="1"/>
  <c r="BP688" i="1"/>
  <c r="BM688" i="1"/>
  <c r="BH688" i="1"/>
  <c r="AY688" i="1"/>
  <c r="AZ688" i="1" s="1"/>
  <c r="AW688" i="1"/>
  <c r="AX688" i="1" s="1"/>
  <c r="AU688" i="1"/>
  <c r="AV688" i="1" s="1"/>
  <c r="AS688" i="1"/>
  <c r="AT688" i="1" s="1"/>
  <c r="BD688" i="1" s="1"/>
  <c r="AQ688" i="1"/>
  <c r="AR688" i="1" s="1"/>
  <c r="AP688" i="1"/>
  <c r="BC688" i="1" s="1"/>
  <c r="AO688" i="1"/>
  <c r="AM688" i="1"/>
  <c r="AN688" i="1" s="1"/>
  <c r="AK688" i="1"/>
  <c r="AL688" i="1" s="1"/>
  <c r="AI688" i="1"/>
  <c r="AJ688" i="1" s="1"/>
  <c r="AG688" i="1"/>
  <c r="AH688" i="1" s="1"/>
  <c r="AD688" i="1"/>
  <c r="BP687" i="1"/>
  <c r="BM687" i="1"/>
  <c r="BH687" i="1"/>
  <c r="AY687" i="1"/>
  <c r="AZ687" i="1" s="1"/>
  <c r="AW687" i="1"/>
  <c r="AX687" i="1" s="1"/>
  <c r="BE687" i="1" s="1"/>
  <c r="AU687" i="1"/>
  <c r="AV687" i="1" s="1"/>
  <c r="AT687" i="1"/>
  <c r="BD687" i="1" s="1"/>
  <c r="AS687" i="1"/>
  <c r="AQ687" i="1"/>
  <c r="AR687" i="1" s="1"/>
  <c r="AO687" i="1"/>
  <c r="AP687" i="1" s="1"/>
  <c r="AM687" i="1"/>
  <c r="AN687" i="1" s="1"/>
  <c r="AK687" i="1"/>
  <c r="AL687" i="1" s="1"/>
  <c r="BB687" i="1" s="1"/>
  <c r="AI687" i="1"/>
  <c r="AJ687" i="1" s="1"/>
  <c r="AG687" i="1"/>
  <c r="AH687" i="1" s="1"/>
  <c r="AD687" i="1"/>
  <c r="BP686" i="1"/>
  <c r="BM686" i="1"/>
  <c r="BH686" i="1"/>
  <c r="BD686" i="1"/>
  <c r="AY686" i="1"/>
  <c r="AZ686" i="1" s="1"/>
  <c r="AW686" i="1"/>
  <c r="AX686" i="1" s="1"/>
  <c r="BE686" i="1" s="1"/>
  <c r="AV686" i="1"/>
  <c r="AU686" i="1"/>
  <c r="AS686" i="1"/>
  <c r="AT686" i="1" s="1"/>
  <c r="AQ686" i="1"/>
  <c r="AR686" i="1" s="1"/>
  <c r="AO686" i="1"/>
  <c r="AP686" i="1" s="1"/>
  <c r="BC686" i="1" s="1"/>
  <c r="AM686" i="1"/>
  <c r="AN686" i="1" s="1"/>
  <c r="AK686" i="1"/>
  <c r="AL686" i="1" s="1"/>
  <c r="AI686" i="1"/>
  <c r="AJ686" i="1" s="1"/>
  <c r="AG686" i="1"/>
  <c r="AH686" i="1" s="1"/>
  <c r="BA686" i="1" s="1"/>
  <c r="AD686" i="1"/>
  <c r="BP685" i="1"/>
  <c r="BM685" i="1"/>
  <c r="BH685" i="1"/>
  <c r="AY685" i="1"/>
  <c r="AZ685" i="1" s="1"/>
  <c r="BE685" i="1" s="1"/>
  <c r="AW685" i="1"/>
  <c r="AX685" i="1" s="1"/>
  <c r="AU685" i="1"/>
  <c r="AV685" i="1" s="1"/>
  <c r="AS685" i="1"/>
  <c r="AT685" i="1" s="1"/>
  <c r="BD685" i="1" s="1"/>
  <c r="AQ685" i="1"/>
  <c r="AR685" i="1" s="1"/>
  <c r="AO685" i="1"/>
  <c r="AP685" i="1" s="1"/>
  <c r="AM685" i="1"/>
  <c r="AN685" i="1" s="1"/>
  <c r="AK685" i="1"/>
  <c r="AL685" i="1" s="1"/>
  <c r="BB685" i="1" s="1"/>
  <c r="AI685" i="1"/>
  <c r="AJ685" i="1" s="1"/>
  <c r="AG685" i="1"/>
  <c r="AH685" i="1" s="1"/>
  <c r="BA685" i="1" s="1"/>
  <c r="AD685" i="1"/>
  <c r="BP684" i="1"/>
  <c r="BM684" i="1"/>
  <c r="BH684" i="1"/>
  <c r="AY684" i="1"/>
  <c r="AZ684" i="1" s="1"/>
  <c r="BE684" i="1" s="1"/>
  <c r="AW684" i="1"/>
  <c r="AX684" i="1" s="1"/>
  <c r="AU684" i="1"/>
  <c r="AV684" i="1" s="1"/>
  <c r="AS684" i="1"/>
  <c r="AT684" i="1" s="1"/>
  <c r="AQ684" i="1"/>
  <c r="AR684" i="1" s="1"/>
  <c r="AO684" i="1"/>
  <c r="AP684" i="1" s="1"/>
  <c r="AM684" i="1"/>
  <c r="AN684" i="1" s="1"/>
  <c r="AK684" i="1"/>
  <c r="AL684" i="1" s="1"/>
  <c r="AI684" i="1"/>
  <c r="AJ684" i="1" s="1"/>
  <c r="AG684" i="1"/>
  <c r="AH684" i="1" s="1"/>
  <c r="BA684" i="1" s="1"/>
  <c r="AD684" i="1"/>
  <c r="BP683" i="1"/>
  <c r="BM683" i="1"/>
  <c r="BH683" i="1"/>
  <c r="AY683" i="1"/>
  <c r="AZ683" i="1" s="1"/>
  <c r="AW683" i="1"/>
  <c r="AX683" i="1" s="1"/>
  <c r="BE683" i="1" s="1"/>
  <c r="AU683" i="1"/>
  <c r="AV683" i="1" s="1"/>
  <c r="AS683" i="1"/>
  <c r="AT683" i="1" s="1"/>
  <c r="BD683" i="1" s="1"/>
  <c r="AQ683" i="1"/>
  <c r="AR683" i="1" s="1"/>
  <c r="AO683" i="1"/>
  <c r="AP683" i="1" s="1"/>
  <c r="BC683" i="1" s="1"/>
  <c r="AM683" i="1"/>
  <c r="AN683" i="1" s="1"/>
  <c r="AK683" i="1"/>
  <c r="AL683" i="1" s="1"/>
  <c r="BB683" i="1" s="1"/>
  <c r="AI683" i="1"/>
  <c r="AJ683" i="1" s="1"/>
  <c r="AG683" i="1"/>
  <c r="AH683" i="1" s="1"/>
  <c r="BA683" i="1" s="1"/>
  <c r="AD683" i="1"/>
  <c r="BP682" i="1"/>
  <c r="BM682" i="1"/>
  <c r="BH682" i="1"/>
  <c r="AY682" i="1"/>
  <c r="AZ682" i="1" s="1"/>
  <c r="AW682" i="1"/>
  <c r="AX682" i="1" s="1"/>
  <c r="AV682" i="1"/>
  <c r="AU682" i="1"/>
  <c r="AS682" i="1"/>
  <c r="AT682" i="1" s="1"/>
  <c r="AQ682" i="1"/>
  <c r="AR682" i="1" s="1"/>
  <c r="AO682" i="1"/>
  <c r="AP682" i="1" s="1"/>
  <c r="AN682" i="1"/>
  <c r="AM682" i="1"/>
  <c r="AK682" i="1"/>
  <c r="AL682" i="1" s="1"/>
  <c r="AI682" i="1"/>
  <c r="AJ682" i="1" s="1"/>
  <c r="AG682" i="1"/>
  <c r="AH682" i="1" s="1"/>
  <c r="BA682" i="1" s="1"/>
  <c r="AD682" i="1"/>
  <c r="BP681" i="1"/>
  <c r="BM681" i="1"/>
  <c r="BH681" i="1"/>
  <c r="AY681" i="1"/>
  <c r="AZ681" i="1" s="1"/>
  <c r="BE681" i="1" s="1"/>
  <c r="AW681" i="1"/>
  <c r="AX681" i="1" s="1"/>
  <c r="AU681" i="1"/>
  <c r="AV681" i="1" s="1"/>
  <c r="AS681" i="1"/>
  <c r="AT681" i="1" s="1"/>
  <c r="AQ681" i="1"/>
  <c r="AR681" i="1" s="1"/>
  <c r="AO681" i="1"/>
  <c r="AP681" i="1" s="1"/>
  <c r="AM681" i="1"/>
  <c r="AN681" i="1" s="1"/>
  <c r="AK681" i="1"/>
  <c r="AL681" i="1" s="1"/>
  <c r="BB681" i="1" s="1"/>
  <c r="AI681" i="1"/>
  <c r="AJ681" i="1" s="1"/>
  <c r="AG681" i="1"/>
  <c r="AH681" i="1" s="1"/>
  <c r="AD681" i="1"/>
  <c r="BP680" i="1"/>
  <c r="BM680" i="1"/>
  <c r="BH680" i="1"/>
  <c r="AY680" i="1"/>
  <c r="AZ680" i="1" s="1"/>
  <c r="AW680" i="1"/>
  <c r="AX680" i="1" s="1"/>
  <c r="BE680" i="1" s="1"/>
  <c r="AU680" i="1"/>
  <c r="AV680" i="1" s="1"/>
  <c r="AS680" i="1"/>
  <c r="AT680" i="1" s="1"/>
  <c r="BD680" i="1" s="1"/>
  <c r="AR680" i="1"/>
  <c r="AQ680" i="1"/>
  <c r="AO680" i="1"/>
  <c r="AP680" i="1" s="1"/>
  <c r="AM680" i="1"/>
  <c r="AN680" i="1" s="1"/>
  <c r="AK680" i="1"/>
  <c r="AL680" i="1" s="1"/>
  <c r="BB680" i="1" s="1"/>
  <c r="AJ680" i="1"/>
  <c r="BA680" i="1" s="1"/>
  <c r="AI680" i="1"/>
  <c r="AG680" i="1"/>
  <c r="AH680" i="1" s="1"/>
  <c r="AD680" i="1"/>
  <c r="BP679" i="1"/>
  <c r="BM679" i="1"/>
  <c r="BH679" i="1"/>
  <c r="AY679" i="1"/>
  <c r="AZ679" i="1" s="1"/>
  <c r="AW679" i="1"/>
  <c r="AX679" i="1" s="1"/>
  <c r="AU679" i="1"/>
  <c r="AV679" i="1" s="1"/>
  <c r="AS679" i="1"/>
  <c r="AT679" i="1" s="1"/>
  <c r="AQ679" i="1"/>
  <c r="AR679" i="1" s="1"/>
  <c r="AO679" i="1"/>
  <c r="AP679" i="1" s="1"/>
  <c r="BC679" i="1" s="1"/>
  <c r="AM679" i="1"/>
  <c r="AN679" i="1" s="1"/>
  <c r="AK679" i="1"/>
  <c r="AL679" i="1" s="1"/>
  <c r="BB679" i="1" s="1"/>
  <c r="AI679" i="1"/>
  <c r="AJ679" i="1" s="1"/>
  <c r="AH679" i="1"/>
  <c r="BA679" i="1" s="1"/>
  <c r="AG679" i="1"/>
  <c r="AD679" i="1"/>
  <c r="BP678" i="1"/>
  <c r="BM678" i="1"/>
  <c r="BH678" i="1"/>
  <c r="AY678" i="1"/>
  <c r="AZ678" i="1" s="1"/>
  <c r="AW678" i="1"/>
  <c r="AX678" i="1" s="1"/>
  <c r="BE678" i="1" s="1"/>
  <c r="AU678" i="1"/>
  <c r="AV678" i="1" s="1"/>
  <c r="AS678" i="1"/>
  <c r="AT678" i="1" s="1"/>
  <c r="BD678" i="1" s="1"/>
  <c r="AQ678" i="1"/>
  <c r="AR678" i="1" s="1"/>
  <c r="AO678" i="1"/>
  <c r="AP678" i="1" s="1"/>
  <c r="AM678" i="1"/>
  <c r="AN678" i="1" s="1"/>
  <c r="AK678" i="1"/>
  <c r="AL678" i="1" s="1"/>
  <c r="AI678" i="1"/>
  <c r="AJ678" i="1" s="1"/>
  <c r="BA678" i="1" s="1"/>
  <c r="AG678" i="1"/>
  <c r="AH678" i="1" s="1"/>
  <c r="AD678" i="1"/>
  <c r="BP677" i="1"/>
  <c r="BM677" i="1"/>
  <c r="BH677" i="1"/>
  <c r="AY677" i="1"/>
  <c r="AZ677" i="1" s="1"/>
  <c r="AW677" i="1"/>
  <c r="AX677" i="1" s="1"/>
  <c r="BE677" i="1" s="1"/>
  <c r="AU677" i="1"/>
  <c r="AV677" i="1" s="1"/>
  <c r="AS677" i="1"/>
  <c r="AT677" i="1" s="1"/>
  <c r="AQ677" i="1"/>
  <c r="AR677" i="1" s="1"/>
  <c r="AO677" i="1"/>
  <c r="AP677" i="1" s="1"/>
  <c r="BC677" i="1" s="1"/>
  <c r="AM677" i="1"/>
  <c r="AN677" i="1" s="1"/>
  <c r="AK677" i="1"/>
  <c r="AL677" i="1" s="1"/>
  <c r="AI677" i="1"/>
  <c r="AJ677" i="1" s="1"/>
  <c r="AG677" i="1"/>
  <c r="AH677" i="1" s="1"/>
  <c r="AD677" i="1"/>
  <c r="BP676" i="1"/>
  <c r="BM676" i="1"/>
  <c r="BH676" i="1"/>
  <c r="AY676" i="1"/>
  <c r="AZ676" i="1" s="1"/>
  <c r="BE676" i="1" s="1"/>
  <c r="AW676" i="1"/>
  <c r="AX676" i="1" s="1"/>
  <c r="AU676" i="1"/>
  <c r="AV676" i="1" s="1"/>
  <c r="AS676" i="1"/>
  <c r="AT676" i="1" s="1"/>
  <c r="AQ676" i="1"/>
  <c r="AR676" i="1" s="1"/>
  <c r="AO676" i="1"/>
  <c r="AP676" i="1" s="1"/>
  <c r="BC676" i="1" s="1"/>
  <c r="AM676" i="1"/>
  <c r="AN676" i="1" s="1"/>
  <c r="AK676" i="1"/>
  <c r="AL676" i="1" s="1"/>
  <c r="BB676" i="1" s="1"/>
  <c r="AI676" i="1"/>
  <c r="AJ676" i="1" s="1"/>
  <c r="BA676" i="1" s="1"/>
  <c r="AG676" i="1"/>
  <c r="AH676" i="1" s="1"/>
  <c r="AD676" i="1"/>
  <c r="BP675" i="1"/>
  <c r="BM675" i="1"/>
  <c r="BH675" i="1"/>
  <c r="AY675" i="1"/>
  <c r="AZ675" i="1" s="1"/>
  <c r="AW675" i="1"/>
  <c r="AX675" i="1" s="1"/>
  <c r="BE675" i="1" s="1"/>
  <c r="AU675" i="1"/>
  <c r="AV675" i="1" s="1"/>
  <c r="AS675" i="1"/>
  <c r="AT675" i="1" s="1"/>
  <c r="AQ675" i="1"/>
  <c r="AR675" i="1" s="1"/>
  <c r="AO675" i="1"/>
  <c r="AP675" i="1" s="1"/>
  <c r="BC675" i="1" s="1"/>
  <c r="AM675" i="1"/>
  <c r="AN675" i="1" s="1"/>
  <c r="AK675" i="1"/>
  <c r="AL675" i="1" s="1"/>
  <c r="AI675" i="1"/>
  <c r="AJ675" i="1" s="1"/>
  <c r="AH675" i="1"/>
  <c r="AG675" i="1"/>
  <c r="AD675" i="1"/>
  <c r="BP674" i="1"/>
  <c r="BM674" i="1"/>
  <c r="BH674" i="1"/>
  <c r="AZ674" i="1"/>
  <c r="AY674" i="1"/>
  <c r="AW674" i="1"/>
  <c r="AX674" i="1" s="1"/>
  <c r="AV674" i="1"/>
  <c r="AU674" i="1"/>
  <c r="AT674" i="1"/>
  <c r="BD674" i="1" s="1"/>
  <c r="AS674" i="1"/>
  <c r="AQ674" i="1"/>
  <c r="AR674" i="1" s="1"/>
  <c r="AO674" i="1"/>
  <c r="AP674" i="1" s="1"/>
  <c r="AN674" i="1"/>
  <c r="AM674" i="1"/>
  <c r="AK674" i="1"/>
  <c r="AL674" i="1" s="1"/>
  <c r="AI674" i="1"/>
  <c r="AJ674" i="1" s="1"/>
  <c r="AG674" i="1"/>
  <c r="AH674" i="1" s="1"/>
  <c r="AD674" i="1"/>
  <c r="BP673" i="1"/>
  <c r="BM673" i="1"/>
  <c r="BH673" i="1"/>
  <c r="AY673" i="1"/>
  <c r="AZ673" i="1" s="1"/>
  <c r="AW673" i="1"/>
  <c r="AX673" i="1" s="1"/>
  <c r="BE673" i="1" s="1"/>
  <c r="AU673" i="1"/>
  <c r="AV673" i="1" s="1"/>
  <c r="AT673" i="1"/>
  <c r="AS673" i="1"/>
  <c r="AR673" i="1"/>
  <c r="AQ673" i="1"/>
  <c r="AO673" i="1"/>
  <c r="AP673" i="1" s="1"/>
  <c r="BC673" i="1" s="1"/>
  <c r="AM673" i="1"/>
  <c r="AN673" i="1" s="1"/>
  <c r="AL673" i="1"/>
  <c r="BB673" i="1" s="1"/>
  <c r="AK673" i="1"/>
  <c r="AI673" i="1"/>
  <c r="AJ673" i="1" s="1"/>
  <c r="AG673" i="1"/>
  <c r="AH673" i="1" s="1"/>
  <c r="BA673" i="1" s="1"/>
  <c r="AD673" i="1"/>
  <c r="BP672" i="1"/>
  <c r="BM672" i="1"/>
  <c r="BH672" i="1"/>
  <c r="AY672" i="1"/>
  <c r="AZ672" i="1" s="1"/>
  <c r="AW672" i="1"/>
  <c r="AX672" i="1" s="1"/>
  <c r="AU672" i="1"/>
  <c r="AV672" i="1" s="1"/>
  <c r="AS672" i="1"/>
  <c r="AT672" i="1" s="1"/>
  <c r="AQ672" i="1"/>
  <c r="AR672" i="1" s="1"/>
  <c r="AO672" i="1"/>
  <c r="AP672" i="1" s="1"/>
  <c r="BC672" i="1" s="1"/>
  <c r="AM672" i="1"/>
  <c r="AN672" i="1" s="1"/>
  <c r="AK672" i="1"/>
  <c r="AL672" i="1" s="1"/>
  <c r="AI672" i="1"/>
  <c r="AJ672" i="1" s="1"/>
  <c r="AG672" i="1"/>
  <c r="AH672" i="1" s="1"/>
  <c r="AD672" i="1"/>
  <c r="BP671" i="1"/>
  <c r="BM671" i="1"/>
  <c r="BH671" i="1"/>
  <c r="AY671" i="1"/>
  <c r="AZ671" i="1" s="1"/>
  <c r="AW671" i="1"/>
  <c r="AX671" i="1" s="1"/>
  <c r="BE671" i="1" s="1"/>
  <c r="AU671" i="1"/>
  <c r="AV671" i="1" s="1"/>
  <c r="AS671" i="1"/>
  <c r="AT671" i="1" s="1"/>
  <c r="AQ671" i="1"/>
  <c r="AR671" i="1" s="1"/>
  <c r="AP671" i="1"/>
  <c r="BC671" i="1" s="1"/>
  <c r="AO671" i="1"/>
  <c r="AM671" i="1"/>
  <c r="AN671" i="1" s="1"/>
  <c r="AK671" i="1"/>
  <c r="AL671" i="1" s="1"/>
  <c r="AI671" i="1"/>
  <c r="AJ671" i="1" s="1"/>
  <c r="AH671" i="1"/>
  <c r="BA671" i="1" s="1"/>
  <c r="AG671" i="1"/>
  <c r="AD671" i="1"/>
  <c r="BP670" i="1"/>
  <c r="BM670" i="1"/>
  <c r="BH670" i="1"/>
  <c r="AY670" i="1"/>
  <c r="AZ670" i="1" s="1"/>
  <c r="AW670" i="1"/>
  <c r="AX670" i="1" s="1"/>
  <c r="AU670" i="1"/>
  <c r="AV670" i="1" s="1"/>
  <c r="AS670" i="1"/>
  <c r="AT670" i="1" s="1"/>
  <c r="AQ670" i="1"/>
  <c r="AR670" i="1" s="1"/>
  <c r="AO670" i="1"/>
  <c r="AP670" i="1" s="1"/>
  <c r="BC670" i="1" s="1"/>
  <c r="AM670" i="1"/>
  <c r="AN670" i="1" s="1"/>
  <c r="AK670" i="1"/>
  <c r="AL670" i="1" s="1"/>
  <c r="AJ670" i="1"/>
  <c r="AI670" i="1"/>
  <c r="AG670" i="1"/>
  <c r="AH670" i="1" s="1"/>
  <c r="AD670" i="1"/>
  <c r="BP669" i="1"/>
  <c r="BM669" i="1"/>
  <c r="BH669" i="1"/>
  <c r="AY669" i="1"/>
  <c r="AZ669" i="1" s="1"/>
  <c r="AW669" i="1"/>
  <c r="AX669" i="1" s="1"/>
  <c r="AU669" i="1"/>
  <c r="AV669" i="1" s="1"/>
  <c r="AS669" i="1"/>
  <c r="AT669" i="1" s="1"/>
  <c r="AQ669" i="1"/>
  <c r="AR669" i="1" s="1"/>
  <c r="AP669" i="1"/>
  <c r="AO669" i="1"/>
  <c r="AN669" i="1"/>
  <c r="AM669" i="1"/>
  <c r="AK669" i="1"/>
  <c r="AL669" i="1" s="1"/>
  <c r="BB669" i="1" s="1"/>
  <c r="AI669" i="1"/>
  <c r="AJ669" i="1" s="1"/>
  <c r="AH669" i="1"/>
  <c r="AG669" i="1"/>
  <c r="AD669" i="1"/>
  <c r="BP668" i="1"/>
  <c r="BM668" i="1"/>
  <c r="BH668" i="1"/>
  <c r="AY668" i="1"/>
  <c r="AZ668" i="1" s="1"/>
  <c r="AW668" i="1"/>
  <c r="AX668" i="1" s="1"/>
  <c r="AV668" i="1"/>
  <c r="AU668" i="1"/>
  <c r="AS668" i="1"/>
  <c r="AT668" i="1" s="1"/>
  <c r="AQ668" i="1"/>
  <c r="AR668" i="1" s="1"/>
  <c r="AO668" i="1"/>
  <c r="AP668" i="1" s="1"/>
  <c r="BC668" i="1" s="1"/>
  <c r="AM668" i="1"/>
  <c r="AN668" i="1" s="1"/>
  <c r="AK668" i="1"/>
  <c r="AL668" i="1" s="1"/>
  <c r="BB668" i="1" s="1"/>
  <c r="AI668" i="1"/>
  <c r="AJ668" i="1" s="1"/>
  <c r="AG668" i="1"/>
  <c r="AH668" i="1" s="1"/>
  <c r="BA668" i="1" s="1"/>
  <c r="AD668" i="1"/>
  <c r="BP667" i="1"/>
  <c r="BM667" i="1"/>
  <c r="BH667" i="1"/>
  <c r="AZ667" i="1"/>
  <c r="AY667" i="1"/>
  <c r="AW667" i="1"/>
  <c r="AX667" i="1" s="1"/>
  <c r="AU667" i="1"/>
  <c r="AV667" i="1" s="1"/>
  <c r="AS667" i="1"/>
  <c r="AT667" i="1" s="1"/>
  <c r="AQ667" i="1"/>
  <c r="AR667" i="1" s="1"/>
  <c r="AO667" i="1"/>
  <c r="AP667" i="1" s="1"/>
  <c r="AM667" i="1"/>
  <c r="AN667" i="1" s="1"/>
  <c r="AK667" i="1"/>
  <c r="AL667" i="1" s="1"/>
  <c r="AI667" i="1"/>
  <c r="AJ667" i="1" s="1"/>
  <c r="AG667" i="1"/>
  <c r="AH667" i="1" s="1"/>
  <c r="AD667" i="1"/>
  <c r="BP666" i="1"/>
  <c r="BM666" i="1"/>
  <c r="BH666" i="1"/>
  <c r="AY666" i="1"/>
  <c r="AZ666" i="1" s="1"/>
  <c r="AW666" i="1"/>
  <c r="AX666" i="1" s="1"/>
  <c r="AU666" i="1"/>
  <c r="AV666" i="1" s="1"/>
  <c r="AS666" i="1"/>
  <c r="AT666" i="1" s="1"/>
  <c r="AR666" i="1"/>
  <c r="AQ666" i="1"/>
  <c r="AP666" i="1"/>
  <c r="AO666" i="1"/>
  <c r="AM666" i="1"/>
  <c r="AN666" i="1" s="1"/>
  <c r="AK666" i="1"/>
  <c r="AL666" i="1" s="1"/>
  <c r="BB666" i="1" s="1"/>
  <c r="AI666" i="1"/>
  <c r="AJ666" i="1" s="1"/>
  <c r="AG666" i="1"/>
  <c r="AH666" i="1" s="1"/>
  <c r="AD666" i="1"/>
  <c r="BH665" i="1"/>
  <c r="BC665" i="1"/>
  <c r="AY665" i="1"/>
  <c r="AZ665" i="1" s="1"/>
  <c r="AX665" i="1"/>
  <c r="AW665" i="1"/>
  <c r="AU665" i="1"/>
  <c r="AV665" i="1" s="1"/>
  <c r="AS665" i="1"/>
  <c r="AT665" i="1" s="1"/>
  <c r="BD665" i="1" s="1"/>
  <c r="AM665" i="1"/>
  <c r="AN665" i="1" s="1"/>
  <c r="AL665" i="1"/>
  <c r="BB665" i="1" s="1"/>
  <c r="AK665" i="1"/>
  <c r="AI665" i="1"/>
  <c r="AJ665" i="1" s="1"/>
  <c r="AG665" i="1"/>
  <c r="AH665" i="1" s="1"/>
  <c r="BP664" i="1"/>
  <c r="BM664" i="1"/>
  <c r="BH664" i="1"/>
  <c r="AY664" i="1"/>
  <c r="AZ664" i="1" s="1"/>
  <c r="AW664" i="1"/>
  <c r="AX664" i="1" s="1"/>
  <c r="AU664" i="1"/>
  <c r="AV664" i="1" s="1"/>
  <c r="BD664" i="1" s="1"/>
  <c r="AS664" i="1"/>
  <c r="AT664" i="1" s="1"/>
  <c r="AQ664" i="1"/>
  <c r="AR664" i="1" s="1"/>
  <c r="AO664" i="1"/>
  <c r="AP664" i="1" s="1"/>
  <c r="AM664" i="1"/>
  <c r="AN664" i="1" s="1"/>
  <c r="AL664" i="1"/>
  <c r="AK664" i="1"/>
  <c r="AI664" i="1"/>
  <c r="AJ664" i="1" s="1"/>
  <c r="AG664" i="1"/>
  <c r="AH664" i="1" s="1"/>
  <c r="AD664" i="1"/>
  <c r="BP663" i="1"/>
  <c r="BM663" i="1"/>
  <c r="BH663" i="1"/>
  <c r="AY663" i="1"/>
  <c r="AZ663" i="1" s="1"/>
  <c r="AW663" i="1"/>
  <c r="AX663" i="1" s="1"/>
  <c r="AU663" i="1"/>
  <c r="AV663" i="1" s="1"/>
  <c r="AT663" i="1"/>
  <c r="BD663" i="1" s="1"/>
  <c r="AS663" i="1"/>
  <c r="AR663" i="1"/>
  <c r="AQ663" i="1"/>
  <c r="AO663" i="1"/>
  <c r="AP663" i="1" s="1"/>
  <c r="AM663" i="1"/>
  <c r="AN663" i="1" s="1"/>
  <c r="AK663" i="1"/>
  <c r="AL663" i="1" s="1"/>
  <c r="BB663" i="1" s="1"/>
  <c r="AI663" i="1"/>
  <c r="AJ663" i="1" s="1"/>
  <c r="AG663" i="1"/>
  <c r="AH663" i="1" s="1"/>
  <c r="AD663" i="1"/>
  <c r="BP662" i="1"/>
  <c r="BM662" i="1"/>
  <c r="BH662" i="1"/>
  <c r="AY662" i="1"/>
  <c r="AZ662" i="1" s="1"/>
  <c r="AX662" i="1"/>
  <c r="AW662" i="1"/>
  <c r="AU662" i="1"/>
  <c r="AV662" i="1" s="1"/>
  <c r="AS662" i="1"/>
  <c r="AT662" i="1" s="1"/>
  <c r="AQ662" i="1"/>
  <c r="AR662" i="1" s="1"/>
  <c r="AP662" i="1"/>
  <c r="AO662" i="1"/>
  <c r="AM662" i="1"/>
  <c r="AN662" i="1" s="1"/>
  <c r="AK662" i="1"/>
  <c r="AL662" i="1" s="1"/>
  <c r="AI662" i="1"/>
  <c r="AJ662" i="1" s="1"/>
  <c r="AH662" i="1"/>
  <c r="AG662" i="1"/>
  <c r="AD662" i="1"/>
  <c r="BP661" i="1"/>
  <c r="BM661" i="1"/>
  <c r="BH661" i="1"/>
  <c r="AY661" i="1"/>
  <c r="AZ661" i="1" s="1"/>
  <c r="AX661" i="1"/>
  <c r="AW661" i="1"/>
  <c r="AV661" i="1"/>
  <c r="AU661" i="1"/>
  <c r="AS661" i="1"/>
  <c r="AT661" i="1" s="1"/>
  <c r="AQ661" i="1"/>
  <c r="AR661" i="1" s="1"/>
  <c r="AO661" i="1"/>
  <c r="AP661" i="1" s="1"/>
  <c r="AM661" i="1"/>
  <c r="AN661" i="1" s="1"/>
  <c r="AK661" i="1"/>
  <c r="AL661" i="1" s="1"/>
  <c r="AI661" i="1"/>
  <c r="AJ661" i="1" s="1"/>
  <c r="AH661" i="1"/>
  <c r="BA661" i="1" s="1"/>
  <c r="AG661" i="1"/>
  <c r="AD661" i="1"/>
  <c r="BP660" i="1"/>
  <c r="BM660" i="1"/>
  <c r="BH660" i="1"/>
  <c r="AY660" i="1"/>
  <c r="AZ660" i="1" s="1"/>
  <c r="AW660" i="1"/>
  <c r="AX660" i="1" s="1"/>
  <c r="AV660" i="1"/>
  <c r="AU660" i="1"/>
  <c r="AT660" i="1"/>
  <c r="AS660" i="1"/>
  <c r="AQ660" i="1"/>
  <c r="AR660" i="1" s="1"/>
  <c r="AO660" i="1"/>
  <c r="AP660" i="1" s="1"/>
  <c r="AN660" i="1"/>
  <c r="AM660" i="1"/>
  <c r="AK660" i="1"/>
  <c r="AL660" i="1" s="1"/>
  <c r="AI660" i="1"/>
  <c r="AJ660" i="1" s="1"/>
  <c r="AG660" i="1"/>
  <c r="AH660" i="1" s="1"/>
  <c r="AD660" i="1"/>
  <c r="BP659" i="1"/>
  <c r="BM659" i="1"/>
  <c r="BH659" i="1"/>
  <c r="AY659" i="1"/>
  <c r="AZ659" i="1" s="1"/>
  <c r="BE659" i="1" s="1"/>
  <c r="AW659" i="1"/>
  <c r="AX659" i="1" s="1"/>
  <c r="AU659" i="1"/>
  <c r="AV659" i="1" s="1"/>
  <c r="AT659" i="1"/>
  <c r="BD659" i="1" s="1"/>
  <c r="AS659" i="1"/>
  <c r="AR659" i="1"/>
  <c r="AQ659" i="1"/>
  <c r="AO659" i="1"/>
  <c r="AP659" i="1" s="1"/>
  <c r="BC659" i="1" s="1"/>
  <c r="AM659" i="1"/>
  <c r="AN659" i="1" s="1"/>
  <c r="AL659" i="1"/>
  <c r="BB659" i="1" s="1"/>
  <c r="AK659" i="1"/>
  <c r="AI659" i="1"/>
  <c r="AJ659" i="1" s="1"/>
  <c r="AG659" i="1"/>
  <c r="AH659" i="1" s="1"/>
  <c r="AD659" i="1"/>
  <c r="BP658" i="1"/>
  <c r="BM658" i="1"/>
  <c r="BH658" i="1"/>
  <c r="AY658" i="1"/>
  <c r="AZ658" i="1" s="1"/>
  <c r="AW658" i="1"/>
  <c r="AX658" i="1" s="1"/>
  <c r="AU658" i="1"/>
  <c r="AV658" i="1" s="1"/>
  <c r="AS658" i="1"/>
  <c r="AT658" i="1" s="1"/>
  <c r="AQ658" i="1"/>
  <c r="AR658" i="1" s="1"/>
  <c r="BC658" i="1" s="1"/>
  <c r="AP658" i="1"/>
  <c r="AO658" i="1"/>
  <c r="AM658" i="1"/>
  <c r="AN658" i="1" s="1"/>
  <c r="AK658" i="1"/>
  <c r="AL658" i="1" s="1"/>
  <c r="AI658" i="1"/>
  <c r="AJ658" i="1" s="1"/>
  <c r="AG658" i="1"/>
  <c r="AH658" i="1" s="1"/>
  <c r="AD658" i="1"/>
  <c r="BP657" i="1"/>
  <c r="BM657" i="1"/>
  <c r="BH657" i="1"/>
  <c r="AY657" i="1"/>
  <c r="AZ657" i="1" s="1"/>
  <c r="AX657" i="1"/>
  <c r="AW657" i="1"/>
  <c r="AV657" i="1"/>
  <c r="AU657" i="1"/>
  <c r="AS657" i="1"/>
  <c r="AT657" i="1" s="1"/>
  <c r="AQ657" i="1"/>
  <c r="AR657" i="1" s="1"/>
  <c r="AO657" i="1"/>
  <c r="AP657" i="1" s="1"/>
  <c r="BC657" i="1" s="1"/>
  <c r="AN657" i="1"/>
  <c r="AM657" i="1"/>
  <c r="AK657" i="1"/>
  <c r="AL657" i="1" s="1"/>
  <c r="AI657" i="1"/>
  <c r="AJ657" i="1" s="1"/>
  <c r="AG657" i="1"/>
  <c r="AH657" i="1" s="1"/>
  <c r="AD657" i="1"/>
  <c r="BP656" i="1"/>
  <c r="BM656" i="1"/>
  <c r="BH656" i="1"/>
  <c r="AY656" i="1"/>
  <c r="AZ656" i="1" s="1"/>
  <c r="AW656" i="1"/>
  <c r="AX656" i="1" s="1"/>
  <c r="BE656" i="1" s="1"/>
  <c r="AV656" i="1"/>
  <c r="AU656" i="1"/>
  <c r="AS656" i="1"/>
  <c r="AT656" i="1" s="1"/>
  <c r="AQ656" i="1"/>
  <c r="AR656" i="1" s="1"/>
  <c r="AO656" i="1"/>
  <c r="AP656" i="1" s="1"/>
  <c r="BC656" i="1" s="1"/>
  <c r="AN656" i="1"/>
  <c r="AM656" i="1"/>
  <c r="AL656" i="1"/>
  <c r="BB656" i="1" s="1"/>
  <c r="AK656" i="1"/>
  <c r="AI656" i="1"/>
  <c r="AJ656" i="1" s="1"/>
  <c r="AG656" i="1"/>
  <c r="AH656" i="1" s="1"/>
  <c r="AD656" i="1"/>
  <c r="BP655" i="1"/>
  <c r="BM655" i="1"/>
  <c r="BH655" i="1"/>
  <c r="AY655" i="1"/>
  <c r="AZ655" i="1" s="1"/>
  <c r="AW655" i="1"/>
  <c r="AX655" i="1" s="1"/>
  <c r="AU655" i="1"/>
  <c r="AV655" i="1" s="1"/>
  <c r="AS655" i="1"/>
  <c r="AT655" i="1" s="1"/>
  <c r="AQ655" i="1"/>
  <c r="AR655" i="1" s="1"/>
  <c r="AO655" i="1"/>
  <c r="AP655" i="1" s="1"/>
  <c r="AM655" i="1"/>
  <c r="AN655" i="1" s="1"/>
  <c r="AL655" i="1"/>
  <c r="BB655" i="1" s="1"/>
  <c r="AK655" i="1"/>
  <c r="AI655" i="1"/>
  <c r="AJ655" i="1" s="1"/>
  <c r="AG655" i="1"/>
  <c r="AH655" i="1" s="1"/>
  <c r="AD655" i="1"/>
  <c r="BP654" i="1"/>
  <c r="BM654" i="1"/>
  <c r="BH654" i="1"/>
  <c r="AY654" i="1"/>
  <c r="AZ654" i="1" s="1"/>
  <c r="AW654" i="1"/>
  <c r="AX654" i="1" s="1"/>
  <c r="AU654" i="1"/>
  <c r="AV654" i="1" s="1"/>
  <c r="AS654" i="1"/>
  <c r="AT654" i="1" s="1"/>
  <c r="AQ654" i="1"/>
  <c r="AR654" i="1" s="1"/>
  <c r="AP654" i="1"/>
  <c r="AO654" i="1"/>
  <c r="AM654" i="1"/>
  <c r="AN654" i="1" s="1"/>
  <c r="AK654" i="1"/>
  <c r="AL654" i="1" s="1"/>
  <c r="BB654" i="1" s="1"/>
  <c r="AJ654" i="1"/>
  <c r="AI654" i="1"/>
  <c r="AG654" i="1"/>
  <c r="AH654" i="1" s="1"/>
  <c r="AD654" i="1"/>
  <c r="BP653" i="1"/>
  <c r="BM653" i="1"/>
  <c r="BH653" i="1"/>
  <c r="AY653" i="1"/>
  <c r="AZ653" i="1" s="1"/>
  <c r="AW653" i="1"/>
  <c r="AX653" i="1" s="1"/>
  <c r="AU653" i="1"/>
  <c r="AV653" i="1" s="1"/>
  <c r="AS653" i="1"/>
  <c r="AT653" i="1" s="1"/>
  <c r="BD653" i="1" s="1"/>
  <c r="AQ653" i="1"/>
  <c r="AR653" i="1" s="1"/>
  <c r="AO653" i="1"/>
  <c r="AP653" i="1" s="1"/>
  <c r="BC653" i="1" s="1"/>
  <c r="AN653" i="1"/>
  <c r="AM653" i="1"/>
  <c r="AK653" i="1"/>
  <c r="AL653" i="1" s="1"/>
  <c r="BB653" i="1" s="1"/>
  <c r="AI653" i="1"/>
  <c r="AJ653" i="1" s="1"/>
  <c r="AH653" i="1"/>
  <c r="BA653" i="1" s="1"/>
  <c r="BF653" i="1" s="1"/>
  <c r="AG653" i="1"/>
  <c r="AD653" i="1"/>
  <c r="BP652" i="1"/>
  <c r="BM652" i="1"/>
  <c r="BH652" i="1"/>
  <c r="AY652" i="1"/>
  <c r="AZ652" i="1" s="1"/>
  <c r="AW652" i="1"/>
  <c r="AX652" i="1" s="1"/>
  <c r="BE652" i="1" s="1"/>
  <c r="AU652" i="1"/>
  <c r="AV652" i="1" s="1"/>
  <c r="BD652" i="1" s="1"/>
  <c r="AS652" i="1"/>
  <c r="AT652" i="1" s="1"/>
  <c r="AQ652" i="1"/>
  <c r="AR652" i="1" s="1"/>
  <c r="BC652" i="1" s="1"/>
  <c r="AO652" i="1"/>
  <c r="AP652" i="1" s="1"/>
  <c r="AM652" i="1"/>
  <c r="AN652" i="1" s="1"/>
  <c r="BB652" i="1" s="1"/>
  <c r="AL652" i="1"/>
  <c r="AK652" i="1"/>
  <c r="AI652" i="1"/>
  <c r="AJ652" i="1" s="1"/>
  <c r="AG652" i="1"/>
  <c r="AH652" i="1" s="1"/>
  <c r="BA652" i="1" s="1"/>
  <c r="AD652" i="1"/>
  <c r="BP651" i="1"/>
  <c r="BM651" i="1"/>
  <c r="BH651" i="1"/>
  <c r="AZ651" i="1"/>
  <c r="AY651" i="1"/>
  <c r="AW651" i="1"/>
  <c r="AX651" i="1" s="1"/>
  <c r="BE651" i="1" s="1"/>
  <c r="AU651" i="1"/>
  <c r="AV651" i="1" s="1"/>
  <c r="AS651" i="1"/>
  <c r="AT651" i="1" s="1"/>
  <c r="AQ651" i="1"/>
  <c r="AR651" i="1" s="1"/>
  <c r="AO651" i="1"/>
  <c r="AP651" i="1" s="1"/>
  <c r="AM651" i="1"/>
  <c r="AN651" i="1" s="1"/>
  <c r="AK651" i="1"/>
  <c r="AL651" i="1" s="1"/>
  <c r="BB651" i="1" s="1"/>
  <c r="AJ651" i="1"/>
  <c r="AI651" i="1"/>
  <c r="AG651" i="1"/>
  <c r="AH651" i="1" s="1"/>
  <c r="BA651" i="1" s="1"/>
  <c r="AD651" i="1"/>
  <c r="BP650" i="1"/>
  <c r="BM650" i="1"/>
  <c r="BH650" i="1"/>
  <c r="AY650" i="1"/>
  <c r="AZ650" i="1" s="1"/>
  <c r="AW650" i="1"/>
  <c r="AX650" i="1" s="1"/>
  <c r="AU650" i="1"/>
  <c r="AV650" i="1" s="1"/>
  <c r="AS650" i="1"/>
  <c r="AT650" i="1" s="1"/>
  <c r="BD650" i="1" s="1"/>
  <c r="AQ650" i="1"/>
  <c r="AR650" i="1" s="1"/>
  <c r="AO650" i="1"/>
  <c r="AP650" i="1" s="1"/>
  <c r="BC650" i="1" s="1"/>
  <c r="AM650" i="1"/>
  <c r="AN650" i="1" s="1"/>
  <c r="AK650" i="1"/>
  <c r="AL650" i="1" s="1"/>
  <c r="AI650" i="1"/>
  <c r="AJ650" i="1" s="1"/>
  <c r="AH650" i="1"/>
  <c r="AG650" i="1"/>
  <c r="AD650" i="1"/>
  <c r="BP649" i="1"/>
  <c r="BM649" i="1"/>
  <c r="BH649" i="1"/>
  <c r="BE649" i="1"/>
  <c r="AY649" i="1"/>
  <c r="AZ649" i="1" s="1"/>
  <c r="AX649" i="1"/>
  <c r="AW649" i="1"/>
  <c r="AV649" i="1"/>
  <c r="AU649" i="1"/>
  <c r="AS649" i="1"/>
  <c r="AT649" i="1" s="1"/>
  <c r="AQ649" i="1"/>
  <c r="AR649" i="1" s="1"/>
  <c r="AO649" i="1"/>
  <c r="AP649" i="1" s="1"/>
  <c r="BC649" i="1" s="1"/>
  <c r="AN649" i="1"/>
  <c r="AM649" i="1"/>
  <c r="AK649" i="1"/>
  <c r="AL649" i="1" s="1"/>
  <c r="AI649" i="1"/>
  <c r="AJ649" i="1" s="1"/>
  <c r="AG649" i="1"/>
  <c r="AH649" i="1" s="1"/>
  <c r="BA649" i="1" s="1"/>
  <c r="AD649" i="1"/>
  <c r="BP648" i="1"/>
  <c r="BM648" i="1"/>
  <c r="BH648" i="1"/>
  <c r="AY648" i="1"/>
  <c r="AZ648" i="1" s="1"/>
  <c r="AW648" i="1"/>
  <c r="AX648" i="1" s="1"/>
  <c r="BE648" i="1" s="1"/>
  <c r="AV648" i="1"/>
  <c r="AU648" i="1"/>
  <c r="AT648" i="1"/>
  <c r="BD648" i="1" s="1"/>
  <c r="AS648" i="1"/>
  <c r="AQ648" i="1"/>
  <c r="AR648" i="1" s="1"/>
  <c r="AO648" i="1"/>
  <c r="AP648" i="1" s="1"/>
  <c r="AM648" i="1"/>
  <c r="AN648" i="1" s="1"/>
  <c r="AK648" i="1"/>
  <c r="AL648" i="1" s="1"/>
  <c r="AI648" i="1"/>
  <c r="AJ648" i="1" s="1"/>
  <c r="AG648" i="1"/>
  <c r="AH648" i="1" s="1"/>
  <c r="AD648" i="1"/>
  <c r="BP647" i="1"/>
  <c r="BM647" i="1"/>
  <c r="BH647" i="1"/>
  <c r="AY647" i="1"/>
  <c r="AZ647" i="1" s="1"/>
  <c r="AW647" i="1"/>
  <c r="AX647" i="1" s="1"/>
  <c r="BE647" i="1" s="1"/>
  <c r="AU647" i="1"/>
  <c r="AV647" i="1" s="1"/>
  <c r="AS647" i="1"/>
  <c r="AT647" i="1" s="1"/>
  <c r="BD647" i="1" s="1"/>
  <c r="AQ647" i="1"/>
  <c r="AR647" i="1" s="1"/>
  <c r="AO647" i="1"/>
  <c r="AP647" i="1" s="1"/>
  <c r="AM647" i="1"/>
  <c r="AN647" i="1" s="1"/>
  <c r="AK647" i="1"/>
  <c r="AL647" i="1" s="1"/>
  <c r="BB647" i="1" s="1"/>
  <c r="BF647" i="1" s="1"/>
  <c r="AI647" i="1"/>
  <c r="AJ647" i="1" s="1"/>
  <c r="AH647" i="1"/>
  <c r="BA647" i="1" s="1"/>
  <c r="AG647" i="1"/>
  <c r="AD647" i="1"/>
  <c r="BP646" i="1"/>
  <c r="BM646" i="1"/>
  <c r="BH646" i="1"/>
  <c r="AY646" i="1"/>
  <c r="AZ646" i="1" s="1"/>
  <c r="AW646" i="1"/>
  <c r="AX646" i="1" s="1"/>
  <c r="BE646" i="1" s="1"/>
  <c r="AU646" i="1"/>
  <c r="AV646" i="1" s="1"/>
  <c r="AS646" i="1"/>
  <c r="AT646" i="1" s="1"/>
  <c r="AR646" i="1"/>
  <c r="AQ646" i="1"/>
  <c r="AP646" i="1"/>
  <c r="BC646" i="1" s="1"/>
  <c r="AO646" i="1"/>
  <c r="AM646" i="1"/>
  <c r="AN646" i="1" s="1"/>
  <c r="AK646" i="1"/>
  <c r="AL646" i="1" s="1"/>
  <c r="AI646" i="1"/>
  <c r="AJ646" i="1" s="1"/>
  <c r="AG646" i="1"/>
  <c r="AH646" i="1" s="1"/>
  <c r="AD646" i="1"/>
  <c r="BP645" i="1"/>
  <c r="BM645" i="1"/>
  <c r="BH645" i="1"/>
  <c r="AY645" i="1"/>
  <c r="AZ645" i="1" s="1"/>
  <c r="AX645" i="1"/>
  <c r="BE645" i="1" s="1"/>
  <c r="AW645" i="1"/>
  <c r="AV645" i="1"/>
  <c r="AU645" i="1"/>
  <c r="AS645" i="1"/>
  <c r="AT645" i="1" s="1"/>
  <c r="BD645" i="1" s="1"/>
  <c r="AQ645" i="1"/>
  <c r="AR645" i="1" s="1"/>
  <c r="AO645" i="1"/>
  <c r="AP645" i="1" s="1"/>
  <c r="BC645" i="1" s="1"/>
  <c r="AN645" i="1"/>
  <c r="AM645" i="1"/>
  <c r="AK645" i="1"/>
  <c r="AL645" i="1" s="1"/>
  <c r="BB645" i="1" s="1"/>
  <c r="AI645" i="1"/>
  <c r="AJ645" i="1" s="1"/>
  <c r="AG645" i="1"/>
  <c r="AH645" i="1" s="1"/>
  <c r="BA645" i="1" s="1"/>
  <c r="AD645" i="1"/>
  <c r="BP644" i="1"/>
  <c r="BM644" i="1"/>
  <c r="BH644" i="1"/>
  <c r="AY644" i="1"/>
  <c r="AZ644" i="1" s="1"/>
  <c r="AW644" i="1"/>
  <c r="AX644" i="1" s="1"/>
  <c r="BE644" i="1" s="1"/>
  <c r="AU644" i="1"/>
  <c r="AV644" i="1" s="1"/>
  <c r="AS644" i="1"/>
  <c r="AT644" i="1" s="1"/>
  <c r="AR644" i="1"/>
  <c r="AQ644" i="1"/>
  <c r="AO644" i="1"/>
  <c r="AP644" i="1" s="1"/>
  <c r="AM644" i="1"/>
  <c r="AN644" i="1" s="1"/>
  <c r="AK644" i="1"/>
  <c r="AL644" i="1" s="1"/>
  <c r="BB644" i="1" s="1"/>
  <c r="AI644" i="1"/>
  <c r="AJ644" i="1" s="1"/>
  <c r="BA644" i="1" s="1"/>
  <c r="AG644" i="1"/>
  <c r="AH644" i="1" s="1"/>
  <c r="AD644" i="1"/>
  <c r="BP643" i="1"/>
  <c r="BM643" i="1"/>
  <c r="BH643" i="1"/>
  <c r="AY643" i="1"/>
  <c r="AZ643" i="1" s="1"/>
  <c r="AW643" i="1"/>
  <c r="AX643" i="1" s="1"/>
  <c r="AV643" i="1"/>
  <c r="BD643" i="1" s="1"/>
  <c r="AU643" i="1"/>
  <c r="AT643" i="1"/>
  <c r="AS643" i="1"/>
  <c r="AQ643" i="1"/>
  <c r="AR643" i="1" s="1"/>
  <c r="AO643" i="1"/>
  <c r="AP643" i="1" s="1"/>
  <c r="AM643" i="1"/>
  <c r="AN643" i="1" s="1"/>
  <c r="AK643" i="1"/>
  <c r="AL643" i="1" s="1"/>
  <c r="AI643" i="1"/>
  <c r="AJ643" i="1" s="1"/>
  <c r="AG643" i="1"/>
  <c r="AH643" i="1" s="1"/>
  <c r="AD643" i="1"/>
  <c r="BP642" i="1"/>
  <c r="BM642" i="1"/>
  <c r="BH642" i="1"/>
  <c r="AZ642" i="1"/>
  <c r="AY642" i="1"/>
  <c r="AX642" i="1"/>
  <c r="BE642" i="1" s="1"/>
  <c r="AW642" i="1"/>
  <c r="AU642" i="1"/>
  <c r="AV642" i="1" s="1"/>
  <c r="AS642" i="1"/>
  <c r="AT642" i="1" s="1"/>
  <c r="BD642" i="1" s="1"/>
  <c r="AQ642" i="1"/>
  <c r="AR642" i="1" s="1"/>
  <c r="AP642" i="1"/>
  <c r="AO642" i="1"/>
  <c r="AM642" i="1"/>
  <c r="AN642" i="1" s="1"/>
  <c r="AL642" i="1"/>
  <c r="AK642" i="1"/>
  <c r="AJ642" i="1"/>
  <c r="AI642" i="1"/>
  <c r="AH642" i="1"/>
  <c r="BA642" i="1" s="1"/>
  <c r="AG642" i="1"/>
  <c r="AD642" i="1"/>
  <c r="BP641" i="1"/>
  <c r="BM641" i="1"/>
  <c r="BH641" i="1"/>
  <c r="AY641" i="1"/>
  <c r="AZ641" i="1" s="1"/>
  <c r="AX641" i="1"/>
  <c r="AW641" i="1"/>
  <c r="AV641" i="1"/>
  <c r="AU641" i="1"/>
  <c r="AS641" i="1"/>
  <c r="AT641" i="1" s="1"/>
  <c r="BD641" i="1" s="1"/>
  <c r="AQ641" i="1"/>
  <c r="AR641" i="1" s="1"/>
  <c r="AP641" i="1"/>
  <c r="BC641" i="1" s="1"/>
  <c r="AO641" i="1"/>
  <c r="AM641" i="1"/>
  <c r="AN641" i="1" s="1"/>
  <c r="AK641" i="1"/>
  <c r="AL641" i="1" s="1"/>
  <c r="AI641" i="1"/>
  <c r="AJ641" i="1" s="1"/>
  <c r="AH641" i="1"/>
  <c r="AG641" i="1"/>
  <c r="AD641" i="1"/>
  <c r="BP640" i="1"/>
  <c r="BM640" i="1"/>
  <c r="BH640" i="1"/>
  <c r="AY640" i="1"/>
  <c r="AZ640" i="1" s="1"/>
  <c r="AW640" i="1"/>
  <c r="AX640" i="1" s="1"/>
  <c r="AU640" i="1"/>
  <c r="AV640" i="1" s="1"/>
  <c r="AS640" i="1"/>
  <c r="AT640" i="1" s="1"/>
  <c r="AQ640" i="1"/>
  <c r="AR640" i="1" s="1"/>
  <c r="AO640" i="1"/>
  <c r="AP640" i="1" s="1"/>
  <c r="AN640" i="1"/>
  <c r="AM640" i="1"/>
  <c r="AL640" i="1"/>
  <c r="BB640" i="1" s="1"/>
  <c r="AK640" i="1"/>
  <c r="AI640" i="1"/>
  <c r="AJ640" i="1" s="1"/>
  <c r="AG640" i="1"/>
  <c r="AH640" i="1" s="1"/>
  <c r="AD640" i="1"/>
  <c r="BP639" i="1"/>
  <c r="BM639" i="1"/>
  <c r="BH639" i="1"/>
  <c r="AZ639" i="1"/>
  <c r="AY639" i="1"/>
  <c r="AW639" i="1"/>
  <c r="AX639" i="1" s="1"/>
  <c r="BE639" i="1" s="1"/>
  <c r="AU639" i="1"/>
  <c r="AV639" i="1" s="1"/>
  <c r="AT639" i="1"/>
  <c r="AS639" i="1"/>
  <c r="AR639" i="1"/>
  <c r="AQ639" i="1"/>
  <c r="AO639" i="1"/>
  <c r="AP639" i="1" s="1"/>
  <c r="AM639" i="1"/>
  <c r="AN639" i="1" s="1"/>
  <c r="AK639" i="1"/>
  <c r="AL639" i="1" s="1"/>
  <c r="BB639" i="1" s="1"/>
  <c r="AJ639" i="1"/>
  <c r="AI639" i="1"/>
  <c r="AG639" i="1"/>
  <c r="AH639" i="1" s="1"/>
  <c r="BA639" i="1" s="1"/>
  <c r="AD639" i="1"/>
  <c r="BH638" i="1"/>
  <c r="BC638" i="1"/>
  <c r="AY638" i="1"/>
  <c r="AZ638" i="1" s="1"/>
  <c r="AX638" i="1"/>
  <c r="AW638" i="1"/>
  <c r="AV638" i="1"/>
  <c r="AU638" i="1"/>
  <c r="AS638" i="1"/>
  <c r="AT638" i="1" s="1"/>
  <c r="AQ638" i="1"/>
  <c r="AO638" i="1"/>
  <c r="AN638" i="1"/>
  <c r="AM638" i="1"/>
  <c r="AL638" i="1"/>
  <c r="BB638" i="1" s="1"/>
  <c r="AK638" i="1"/>
  <c r="AI638" i="1"/>
  <c r="AJ638" i="1" s="1"/>
  <c r="AG638" i="1"/>
  <c r="AH638" i="1" s="1"/>
  <c r="BH637" i="1"/>
  <c r="BC637" i="1"/>
  <c r="AY637" i="1"/>
  <c r="AZ637" i="1" s="1"/>
  <c r="AW637" i="1"/>
  <c r="AX637" i="1" s="1"/>
  <c r="AU637" i="1"/>
  <c r="AV637" i="1" s="1"/>
  <c r="AS637" i="1"/>
  <c r="AT637" i="1" s="1"/>
  <c r="BD637" i="1" s="1"/>
  <c r="AQ637" i="1"/>
  <c r="AO637" i="1"/>
  <c r="AM637" i="1"/>
  <c r="AN637" i="1" s="1"/>
  <c r="AK637" i="1"/>
  <c r="AL637" i="1" s="1"/>
  <c r="AI637" i="1"/>
  <c r="AJ637" i="1" s="1"/>
  <c r="AH637" i="1"/>
  <c r="AG637" i="1"/>
  <c r="BH636" i="1"/>
  <c r="BC636" i="1"/>
  <c r="AZ636" i="1"/>
  <c r="AY636" i="1"/>
  <c r="AX636" i="1"/>
  <c r="BE636" i="1" s="1"/>
  <c r="AW636" i="1"/>
  <c r="AU636" i="1"/>
  <c r="AV636" i="1" s="1"/>
  <c r="AS636" i="1"/>
  <c r="AT636" i="1" s="1"/>
  <c r="AQ636" i="1"/>
  <c r="AO636" i="1"/>
  <c r="AN636" i="1"/>
  <c r="AM636" i="1"/>
  <c r="AK636" i="1"/>
  <c r="AL636" i="1" s="1"/>
  <c r="AI636" i="1"/>
  <c r="AJ636" i="1" s="1"/>
  <c r="BA636" i="1" s="1"/>
  <c r="AH636" i="1"/>
  <c r="AG636" i="1"/>
  <c r="BH635" i="1"/>
  <c r="BC635" i="1"/>
  <c r="AZ635" i="1"/>
  <c r="AY635" i="1"/>
  <c r="AX635" i="1"/>
  <c r="AW635" i="1"/>
  <c r="AU635" i="1"/>
  <c r="AV635" i="1" s="1"/>
  <c r="AS635" i="1"/>
  <c r="AT635" i="1" s="1"/>
  <c r="AM635" i="1"/>
  <c r="AN635" i="1" s="1"/>
  <c r="AL635" i="1"/>
  <c r="AK635" i="1"/>
  <c r="AI635" i="1"/>
  <c r="AJ635" i="1" s="1"/>
  <c r="AG635" i="1"/>
  <c r="AH635" i="1" s="1"/>
  <c r="AD635" i="1"/>
  <c r="BP634" i="1"/>
  <c r="BM634" i="1"/>
  <c r="BH634" i="1"/>
  <c r="AZ634" i="1"/>
  <c r="AY634" i="1"/>
  <c r="AW634" i="1"/>
  <c r="AX634" i="1" s="1"/>
  <c r="AU634" i="1"/>
  <c r="AV634" i="1" s="1"/>
  <c r="BD634" i="1" s="1"/>
  <c r="AT634" i="1"/>
  <c r="AS634" i="1"/>
  <c r="AR634" i="1"/>
  <c r="AQ634" i="1"/>
  <c r="AO634" i="1"/>
  <c r="AP634" i="1" s="1"/>
  <c r="BC634" i="1" s="1"/>
  <c r="AM634" i="1"/>
  <c r="AN634" i="1" s="1"/>
  <c r="AL634" i="1"/>
  <c r="AK634" i="1"/>
  <c r="AJ634" i="1"/>
  <c r="AI634" i="1"/>
  <c r="AG634" i="1"/>
  <c r="AH634" i="1" s="1"/>
  <c r="BA634" i="1" s="1"/>
  <c r="AD634" i="1"/>
  <c r="BP633" i="1"/>
  <c r="BM633" i="1"/>
  <c r="BH633" i="1"/>
  <c r="AY633" i="1"/>
  <c r="AZ633" i="1" s="1"/>
  <c r="AW633" i="1"/>
  <c r="AX633" i="1" s="1"/>
  <c r="AU633" i="1"/>
  <c r="AV633" i="1" s="1"/>
  <c r="AS633" i="1"/>
  <c r="AT633" i="1" s="1"/>
  <c r="AQ633" i="1"/>
  <c r="AR633" i="1" s="1"/>
  <c r="AP633" i="1"/>
  <c r="AO633" i="1"/>
  <c r="AM633" i="1"/>
  <c r="AN633" i="1" s="1"/>
  <c r="AK633" i="1"/>
  <c r="AL633" i="1" s="1"/>
  <c r="BB633" i="1" s="1"/>
  <c r="AI633" i="1"/>
  <c r="AJ633" i="1" s="1"/>
  <c r="AG633" i="1"/>
  <c r="AH633" i="1" s="1"/>
  <c r="BA633" i="1" s="1"/>
  <c r="AD633" i="1"/>
  <c r="BP632" i="1"/>
  <c r="BM632" i="1"/>
  <c r="BH632" i="1"/>
  <c r="AY632" i="1"/>
  <c r="AZ632" i="1" s="1"/>
  <c r="AW632" i="1"/>
  <c r="AX632" i="1" s="1"/>
  <c r="AV632" i="1"/>
  <c r="AU632" i="1"/>
  <c r="AS632" i="1"/>
  <c r="AT632" i="1" s="1"/>
  <c r="BD632" i="1" s="1"/>
  <c r="AQ632" i="1"/>
  <c r="AR632" i="1" s="1"/>
  <c r="AP632" i="1"/>
  <c r="AO632" i="1"/>
  <c r="AN632" i="1"/>
  <c r="AM632" i="1"/>
  <c r="AK632" i="1"/>
  <c r="AL632" i="1" s="1"/>
  <c r="AI632" i="1"/>
  <c r="AJ632" i="1" s="1"/>
  <c r="AG632" i="1"/>
  <c r="AH632" i="1" s="1"/>
  <c r="BA632" i="1" s="1"/>
  <c r="AD632" i="1"/>
  <c r="BP631" i="1"/>
  <c r="BM631" i="1"/>
  <c r="BH631" i="1"/>
  <c r="AY631" i="1"/>
  <c r="AZ631" i="1" s="1"/>
  <c r="AW631" i="1"/>
  <c r="AX631" i="1" s="1"/>
  <c r="AV631" i="1"/>
  <c r="AU631" i="1"/>
  <c r="AS631" i="1"/>
  <c r="AT631" i="1" s="1"/>
  <c r="BD631" i="1" s="1"/>
  <c r="AQ631" i="1"/>
  <c r="AR631" i="1" s="1"/>
  <c r="AO631" i="1"/>
  <c r="AP631" i="1" s="1"/>
  <c r="AN631" i="1"/>
  <c r="AM631" i="1"/>
  <c r="AL631" i="1"/>
  <c r="BB631" i="1" s="1"/>
  <c r="AK631" i="1"/>
  <c r="AI631" i="1"/>
  <c r="AJ631" i="1" s="1"/>
  <c r="AG631" i="1"/>
  <c r="AH631" i="1" s="1"/>
  <c r="AD631" i="1"/>
  <c r="BP630" i="1"/>
  <c r="BM630" i="1"/>
  <c r="BH630" i="1"/>
  <c r="AY630" i="1"/>
  <c r="AZ630" i="1" s="1"/>
  <c r="AW630" i="1"/>
  <c r="AX630" i="1" s="1"/>
  <c r="AU630" i="1"/>
  <c r="AV630" i="1" s="1"/>
  <c r="AT630" i="1"/>
  <c r="AS630" i="1"/>
  <c r="AR630" i="1"/>
  <c r="AQ630" i="1"/>
  <c r="AO630" i="1"/>
  <c r="AP630" i="1" s="1"/>
  <c r="AM630" i="1"/>
  <c r="AN630" i="1" s="1"/>
  <c r="AK630" i="1"/>
  <c r="AL630" i="1" s="1"/>
  <c r="AI630" i="1"/>
  <c r="AJ630" i="1" s="1"/>
  <c r="AG630" i="1"/>
  <c r="AH630" i="1" s="1"/>
  <c r="AD630" i="1"/>
  <c r="BP629" i="1"/>
  <c r="BM629" i="1"/>
  <c r="BH629" i="1"/>
  <c r="AZ629" i="1"/>
  <c r="AY629" i="1"/>
  <c r="AW629" i="1"/>
  <c r="AX629" i="1" s="1"/>
  <c r="BE629" i="1" s="1"/>
  <c r="AU629" i="1"/>
  <c r="AV629" i="1" s="1"/>
  <c r="AS629" i="1"/>
  <c r="AT629" i="1" s="1"/>
  <c r="AQ629" i="1"/>
  <c r="AR629" i="1" s="1"/>
  <c r="AO629" i="1"/>
  <c r="AP629" i="1" s="1"/>
  <c r="AM629" i="1"/>
  <c r="AN629" i="1" s="1"/>
  <c r="AK629" i="1"/>
  <c r="AL629" i="1" s="1"/>
  <c r="BB629" i="1" s="1"/>
  <c r="AI629" i="1"/>
  <c r="AJ629" i="1" s="1"/>
  <c r="AG629" i="1"/>
  <c r="AH629" i="1" s="1"/>
  <c r="BA629" i="1" s="1"/>
  <c r="AD629" i="1"/>
  <c r="BP628" i="1"/>
  <c r="BM628" i="1"/>
  <c r="BH628" i="1"/>
  <c r="AY628" i="1"/>
  <c r="AZ628" i="1" s="1"/>
  <c r="AX628" i="1"/>
  <c r="AW628" i="1"/>
  <c r="AV628" i="1"/>
  <c r="BD628" i="1" s="1"/>
  <c r="AU628" i="1"/>
  <c r="AS628" i="1"/>
  <c r="AT628" i="1" s="1"/>
  <c r="AQ628" i="1"/>
  <c r="AR628" i="1" s="1"/>
  <c r="AO628" i="1"/>
  <c r="AP628" i="1" s="1"/>
  <c r="BC628" i="1" s="1"/>
  <c r="AN628" i="1"/>
  <c r="AM628" i="1"/>
  <c r="AK628" i="1"/>
  <c r="AL628" i="1" s="1"/>
  <c r="BB628" i="1" s="1"/>
  <c r="AI628" i="1"/>
  <c r="AJ628" i="1" s="1"/>
  <c r="AH628" i="1"/>
  <c r="BA628" i="1" s="1"/>
  <c r="AG628" i="1"/>
  <c r="AD628" i="1"/>
  <c r="BP627" i="1"/>
  <c r="BM627" i="1"/>
  <c r="BH627" i="1"/>
  <c r="AY627" i="1"/>
  <c r="AZ627" i="1" s="1"/>
  <c r="AW627" i="1"/>
  <c r="AX627" i="1" s="1"/>
  <c r="AU627" i="1"/>
  <c r="AV627" i="1" s="1"/>
  <c r="AS627" i="1"/>
  <c r="AT627" i="1" s="1"/>
  <c r="BD627" i="1" s="1"/>
  <c r="AQ627" i="1"/>
  <c r="AR627" i="1" s="1"/>
  <c r="AO627" i="1"/>
  <c r="AP627" i="1" s="1"/>
  <c r="BC627" i="1" s="1"/>
  <c r="AM627" i="1"/>
  <c r="AN627" i="1" s="1"/>
  <c r="AL627" i="1"/>
  <c r="AK627" i="1"/>
  <c r="AI627" i="1"/>
  <c r="AJ627" i="1" s="1"/>
  <c r="AG627" i="1"/>
  <c r="AH627" i="1" s="1"/>
  <c r="AD627" i="1"/>
  <c r="BP626" i="1"/>
  <c r="BM626" i="1"/>
  <c r="BH626" i="1"/>
  <c r="AY626" i="1"/>
  <c r="AZ626" i="1" s="1"/>
  <c r="AW626" i="1"/>
  <c r="AX626" i="1" s="1"/>
  <c r="AU626" i="1"/>
  <c r="AV626" i="1" s="1"/>
  <c r="AT626" i="1"/>
  <c r="AS626" i="1"/>
  <c r="AR626" i="1"/>
  <c r="AQ626" i="1"/>
  <c r="AO626" i="1"/>
  <c r="AP626" i="1" s="1"/>
  <c r="AM626" i="1"/>
  <c r="AN626" i="1" s="1"/>
  <c r="AK626" i="1"/>
  <c r="AL626" i="1" s="1"/>
  <c r="AI626" i="1"/>
  <c r="AJ626" i="1" s="1"/>
  <c r="AG626" i="1"/>
  <c r="AH626" i="1" s="1"/>
  <c r="AD626" i="1"/>
  <c r="BP625" i="1"/>
  <c r="BM625" i="1"/>
  <c r="BH625" i="1"/>
  <c r="AZ625" i="1"/>
  <c r="AY625" i="1"/>
  <c r="AX625" i="1"/>
  <c r="BE625" i="1" s="1"/>
  <c r="AW625" i="1"/>
  <c r="AU625" i="1"/>
  <c r="AV625" i="1" s="1"/>
  <c r="AS625" i="1"/>
  <c r="AT625" i="1" s="1"/>
  <c r="AQ625" i="1"/>
  <c r="AR625" i="1" s="1"/>
  <c r="AP625" i="1"/>
  <c r="AO625" i="1"/>
  <c r="AM625" i="1"/>
  <c r="AN625" i="1" s="1"/>
  <c r="AK625" i="1"/>
  <c r="AL625" i="1" s="1"/>
  <c r="BB625" i="1" s="1"/>
  <c r="AI625" i="1"/>
  <c r="AJ625" i="1" s="1"/>
  <c r="AH625" i="1"/>
  <c r="AG625" i="1"/>
  <c r="AD625" i="1"/>
  <c r="BP624" i="1"/>
  <c r="BM624" i="1"/>
  <c r="BH624" i="1"/>
  <c r="AY624" i="1"/>
  <c r="AZ624" i="1" s="1"/>
  <c r="AW624" i="1"/>
  <c r="AX624" i="1" s="1"/>
  <c r="AU624" i="1"/>
  <c r="AV624" i="1" s="1"/>
  <c r="AS624" i="1"/>
  <c r="AT624" i="1" s="1"/>
  <c r="AQ624" i="1"/>
  <c r="AR624" i="1" s="1"/>
  <c r="AP624" i="1"/>
  <c r="BC624" i="1" s="1"/>
  <c r="AO624" i="1"/>
  <c r="AM624" i="1"/>
  <c r="AN624" i="1" s="1"/>
  <c r="AK624" i="1"/>
  <c r="AL624" i="1" s="1"/>
  <c r="AI624" i="1"/>
  <c r="AJ624" i="1" s="1"/>
  <c r="AG624" i="1"/>
  <c r="AH624" i="1" s="1"/>
  <c r="AD624" i="1"/>
  <c r="BP623" i="1"/>
  <c r="BM623" i="1"/>
  <c r="BH623" i="1"/>
  <c r="AY623" i="1"/>
  <c r="AZ623" i="1" s="1"/>
  <c r="AW623" i="1"/>
  <c r="AX623" i="1" s="1"/>
  <c r="AU623" i="1"/>
  <c r="AV623" i="1" s="1"/>
  <c r="AT623" i="1"/>
  <c r="AS623" i="1"/>
  <c r="AQ623" i="1"/>
  <c r="AR623" i="1" s="1"/>
  <c r="AO623" i="1"/>
  <c r="AP623" i="1" s="1"/>
  <c r="AM623" i="1"/>
  <c r="AN623" i="1" s="1"/>
  <c r="AL623" i="1"/>
  <c r="AK623" i="1"/>
  <c r="AI623" i="1"/>
  <c r="AJ623" i="1" s="1"/>
  <c r="AG623" i="1"/>
  <c r="AH623" i="1" s="1"/>
  <c r="AD623" i="1"/>
  <c r="BP622" i="1"/>
  <c r="BM622" i="1"/>
  <c r="BH622" i="1"/>
  <c r="AY622" i="1"/>
  <c r="AZ622" i="1" s="1"/>
  <c r="AW622" i="1"/>
  <c r="AX622" i="1" s="1"/>
  <c r="AU622" i="1"/>
  <c r="AV622" i="1" s="1"/>
  <c r="AT622" i="1"/>
  <c r="AS622" i="1"/>
  <c r="AR622" i="1"/>
  <c r="AQ622" i="1"/>
  <c r="AO622" i="1"/>
  <c r="AP622" i="1" s="1"/>
  <c r="AM622" i="1"/>
  <c r="AN622" i="1" s="1"/>
  <c r="AK622" i="1"/>
  <c r="AL622" i="1" s="1"/>
  <c r="BB622" i="1" s="1"/>
  <c r="AI622" i="1"/>
  <c r="AJ622" i="1" s="1"/>
  <c r="AG622" i="1"/>
  <c r="AH622" i="1" s="1"/>
  <c r="AD622" i="1"/>
  <c r="BP621" i="1"/>
  <c r="BM621" i="1"/>
  <c r="BH621" i="1"/>
  <c r="AZ621" i="1"/>
  <c r="AY621" i="1"/>
  <c r="AW621" i="1"/>
  <c r="AX621" i="1" s="1"/>
  <c r="BE621" i="1" s="1"/>
  <c r="AU621" i="1"/>
  <c r="AV621" i="1" s="1"/>
  <c r="AS621" i="1"/>
  <c r="AT621" i="1" s="1"/>
  <c r="AR621" i="1"/>
  <c r="AQ621" i="1"/>
  <c r="AO621" i="1"/>
  <c r="AP621" i="1" s="1"/>
  <c r="BC621" i="1" s="1"/>
  <c r="AM621" i="1"/>
  <c r="AN621" i="1" s="1"/>
  <c r="AK621" i="1"/>
  <c r="AL621" i="1" s="1"/>
  <c r="AI621" i="1"/>
  <c r="AJ621" i="1" s="1"/>
  <c r="AG621" i="1"/>
  <c r="AH621" i="1" s="1"/>
  <c r="AD621" i="1"/>
  <c r="BP620" i="1"/>
  <c r="BM620" i="1"/>
  <c r="BH620" i="1"/>
  <c r="AY620" i="1"/>
  <c r="AZ620" i="1" s="1"/>
  <c r="AX620" i="1"/>
  <c r="BE620" i="1" s="1"/>
  <c r="AW620" i="1"/>
  <c r="AV620" i="1"/>
  <c r="AU620" i="1"/>
  <c r="AS620" i="1"/>
  <c r="AT620" i="1" s="1"/>
  <c r="AQ620" i="1"/>
  <c r="AR620" i="1" s="1"/>
  <c r="AO620" i="1"/>
  <c r="AP620" i="1" s="1"/>
  <c r="BC620" i="1" s="1"/>
  <c r="AM620" i="1"/>
  <c r="AN620" i="1" s="1"/>
  <c r="AK620" i="1"/>
  <c r="AL620" i="1" s="1"/>
  <c r="AI620" i="1"/>
  <c r="AJ620" i="1" s="1"/>
  <c r="AH620" i="1"/>
  <c r="BA620" i="1" s="1"/>
  <c r="AG620" i="1"/>
  <c r="AD620" i="1"/>
  <c r="BP619" i="1"/>
  <c r="BM619" i="1"/>
  <c r="BH619" i="1"/>
  <c r="AY619" i="1"/>
  <c r="AZ619" i="1" s="1"/>
  <c r="AW619" i="1"/>
  <c r="AX619" i="1" s="1"/>
  <c r="AV619" i="1"/>
  <c r="AU619" i="1"/>
  <c r="AS619" i="1"/>
  <c r="AT619" i="1" s="1"/>
  <c r="BD619" i="1" s="1"/>
  <c r="AQ619" i="1"/>
  <c r="AR619" i="1" s="1"/>
  <c r="AO619" i="1"/>
  <c r="AP619" i="1" s="1"/>
  <c r="AM619" i="1"/>
  <c r="AN619" i="1" s="1"/>
  <c r="AL619" i="1"/>
  <c r="AK619" i="1"/>
  <c r="AI619" i="1"/>
  <c r="AJ619" i="1" s="1"/>
  <c r="AG619" i="1"/>
  <c r="AH619" i="1" s="1"/>
  <c r="AD619" i="1"/>
  <c r="BP618" i="1"/>
  <c r="BM618" i="1"/>
  <c r="BH618" i="1"/>
  <c r="AY618" i="1"/>
  <c r="AZ618" i="1" s="1"/>
  <c r="AW618" i="1"/>
  <c r="AX618" i="1" s="1"/>
  <c r="AU618" i="1"/>
  <c r="AV618" i="1" s="1"/>
  <c r="AT618" i="1"/>
  <c r="AS618" i="1"/>
  <c r="AR618" i="1"/>
  <c r="AQ618" i="1"/>
  <c r="AO618" i="1"/>
  <c r="AP618" i="1" s="1"/>
  <c r="BC618" i="1" s="1"/>
  <c r="AM618" i="1"/>
  <c r="AN618" i="1" s="1"/>
  <c r="AK618" i="1"/>
  <c r="AL618" i="1" s="1"/>
  <c r="BB618" i="1" s="1"/>
  <c r="AI618" i="1"/>
  <c r="AJ618" i="1" s="1"/>
  <c r="AG618" i="1"/>
  <c r="AH618" i="1" s="1"/>
  <c r="AD618" i="1"/>
  <c r="BP617" i="1"/>
  <c r="BM617" i="1"/>
  <c r="BH617" i="1"/>
  <c r="AY617" i="1"/>
  <c r="AZ617" i="1" s="1"/>
  <c r="AX617" i="1"/>
  <c r="AW617" i="1"/>
  <c r="AU617" i="1"/>
  <c r="AV617" i="1" s="1"/>
  <c r="AS617" i="1"/>
  <c r="AT617" i="1" s="1"/>
  <c r="AR617" i="1"/>
  <c r="AQ617" i="1"/>
  <c r="AO617" i="1"/>
  <c r="AP617" i="1" s="1"/>
  <c r="BC617" i="1" s="1"/>
  <c r="AM617" i="1"/>
  <c r="AN617" i="1" s="1"/>
  <c r="AK617" i="1"/>
  <c r="AL617" i="1" s="1"/>
  <c r="BB617" i="1" s="1"/>
  <c r="AI617" i="1"/>
  <c r="AJ617" i="1" s="1"/>
  <c r="AH617" i="1"/>
  <c r="AG617" i="1"/>
  <c r="AD617" i="1"/>
  <c r="BP616" i="1"/>
  <c r="BM616" i="1"/>
  <c r="BH616" i="1"/>
  <c r="AY616" i="1"/>
  <c r="AZ616" i="1" s="1"/>
  <c r="AW616" i="1"/>
  <c r="AX616" i="1" s="1"/>
  <c r="BE616" i="1" s="1"/>
  <c r="AV616" i="1"/>
  <c r="AU616" i="1"/>
  <c r="AS616" i="1"/>
  <c r="AT616" i="1" s="1"/>
  <c r="BD616" i="1" s="1"/>
  <c r="AQ616" i="1"/>
  <c r="AR616" i="1" s="1"/>
  <c r="AO616" i="1"/>
  <c r="AP616" i="1" s="1"/>
  <c r="AM616" i="1"/>
  <c r="AN616" i="1" s="1"/>
  <c r="AK616" i="1"/>
  <c r="AL616" i="1" s="1"/>
  <c r="AI616" i="1"/>
  <c r="AJ616" i="1" s="1"/>
  <c r="AG616" i="1"/>
  <c r="AH616" i="1" s="1"/>
  <c r="AD616" i="1"/>
  <c r="BP615" i="1"/>
  <c r="BM615" i="1"/>
  <c r="BH615" i="1"/>
  <c r="AY615" i="1"/>
  <c r="AZ615" i="1" s="1"/>
  <c r="AW615" i="1"/>
  <c r="AX615" i="1" s="1"/>
  <c r="AV615" i="1"/>
  <c r="AU615" i="1"/>
  <c r="AT615" i="1"/>
  <c r="AS615" i="1"/>
  <c r="AQ615" i="1"/>
  <c r="AR615" i="1" s="1"/>
  <c r="AO615" i="1"/>
  <c r="AP615" i="1" s="1"/>
  <c r="AM615" i="1"/>
  <c r="AN615" i="1" s="1"/>
  <c r="AL615" i="1"/>
  <c r="BB615" i="1" s="1"/>
  <c r="AK615" i="1"/>
  <c r="AI615" i="1"/>
  <c r="AJ615" i="1" s="1"/>
  <c r="AG615" i="1"/>
  <c r="AH615" i="1" s="1"/>
  <c r="AD615" i="1"/>
  <c r="BP614" i="1"/>
  <c r="BM614" i="1"/>
  <c r="BH614" i="1"/>
  <c r="AY614" i="1"/>
  <c r="AZ614" i="1" s="1"/>
  <c r="AW614" i="1"/>
  <c r="AX614" i="1" s="1"/>
  <c r="AU614" i="1"/>
  <c r="AV614" i="1" s="1"/>
  <c r="AT614" i="1"/>
  <c r="AS614" i="1"/>
  <c r="AR614" i="1"/>
  <c r="AQ614" i="1"/>
  <c r="AO614" i="1"/>
  <c r="AP614" i="1" s="1"/>
  <c r="BC614" i="1" s="1"/>
  <c r="AM614" i="1"/>
  <c r="AN614" i="1" s="1"/>
  <c r="AK614" i="1"/>
  <c r="AL614" i="1" s="1"/>
  <c r="BB614" i="1" s="1"/>
  <c r="AI614" i="1"/>
  <c r="AJ614" i="1" s="1"/>
  <c r="AG614" i="1"/>
  <c r="AH614" i="1" s="1"/>
  <c r="AD614" i="1"/>
  <c r="BP613" i="1"/>
  <c r="BM613" i="1"/>
  <c r="BH613" i="1"/>
  <c r="AY613" i="1"/>
  <c r="AZ613" i="1" s="1"/>
  <c r="AX613" i="1"/>
  <c r="AW613" i="1"/>
  <c r="AU613" i="1"/>
  <c r="AV613" i="1" s="1"/>
  <c r="AS613" i="1"/>
  <c r="AT613" i="1" s="1"/>
  <c r="AR613" i="1"/>
  <c r="AQ613" i="1"/>
  <c r="AP613" i="1"/>
  <c r="BC613" i="1" s="1"/>
  <c r="AO613" i="1"/>
  <c r="AM613" i="1"/>
  <c r="AN613" i="1" s="1"/>
  <c r="AK613" i="1"/>
  <c r="AL613" i="1" s="1"/>
  <c r="BB613" i="1" s="1"/>
  <c r="AI613" i="1"/>
  <c r="AJ613" i="1" s="1"/>
  <c r="AH613" i="1"/>
  <c r="AG613" i="1"/>
  <c r="AD613" i="1"/>
  <c r="BP612" i="1"/>
  <c r="BM612" i="1"/>
  <c r="BH612" i="1"/>
  <c r="AY612" i="1"/>
  <c r="AZ612" i="1" s="1"/>
  <c r="AW612" i="1"/>
  <c r="AX612" i="1" s="1"/>
  <c r="AU612" i="1"/>
  <c r="AV612" i="1" s="1"/>
  <c r="BD612" i="1" s="1"/>
  <c r="AS612" i="1"/>
  <c r="AT612" i="1" s="1"/>
  <c r="AQ612" i="1"/>
  <c r="AR612" i="1" s="1"/>
  <c r="AO612" i="1"/>
  <c r="AP612" i="1" s="1"/>
  <c r="BC612" i="1" s="1"/>
  <c r="AM612" i="1"/>
  <c r="AN612" i="1" s="1"/>
  <c r="AK612" i="1"/>
  <c r="AL612" i="1" s="1"/>
  <c r="AI612" i="1"/>
  <c r="AJ612" i="1" s="1"/>
  <c r="AG612" i="1"/>
  <c r="AH612" i="1" s="1"/>
  <c r="AD612" i="1"/>
  <c r="BP611" i="1"/>
  <c r="BM611" i="1"/>
  <c r="BH611" i="1"/>
  <c r="AY611" i="1"/>
  <c r="AZ611" i="1" s="1"/>
  <c r="AW611" i="1"/>
  <c r="AX611" i="1" s="1"/>
  <c r="AU611" i="1"/>
  <c r="AV611" i="1" s="1"/>
  <c r="AT611" i="1"/>
  <c r="AS611" i="1"/>
  <c r="AQ611" i="1"/>
  <c r="AR611" i="1" s="1"/>
  <c r="AO611" i="1"/>
  <c r="AP611" i="1" s="1"/>
  <c r="AN611" i="1"/>
  <c r="AM611" i="1"/>
  <c r="AL611" i="1"/>
  <c r="BB611" i="1" s="1"/>
  <c r="AK611" i="1"/>
  <c r="AI611" i="1"/>
  <c r="AJ611" i="1" s="1"/>
  <c r="AG611" i="1"/>
  <c r="AH611" i="1" s="1"/>
  <c r="AD611" i="1"/>
  <c r="BH610" i="1"/>
  <c r="BC610" i="1"/>
  <c r="AZ610" i="1"/>
  <c r="AY610" i="1"/>
  <c r="AX610" i="1"/>
  <c r="BE610" i="1" s="1"/>
  <c r="AW610" i="1"/>
  <c r="AU610" i="1"/>
  <c r="AV610" i="1" s="1"/>
  <c r="AS610" i="1"/>
  <c r="AT610" i="1" s="1"/>
  <c r="AQ610" i="1"/>
  <c r="AO610" i="1"/>
  <c r="AM610" i="1"/>
  <c r="AN610" i="1" s="1"/>
  <c r="AK610" i="1"/>
  <c r="AL610" i="1" s="1"/>
  <c r="AI610" i="1"/>
  <c r="AJ610" i="1" s="1"/>
  <c r="AH610" i="1"/>
  <c r="BA610" i="1" s="1"/>
  <c r="AG610" i="1"/>
  <c r="BH609" i="1"/>
  <c r="BC609" i="1"/>
  <c r="AY609" i="1"/>
  <c r="AZ609" i="1" s="1"/>
  <c r="AW609" i="1"/>
  <c r="AX609" i="1" s="1"/>
  <c r="AU609" i="1"/>
  <c r="AV609" i="1" s="1"/>
  <c r="AT609" i="1"/>
  <c r="AS609" i="1"/>
  <c r="AQ609" i="1"/>
  <c r="AO609" i="1"/>
  <c r="AN609" i="1"/>
  <c r="AM609" i="1"/>
  <c r="AK609" i="1"/>
  <c r="AL609" i="1" s="1"/>
  <c r="BB609" i="1" s="1"/>
  <c r="AI609" i="1"/>
  <c r="AJ609" i="1" s="1"/>
  <c r="AG609" i="1"/>
  <c r="AH609" i="1" s="1"/>
  <c r="BP608" i="1"/>
  <c r="BM608" i="1"/>
  <c r="BH608" i="1"/>
  <c r="AY608" i="1"/>
  <c r="AZ608" i="1" s="1"/>
  <c r="AW608" i="1"/>
  <c r="AX608" i="1" s="1"/>
  <c r="BE608" i="1" s="1"/>
  <c r="AU608" i="1"/>
  <c r="AV608" i="1" s="1"/>
  <c r="AT608" i="1"/>
  <c r="AS608" i="1"/>
  <c r="AQ608" i="1"/>
  <c r="AR608" i="1" s="1"/>
  <c r="AO608" i="1"/>
  <c r="AP608" i="1" s="1"/>
  <c r="AN608" i="1"/>
  <c r="AM608" i="1"/>
  <c r="AL608" i="1"/>
  <c r="AK608" i="1"/>
  <c r="AI608" i="1"/>
  <c r="AJ608" i="1" s="1"/>
  <c r="AG608" i="1"/>
  <c r="AH608" i="1" s="1"/>
  <c r="AD608" i="1"/>
  <c r="BP607" i="1"/>
  <c r="BM607" i="1"/>
  <c r="BH607" i="1"/>
  <c r="AY607" i="1"/>
  <c r="AZ607" i="1" s="1"/>
  <c r="AW607" i="1"/>
  <c r="AX607" i="1" s="1"/>
  <c r="AU607" i="1"/>
  <c r="AV607" i="1" s="1"/>
  <c r="AS607" i="1"/>
  <c r="AT607" i="1" s="1"/>
  <c r="AR607" i="1"/>
  <c r="AQ607" i="1"/>
  <c r="AO607" i="1"/>
  <c r="AP607" i="1" s="1"/>
  <c r="BC607" i="1" s="1"/>
  <c r="AM607" i="1"/>
  <c r="AN607" i="1" s="1"/>
  <c r="AL607" i="1"/>
  <c r="AK607" i="1"/>
  <c r="AI607" i="1"/>
  <c r="AJ607" i="1" s="1"/>
  <c r="AG607" i="1"/>
  <c r="AH607" i="1" s="1"/>
  <c r="AD607" i="1"/>
  <c r="BP606" i="1"/>
  <c r="BM606" i="1"/>
  <c r="BH606" i="1"/>
  <c r="AZ606" i="1"/>
  <c r="AY606" i="1"/>
  <c r="AW606" i="1"/>
  <c r="AX606" i="1" s="1"/>
  <c r="BE606" i="1" s="1"/>
  <c r="AU606" i="1"/>
  <c r="AV606" i="1" s="1"/>
  <c r="AS606" i="1"/>
  <c r="AT606" i="1" s="1"/>
  <c r="AR606" i="1"/>
  <c r="AQ606" i="1"/>
  <c r="AP606" i="1"/>
  <c r="AO606" i="1"/>
  <c r="AM606" i="1"/>
  <c r="AN606" i="1" s="1"/>
  <c r="AK606" i="1"/>
  <c r="AL606" i="1" s="1"/>
  <c r="AJ606" i="1"/>
  <c r="AI606" i="1"/>
  <c r="AG606" i="1"/>
  <c r="AH606" i="1" s="1"/>
  <c r="BA606" i="1" s="1"/>
  <c r="AD606" i="1"/>
  <c r="BP605" i="1"/>
  <c r="BM605" i="1"/>
  <c r="BH605" i="1"/>
  <c r="AY605" i="1"/>
  <c r="AZ605" i="1" s="1"/>
  <c r="AW605" i="1"/>
  <c r="AX605" i="1" s="1"/>
  <c r="BE605" i="1" s="1"/>
  <c r="AV605" i="1"/>
  <c r="AU605" i="1"/>
  <c r="AS605" i="1"/>
  <c r="AT605" i="1" s="1"/>
  <c r="AQ605" i="1"/>
  <c r="AR605" i="1" s="1"/>
  <c r="AP605" i="1"/>
  <c r="AO605" i="1"/>
  <c r="AM605" i="1"/>
  <c r="AN605" i="1" s="1"/>
  <c r="AK605" i="1"/>
  <c r="AL605" i="1" s="1"/>
  <c r="AI605" i="1"/>
  <c r="AJ605" i="1" s="1"/>
  <c r="AG605" i="1"/>
  <c r="AH605" i="1" s="1"/>
  <c r="AD605" i="1"/>
  <c r="BH604" i="1"/>
  <c r="BC604" i="1"/>
  <c r="AY604" i="1"/>
  <c r="AZ604" i="1" s="1"/>
  <c r="AW604" i="1"/>
  <c r="AX604" i="1" s="1"/>
  <c r="AU604" i="1"/>
  <c r="AV604" i="1" s="1"/>
  <c r="AT604" i="1"/>
  <c r="AS604" i="1"/>
  <c r="AQ604" i="1"/>
  <c r="AO604" i="1"/>
  <c r="AM604" i="1"/>
  <c r="AN604" i="1" s="1"/>
  <c r="AK604" i="1"/>
  <c r="AL604" i="1" s="1"/>
  <c r="BB604" i="1" s="1"/>
  <c r="AJ604" i="1"/>
  <c r="AI604" i="1"/>
  <c r="AG604" i="1"/>
  <c r="AH604" i="1" s="1"/>
  <c r="BA604" i="1" s="1"/>
  <c r="BP603" i="1"/>
  <c r="BM603" i="1"/>
  <c r="BH603" i="1"/>
  <c r="AZ603" i="1"/>
  <c r="AY603" i="1"/>
  <c r="AW603" i="1"/>
  <c r="AX603" i="1" s="1"/>
  <c r="AU603" i="1"/>
  <c r="AV603" i="1" s="1"/>
  <c r="AT603" i="1"/>
  <c r="AS603" i="1"/>
  <c r="AQ603" i="1"/>
  <c r="AR603" i="1" s="1"/>
  <c r="AO603" i="1"/>
  <c r="AP603" i="1" s="1"/>
  <c r="BC603" i="1" s="1"/>
  <c r="AM603" i="1"/>
  <c r="AN603" i="1" s="1"/>
  <c r="AL603" i="1"/>
  <c r="AK603" i="1"/>
  <c r="AI603" i="1"/>
  <c r="AJ603" i="1" s="1"/>
  <c r="AH603" i="1"/>
  <c r="AG603" i="1"/>
  <c r="AD603" i="1"/>
  <c r="BP602" i="1"/>
  <c r="BM602" i="1"/>
  <c r="BH602" i="1"/>
  <c r="AZ602" i="1"/>
  <c r="AY602" i="1"/>
  <c r="AX602" i="1"/>
  <c r="AW602" i="1"/>
  <c r="AU602" i="1"/>
  <c r="AV602" i="1" s="1"/>
  <c r="AS602" i="1"/>
  <c r="AT602" i="1" s="1"/>
  <c r="AR602" i="1"/>
  <c r="AQ602" i="1"/>
  <c r="AO602" i="1"/>
  <c r="AP602" i="1" s="1"/>
  <c r="BC602" i="1" s="1"/>
  <c r="AM602" i="1"/>
  <c r="AN602" i="1" s="1"/>
  <c r="AK602" i="1"/>
  <c r="AL602" i="1" s="1"/>
  <c r="AJ602" i="1"/>
  <c r="AI602" i="1"/>
  <c r="AG602" i="1"/>
  <c r="AH602" i="1" s="1"/>
  <c r="BA602" i="1" s="1"/>
  <c r="AD602" i="1"/>
  <c r="BP601" i="1"/>
  <c r="BM601" i="1"/>
  <c r="BH601" i="1"/>
  <c r="AY601" i="1"/>
  <c r="AZ601" i="1" s="1"/>
  <c r="AW601" i="1"/>
  <c r="AX601" i="1" s="1"/>
  <c r="AV601" i="1"/>
  <c r="AU601" i="1"/>
  <c r="AS601" i="1"/>
  <c r="AT601" i="1" s="1"/>
  <c r="AQ601" i="1"/>
  <c r="AR601" i="1" s="1"/>
  <c r="AP601" i="1"/>
  <c r="AO601" i="1"/>
  <c r="AM601" i="1"/>
  <c r="AN601" i="1" s="1"/>
  <c r="BB601" i="1" s="1"/>
  <c r="AK601" i="1"/>
  <c r="AL601" i="1" s="1"/>
  <c r="AI601" i="1"/>
  <c r="AJ601" i="1" s="1"/>
  <c r="AG601" i="1"/>
  <c r="AH601" i="1" s="1"/>
  <c r="AD601" i="1"/>
  <c r="BP600" i="1"/>
  <c r="BM600" i="1"/>
  <c r="BH600" i="1"/>
  <c r="AZ600" i="1"/>
  <c r="BE600" i="1" s="1"/>
  <c r="AY600" i="1"/>
  <c r="AW600" i="1"/>
  <c r="AX600" i="1" s="1"/>
  <c r="AU600" i="1"/>
  <c r="AV600" i="1" s="1"/>
  <c r="AS600" i="1"/>
  <c r="AT600" i="1" s="1"/>
  <c r="AR600" i="1"/>
  <c r="AQ600" i="1"/>
  <c r="AO600" i="1"/>
  <c r="AP600" i="1" s="1"/>
  <c r="AM600" i="1"/>
  <c r="AN600" i="1" s="1"/>
  <c r="BB600" i="1" s="1"/>
  <c r="AL600" i="1"/>
  <c r="AK600" i="1"/>
  <c r="AI600" i="1"/>
  <c r="AJ600" i="1" s="1"/>
  <c r="AG600" i="1"/>
  <c r="AH600" i="1" s="1"/>
  <c r="AD600" i="1"/>
  <c r="BP599" i="1"/>
  <c r="BM599" i="1"/>
  <c r="BH599" i="1"/>
  <c r="AY599" i="1"/>
  <c r="AZ599" i="1" s="1"/>
  <c r="AW599" i="1"/>
  <c r="AX599" i="1" s="1"/>
  <c r="AU599" i="1"/>
  <c r="AV599" i="1" s="1"/>
  <c r="AT599" i="1"/>
  <c r="AS599" i="1"/>
  <c r="AQ599" i="1"/>
  <c r="AR599" i="1" s="1"/>
  <c r="BC599" i="1" s="1"/>
  <c r="AP599" i="1"/>
  <c r="AO599" i="1"/>
  <c r="AM599" i="1"/>
  <c r="AN599" i="1" s="1"/>
  <c r="AL599" i="1"/>
  <c r="AK599" i="1"/>
  <c r="AI599" i="1"/>
  <c r="AJ599" i="1" s="1"/>
  <c r="AH599" i="1"/>
  <c r="AG599" i="1"/>
  <c r="AD599" i="1"/>
  <c r="BP598" i="1"/>
  <c r="BM598" i="1"/>
  <c r="BH598" i="1"/>
  <c r="AZ598" i="1"/>
  <c r="AY598" i="1"/>
  <c r="AW598" i="1"/>
  <c r="AX598" i="1" s="1"/>
  <c r="AU598" i="1"/>
  <c r="AV598" i="1" s="1"/>
  <c r="AS598" i="1"/>
  <c r="AT598" i="1" s="1"/>
  <c r="BD598" i="1" s="1"/>
  <c r="AR598" i="1"/>
  <c r="AQ598" i="1"/>
  <c r="AO598" i="1"/>
  <c r="AP598" i="1" s="1"/>
  <c r="BC598" i="1" s="1"/>
  <c r="AM598" i="1"/>
  <c r="AN598" i="1" s="1"/>
  <c r="AK598" i="1"/>
  <c r="AL598" i="1" s="1"/>
  <c r="BB598" i="1" s="1"/>
  <c r="AI598" i="1"/>
  <c r="AJ598" i="1" s="1"/>
  <c r="AG598" i="1"/>
  <c r="AH598" i="1" s="1"/>
  <c r="AD598" i="1"/>
  <c r="BP597" i="1"/>
  <c r="BM597" i="1"/>
  <c r="BH597" i="1"/>
  <c r="AY597" i="1"/>
  <c r="AZ597" i="1" s="1"/>
  <c r="AW597" i="1"/>
  <c r="AX597" i="1" s="1"/>
  <c r="BE597" i="1" s="1"/>
  <c r="AV597" i="1"/>
  <c r="AU597" i="1"/>
  <c r="AS597" i="1"/>
  <c r="AT597" i="1" s="1"/>
  <c r="BD597" i="1" s="1"/>
  <c r="AQ597" i="1"/>
  <c r="AR597" i="1" s="1"/>
  <c r="AP597" i="1"/>
  <c r="AO597" i="1"/>
  <c r="AM597" i="1"/>
  <c r="AN597" i="1" s="1"/>
  <c r="AL597" i="1"/>
  <c r="AK597" i="1"/>
  <c r="AI597" i="1"/>
  <c r="AJ597" i="1" s="1"/>
  <c r="AG597" i="1"/>
  <c r="AH597" i="1" s="1"/>
  <c r="AD597" i="1"/>
  <c r="BP596" i="1"/>
  <c r="BM596" i="1"/>
  <c r="BH596" i="1"/>
  <c r="AY596" i="1"/>
  <c r="AZ596" i="1" s="1"/>
  <c r="AW596" i="1"/>
  <c r="AX596" i="1" s="1"/>
  <c r="AU596" i="1"/>
  <c r="AV596" i="1" s="1"/>
  <c r="AS596" i="1"/>
  <c r="AT596" i="1" s="1"/>
  <c r="BD596" i="1" s="1"/>
  <c r="AQ596" i="1"/>
  <c r="AR596" i="1" s="1"/>
  <c r="AO596" i="1"/>
  <c r="AP596" i="1" s="1"/>
  <c r="BC596" i="1" s="1"/>
  <c r="AM596" i="1"/>
  <c r="AN596" i="1" s="1"/>
  <c r="AK596" i="1"/>
  <c r="AL596" i="1" s="1"/>
  <c r="BB596" i="1" s="1"/>
  <c r="AI596" i="1"/>
  <c r="AJ596" i="1" s="1"/>
  <c r="AG596" i="1"/>
  <c r="AH596" i="1" s="1"/>
  <c r="BA596" i="1" s="1"/>
  <c r="AD596" i="1"/>
  <c r="BP595" i="1"/>
  <c r="BM595" i="1"/>
  <c r="BH595" i="1"/>
  <c r="AY595" i="1"/>
  <c r="AW595" i="1"/>
  <c r="AX595" i="1" s="1"/>
  <c r="AU595" i="1"/>
  <c r="AT595" i="1"/>
  <c r="AS595" i="1"/>
  <c r="AQ595" i="1"/>
  <c r="AR595" i="1" s="1"/>
  <c r="AO595" i="1"/>
  <c r="AM595" i="1"/>
  <c r="AN595" i="1" s="1"/>
  <c r="AL595" i="1"/>
  <c r="BB595" i="1" s="1"/>
  <c r="AK595" i="1"/>
  <c r="AI595" i="1"/>
  <c r="AG595" i="1"/>
  <c r="AH595" i="1" s="1"/>
  <c r="AF595" i="1"/>
  <c r="AD595" i="1"/>
  <c r="BH594" i="1"/>
  <c r="BC594" i="1"/>
  <c r="AY594" i="1"/>
  <c r="AZ594" i="1" s="1"/>
  <c r="AW594" i="1"/>
  <c r="AX594" i="1" s="1"/>
  <c r="AV594" i="1"/>
  <c r="AU594" i="1"/>
  <c r="AS594" i="1"/>
  <c r="AT594" i="1" s="1"/>
  <c r="AQ594" i="1"/>
  <c r="AO594" i="1"/>
  <c r="AM594" i="1"/>
  <c r="AN594" i="1" s="1"/>
  <c r="AL594" i="1"/>
  <c r="AK594" i="1"/>
  <c r="AI594" i="1"/>
  <c r="AJ594" i="1" s="1"/>
  <c r="AG594" i="1"/>
  <c r="AH594" i="1" s="1"/>
  <c r="BH593" i="1"/>
  <c r="BC593" i="1"/>
  <c r="AY593" i="1"/>
  <c r="AZ593" i="1" s="1"/>
  <c r="AW593" i="1"/>
  <c r="AX593" i="1" s="1"/>
  <c r="BE593" i="1" s="1"/>
  <c r="AU593" i="1"/>
  <c r="AV593" i="1" s="1"/>
  <c r="AS593" i="1"/>
  <c r="AT593" i="1" s="1"/>
  <c r="AQ593" i="1"/>
  <c r="AO593" i="1"/>
  <c r="AM593" i="1"/>
  <c r="AN593" i="1" s="1"/>
  <c r="AK593" i="1"/>
  <c r="AL593" i="1" s="1"/>
  <c r="BB593" i="1" s="1"/>
  <c r="AI593" i="1"/>
  <c r="AJ593" i="1" s="1"/>
  <c r="AG593" i="1"/>
  <c r="AH593" i="1" s="1"/>
  <c r="BA593" i="1" s="1"/>
  <c r="BP592" i="1"/>
  <c r="BM592" i="1"/>
  <c r="BH592" i="1"/>
  <c r="AZ592" i="1"/>
  <c r="AY592" i="1"/>
  <c r="AW592" i="1"/>
  <c r="AX592" i="1" s="1"/>
  <c r="AU592" i="1"/>
  <c r="AV592" i="1" s="1"/>
  <c r="BD592" i="1" s="1"/>
  <c r="AT592" i="1"/>
  <c r="AS592" i="1"/>
  <c r="AQ592" i="1"/>
  <c r="AR592" i="1" s="1"/>
  <c r="AO592" i="1"/>
  <c r="AP592" i="1" s="1"/>
  <c r="AM592" i="1"/>
  <c r="AN592" i="1" s="1"/>
  <c r="AL592" i="1"/>
  <c r="AK592" i="1"/>
  <c r="AJ592" i="1"/>
  <c r="AI592" i="1"/>
  <c r="AG592" i="1"/>
  <c r="AH592" i="1" s="1"/>
  <c r="BA592" i="1" s="1"/>
  <c r="AD592" i="1"/>
  <c r="BH591" i="1"/>
  <c r="BC591" i="1"/>
  <c r="AY591" i="1"/>
  <c r="AZ591" i="1" s="1"/>
  <c r="AW591" i="1"/>
  <c r="AX591" i="1" s="1"/>
  <c r="AU591" i="1"/>
  <c r="AV591" i="1" s="1"/>
  <c r="AS591" i="1"/>
  <c r="AT591" i="1" s="1"/>
  <c r="BD591" i="1" s="1"/>
  <c r="AM591" i="1"/>
  <c r="AN591" i="1" s="1"/>
  <c r="AK591" i="1"/>
  <c r="AL591" i="1" s="1"/>
  <c r="BB591" i="1" s="1"/>
  <c r="BF591" i="1" s="1"/>
  <c r="AI591" i="1"/>
  <c r="AJ591" i="1" s="1"/>
  <c r="AG591" i="1"/>
  <c r="AH591" i="1" s="1"/>
  <c r="BP590" i="1"/>
  <c r="BM590" i="1"/>
  <c r="BH590" i="1"/>
  <c r="AY590" i="1"/>
  <c r="AZ590" i="1" s="1"/>
  <c r="AX590" i="1"/>
  <c r="AW590" i="1"/>
  <c r="AV590" i="1"/>
  <c r="AU590" i="1"/>
  <c r="AS590" i="1"/>
  <c r="AT590" i="1" s="1"/>
  <c r="BD590" i="1" s="1"/>
  <c r="AR590" i="1"/>
  <c r="AQ590" i="1"/>
  <c r="AO590" i="1"/>
  <c r="AP590" i="1" s="1"/>
  <c r="BC590" i="1" s="1"/>
  <c r="AN590" i="1"/>
  <c r="AM590" i="1"/>
  <c r="AK590" i="1"/>
  <c r="AL590" i="1" s="1"/>
  <c r="AJ590" i="1"/>
  <c r="BA590" i="1" s="1"/>
  <c r="AI590" i="1"/>
  <c r="AH590" i="1"/>
  <c r="AG590" i="1"/>
  <c r="AD590" i="1"/>
  <c r="BP589" i="1"/>
  <c r="BM589" i="1"/>
  <c r="BH589" i="1"/>
  <c r="AY589" i="1"/>
  <c r="AZ589" i="1" s="1"/>
  <c r="AX589" i="1"/>
  <c r="AW589" i="1"/>
  <c r="AU589" i="1"/>
  <c r="AV589" i="1" s="1"/>
  <c r="AS589" i="1"/>
  <c r="AT589" i="1" s="1"/>
  <c r="AQ589" i="1"/>
  <c r="AR589" i="1" s="1"/>
  <c r="AO589" i="1"/>
  <c r="AP589" i="1" s="1"/>
  <c r="BC589" i="1" s="1"/>
  <c r="AM589" i="1"/>
  <c r="AN589" i="1" s="1"/>
  <c r="AK589" i="1"/>
  <c r="AL589" i="1" s="1"/>
  <c r="BB589" i="1" s="1"/>
  <c r="AI589" i="1"/>
  <c r="AJ589" i="1" s="1"/>
  <c r="AG589" i="1"/>
  <c r="AH589" i="1" s="1"/>
  <c r="AD589" i="1"/>
  <c r="BP588" i="1"/>
  <c r="BM588" i="1"/>
  <c r="BH588" i="1"/>
  <c r="AY588" i="1"/>
  <c r="AZ588" i="1" s="1"/>
  <c r="AW588" i="1"/>
  <c r="AX588" i="1" s="1"/>
  <c r="AV588" i="1"/>
  <c r="AU588" i="1"/>
  <c r="AS588" i="1"/>
  <c r="AT588" i="1" s="1"/>
  <c r="BD588" i="1" s="1"/>
  <c r="AQ588" i="1"/>
  <c r="AR588" i="1" s="1"/>
  <c r="AO588" i="1"/>
  <c r="AP588" i="1" s="1"/>
  <c r="AM588" i="1"/>
  <c r="AN588" i="1" s="1"/>
  <c r="AK588" i="1"/>
  <c r="AL588" i="1" s="1"/>
  <c r="AI588" i="1"/>
  <c r="AJ588" i="1" s="1"/>
  <c r="AG588" i="1"/>
  <c r="AH588" i="1" s="1"/>
  <c r="AD588" i="1"/>
  <c r="BP587" i="1"/>
  <c r="BM587" i="1"/>
  <c r="BH587" i="1"/>
  <c r="AY587" i="1"/>
  <c r="AZ587" i="1" s="1"/>
  <c r="AX587" i="1"/>
  <c r="AW587" i="1"/>
  <c r="AU587" i="1"/>
  <c r="AV587" i="1" s="1"/>
  <c r="AS587" i="1"/>
  <c r="AT587" i="1" s="1"/>
  <c r="BD587" i="1" s="1"/>
  <c r="AR587" i="1"/>
  <c r="AQ587" i="1"/>
  <c r="AP587" i="1"/>
  <c r="BC587" i="1" s="1"/>
  <c r="AO587" i="1"/>
  <c r="AM587" i="1"/>
  <c r="AN587" i="1" s="1"/>
  <c r="AK587" i="1"/>
  <c r="AL587" i="1" s="1"/>
  <c r="AJ587" i="1"/>
  <c r="AI587" i="1"/>
  <c r="AG587" i="1"/>
  <c r="AH587" i="1" s="1"/>
  <c r="BA587" i="1" s="1"/>
  <c r="BP586" i="1"/>
  <c r="BM586" i="1"/>
  <c r="BH586" i="1"/>
  <c r="AY586" i="1"/>
  <c r="AZ586" i="1" s="1"/>
  <c r="AW586" i="1"/>
  <c r="AX586" i="1" s="1"/>
  <c r="BE586" i="1" s="1"/>
  <c r="AU586" i="1"/>
  <c r="AV586" i="1" s="1"/>
  <c r="AS586" i="1"/>
  <c r="AT586" i="1" s="1"/>
  <c r="AQ586" i="1"/>
  <c r="AR586" i="1" s="1"/>
  <c r="AO586" i="1"/>
  <c r="AP586" i="1" s="1"/>
  <c r="AM586" i="1"/>
  <c r="AN586" i="1" s="1"/>
  <c r="AK586" i="1"/>
  <c r="AL586" i="1" s="1"/>
  <c r="BB586" i="1" s="1"/>
  <c r="AI586" i="1"/>
  <c r="AJ586" i="1" s="1"/>
  <c r="AG586" i="1"/>
  <c r="AH586" i="1" s="1"/>
  <c r="BP585" i="1"/>
  <c r="BM585" i="1"/>
  <c r="BH585" i="1"/>
  <c r="AY585" i="1"/>
  <c r="AZ585" i="1" s="1"/>
  <c r="AW585" i="1"/>
  <c r="AX585" i="1" s="1"/>
  <c r="AU585" i="1"/>
  <c r="AV585" i="1" s="1"/>
  <c r="BD585" i="1" s="1"/>
  <c r="AT585" i="1"/>
  <c r="AS585" i="1"/>
  <c r="AQ585" i="1"/>
  <c r="AR585" i="1" s="1"/>
  <c r="AO585" i="1"/>
  <c r="AP585" i="1" s="1"/>
  <c r="AM585" i="1"/>
  <c r="AN585" i="1" s="1"/>
  <c r="AK585" i="1"/>
  <c r="AL585" i="1" s="1"/>
  <c r="BB585" i="1" s="1"/>
  <c r="AI585" i="1"/>
  <c r="AJ585" i="1" s="1"/>
  <c r="AG585" i="1"/>
  <c r="AH585" i="1" s="1"/>
  <c r="AD585" i="1"/>
  <c r="BP584" i="1"/>
  <c r="BM584" i="1"/>
  <c r="BH584" i="1"/>
  <c r="AY584" i="1"/>
  <c r="AZ584" i="1" s="1"/>
  <c r="AX584" i="1"/>
  <c r="AW584" i="1"/>
  <c r="AU584" i="1"/>
  <c r="AV584" i="1" s="1"/>
  <c r="AS584" i="1"/>
  <c r="AT584" i="1" s="1"/>
  <c r="BD584" i="1" s="1"/>
  <c r="AR584" i="1"/>
  <c r="AQ584" i="1"/>
  <c r="AP584" i="1"/>
  <c r="AO584" i="1"/>
  <c r="AM584" i="1"/>
  <c r="AN584" i="1" s="1"/>
  <c r="AK584" i="1"/>
  <c r="AL584" i="1" s="1"/>
  <c r="AJ584" i="1"/>
  <c r="AI584" i="1"/>
  <c r="AH584" i="1"/>
  <c r="BA584" i="1" s="1"/>
  <c r="AG584" i="1"/>
  <c r="AD584" i="1"/>
  <c r="BP583" i="1"/>
  <c r="BM583" i="1"/>
  <c r="BH583" i="1"/>
  <c r="AY583" i="1"/>
  <c r="AZ583" i="1" s="1"/>
  <c r="AW583" i="1"/>
  <c r="AX583" i="1" s="1"/>
  <c r="AV583" i="1"/>
  <c r="AU583" i="1"/>
  <c r="AS583" i="1"/>
  <c r="AT583" i="1" s="1"/>
  <c r="BD583" i="1" s="1"/>
  <c r="AR583" i="1"/>
  <c r="AQ583" i="1"/>
  <c r="AP583" i="1"/>
  <c r="AO583" i="1"/>
  <c r="AN583" i="1"/>
  <c r="AM583" i="1"/>
  <c r="AK583" i="1"/>
  <c r="AL583" i="1" s="1"/>
  <c r="AI583" i="1"/>
  <c r="AJ583" i="1" s="1"/>
  <c r="BA583" i="1" s="1"/>
  <c r="AH583" i="1"/>
  <c r="AG583" i="1"/>
  <c r="AD583" i="1"/>
  <c r="BP582" i="1"/>
  <c r="BM582" i="1"/>
  <c r="BH582" i="1"/>
  <c r="AY582" i="1"/>
  <c r="AZ582" i="1" s="1"/>
  <c r="AX582" i="1"/>
  <c r="AW582" i="1"/>
  <c r="AV582" i="1"/>
  <c r="AU582" i="1"/>
  <c r="AS582" i="1"/>
  <c r="AT582" i="1" s="1"/>
  <c r="BD582" i="1" s="1"/>
  <c r="AQ582" i="1"/>
  <c r="AR582" i="1" s="1"/>
  <c r="AP582" i="1"/>
  <c r="BC582" i="1" s="1"/>
  <c r="AO582" i="1"/>
  <c r="AM582" i="1"/>
  <c r="AN582" i="1" s="1"/>
  <c r="AK582" i="1"/>
  <c r="AL582" i="1" s="1"/>
  <c r="BB582" i="1" s="1"/>
  <c r="AI582" i="1"/>
  <c r="AJ582" i="1" s="1"/>
  <c r="AH582" i="1"/>
  <c r="AG582" i="1"/>
  <c r="AD582" i="1"/>
  <c r="BP581" i="1"/>
  <c r="BM581" i="1"/>
  <c r="BH581" i="1"/>
  <c r="AY581" i="1"/>
  <c r="AZ581" i="1" s="1"/>
  <c r="AW581" i="1"/>
  <c r="AX581" i="1" s="1"/>
  <c r="AU581" i="1"/>
  <c r="AV581" i="1" s="1"/>
  <c r="AT581" i="1"/>
  <c r="AS581" i="1"/>
  <c r="AQ581" i="1"/>
  <c r="AR581" i="1" s="1"/>
  <c r="AO581" i="1"/>
  <c r="AP581" i="1" s="1"/>
  <c r="AN581" i="1"/>
  <c r="AM581" i="1"/>
  <c r="AK581" i="1"/>
  <c r="AL581" i="1" s="1"/>
  <c r="BB581" i="1" s="1"/>
  <c r="AI581" i="1"/>
  <c r="AJ581" i="1" s="1"/>
  <c r="AG581" i="1"/>
  <c r="AH581" i="1" s="1"/>
  <c r="AD581" i="1"/>
  <c r="BP580" i="1"/>
  <c r="BM580" i="1"/>
  <c r="BH580" i="1"/>
  <c r="AY580" i="1"/>
  <c r="AZ580" i="1" s="1"/>
  <c r="AW580" i="1"/>
  <c r="AX580" i="1" s="1"/>
  <c r="AU580" i="1"/>
  <c r="AV580" i="1" s="1"/>
  <c r="AS580" i="1"/>
  <c r="AT580" i="1" s="1"/>
  <c r="BD580" i="1" s="1"/>
  <c r="AQ580" i="1"/>
  <c r="AR580" i="1" s="1"/>
  <c r="AO580" i="1"/>
  <c r="AP580" i="1" s="1"/>
  <c r="BC580" i="1" s="1"/>
  <c r="AM580" i="1"/>
  <c r="AN580" i="1" s="1"/>
  <c r="AK580" i="1"/>
  <c r="AL580" i="1" s="1"/>
  <c r="AI580" i="1"/>
  <c r="AJ580" i="1" s="1"/>
  <c r="AH580" i="1"/>
  <c r="AG580" i="1"/>
  <c r="AD580" i="1"/>
  <c r="BP579" i="1"/>
  <c r="BM579" i="1"/>
  <c r="BH579" i="1"/>
  <c r="AZ579" i="1"/>
  <c r="AY579" i="1"/>
  <c r="AX579" i="1"/>
  <c r="BE579" i="1" s="1"/>
  <c r="AW579" i="1"/>
  <c r="AU579" i="1"/>
  <c r="AV579" i="1" s="1"/>
  <c r="AS579" i="1"/>
  <c r="AT579" i="1" s="1"/>
  <c r="AQ579" i="1"/>
  <c r="AR579" i="1" s="1"/>
  <c r="AP579" i="1"/>
  <c r="AO579" i="1"/>
  <c r="AM579" i="1"/>
  <c r="AN579" i="1" s="1"/>
  <c r="AK579" i="1"/>
  <c r="AL579" i="1" s="1"/>
  <c r="AJ579" i="1"/>
  <c r="AI579" i="1"/>
  <c r="AG579" i="1"/>
  <c r="AH579" i="1" s="1"/>
  <c r="AD579" i="1"/>
  <c r="BP578" i="1"/>
  <c r="BM578" i="1"/>
  <c r="BH578" i="1"/>
  <c r="AY578" i="1"/>
  <c r="AZ578" i="1" s="1"/>
  <c r="AX578" i="1"/>
  <c r="AW578" i="1"/>
  <c r="AV578" i="1"/>
  <c r="AU578" i="1"/>
  <c r="AS578" i="1"/>
  <c r="AT578" i="1" s="1"/>
  <c r="BD578" i="1" s="1"/>
  <c r="AQ578" i="1"/>
  <c r="AR578" i="1" s="1"/>
  <c r="AO578" i="1"/>
  <c r="AP578" i="1" s="1"/>
  <c r="AN578" i="1"/>
  <c r="AM578" i="1"/>
  <c r="AK578" i="1"/>
  <c r="AL578" i="1" s="1"/>
  <c r="BB578" i="1" s="1"/>
  <c r="BF578" i="1" s="1"/>
  <c r="AI578" i="1"/>
  <c r="AJ578" i="1" s="1"/>
  <c r="AH578" i="1"/>
  <c r="BA578" i="1" s="1"/>
  <c r="AG578" i="1"/>
  <c r="AD578" i="1"/>
  <c r="BP577" i="1"/>
  <c r="BM577" i="1"/>
  <c r="BH577" i="1"/>
  <c r="AY577" i="1"/>
  <c r="AZ577" i="1" s="1"/>
  <c r="AW577" i="1"/>
  <c r="AX577" i="1" s="1"/>
  <c r="AU577" i="1"/>
  <c r="AV577" i="1" s="1"/>
  <c r="BD577" i="1" s="1"/>
  <c r="AS577" i="1"/>
  <c r="AT577" i="1" s="1"/>
  <c r="AQ577" i="1"/>
  <c r="AR577" i="1" s="1"/>
  <c r="AO577" i="1"/>
  <c r="AP577" i="1" s="1"/>
  <c r="AM577" i="1"/>
  <c r="AN577" i="1" s="1"/>
  <c r="AK577" i="1"/>
  <c r="AL577" i="1" s="1"/>
  <c r="AJ577" i="1"/>
  <c r="AI577" i="1"/>
  <c r="AG577" i="1"/>
  <c r="AH577" i="1" s="1"/>
  <c r="BA577" i="1" s="1"/>
  <c r="AD577" i="1"/>
  <c r="BP576" i="1"/>
  <c r="BM576" i="1"/>
  <c r="BH576" i="1"/>
  <c r="AZ576" i="1"/>
  <c r="AY576" i="1"/>
  <c r="AX576" i="1"/>
  <c r="BE576" i="1" s="1"/>
  <c r="AW576" i="1"/>
  <c r="AU576" i="1"/>
  <c r="AV576" i="1" s="1"/>
  <c r="AT576" i="1"/>
  <c r="AS576" i="1"/>
  <c r="AR576" i="1"/>
  <c r="AQ576" i="1"/>
  <c r="AP576" i="1"/>
  <c r="BC576" i="1" s="1"/>
  <c r="AO576" i="1"/>
  <c r="AM576" i="1"/>
  <c r="AN576" i="1" s="1"/>
  <c r="BB576" i="1" s="1"/>
  <c r="AL576" i="1"/>
  <c r="AK576" i="1"/>
  <c r="AJ576" i="1"/>
  <c r="AI576" i="1"/>
  <c r="AH576" i="1"/>
  <c r="BA576" i="1" s="1"/>
  <c r="AG576" i="1"/>
  <c r="AD576" i="1"/>
  <c r="BP575" i="1"/>
  <c r="BM575" i="1"/>
  <c r="BH575" i="1"/>
  <c r="AY575" i="1"/>
  <c r="AZ575" i="1" s="1"/>
  <c r="AX575" i="1"/>
  <c r="AW575" i="1"/>
  <c r="AV575" i="1"/>
  <c r="AU575" i="1"/>
  <c r="AS575" i="1"/>
  <c r="AT575" i="1" s="1"/>
  <c r="BD575" i="1" s="1"/>
  <c r="AR575" i="1"/>
  <c r="AQ575" i="1"/>
  <c r="AP575" i="1"/>
  <c r="AO575" i="1"/>
  <c r="AN575" i="1"/>
  <c r="AM575" i="1"/>
  <c r="AK575" i="1"/>
  <c r="AL575" i="1" s="1"/>
  <c r="AJ575" i="1"/>
  <c r="BA575" i="1" s="1"/>
  <c r="AI575" i="1"/>
  <c r="AH575" i="1"/>
  <c r="AG575" i="1"/>
  <c r="AD575" i="1"/>
  <c r="BH574" i="1"/>
  <c r="BC574" i="1"/>
  <c r="AY574" i="1"/>
  <c r="AZ574" i="1" s="1"/>
  <c r="AW574" i="1"/>
  <c r="AX574" i="1" s="1"/>
  <c r="AV574" i="1"/>
  <c r="AU574" i="1"/>
  <c r="AS574" i="1"/>
  <c r="AT574" i="1" s="1"/>
  <c r="BD574" i="1" s="1"/>
  <c r="AQ574" i="1"/>
  <c r="AO574" i="1"/>
  <c r="AM574" i="1"/>
  <c r="AN574" i="1" s="1"/>
  <c r="AK574" i="1"/>
  <c r="AL574" i="1" s="1"/>
  <c r="BB574" i="1" s="1"/>
  <c r="AI574" i="1"/>
  <c r="AJ574" i="1" s="1"/>
  <c r="AG574" i="1"/>
  <c r="AH574" i="1" s="1"/>
  <c r="BP573" i="1"/>
  <c r="BM573" i="1"/>
  <c r="BH573" i="1"/>
  <c r="AY573" i="1"/>
  <c r="AZ573" i="1" s="1"/>
  <c r="AX573" i="1"/>
  <c r="AW573" i="1"/>
  <c r="AU573" i="1"/>
  <c r="AV573" i="1" s="1"/>
  <c r="AS573" i="1"/>
  <c r="AT573" i="1" s="1"/>
  <c r="BD573" i="1" s="1"/>
  <c r="AQ573" i="1"/>
  <c r="AR573" i="1" s="1"/>
  <c r="AP573" i="1"/>
  <c r="AO573" i="1"/>
  <c r="AM573" i="1"/>
  <c r="AN573" i="1" s="1"/>
  <c r="AK573" i="1"/>
  <c r="AL573" i="1" s="1"/>
  <c r="AI573" i="1"/>
  <c r="AJ573" i="1" s="1"/>
  <c r="AG573" i="1"/>
  <c r="AH573" i="1" s="1"/>
  <c r="AD573" i="1"/>
  <c r="BP572" i="1"/>
  <c r="BM572" i="1"/>
  <c r="BH572" i="1"/>
  <c r="AY572" i="1"/>
  <c r="AZ572" i="1" s="1"/>
  <c r="AW572" i="1"/>
  <c r="AX572" i="1" s="1"/>
  <c r="BE572" i="1" s="1"/>
  <c r="AU572" i="1"/>
  <c r="AV572" i="1" s="1"/>
  <c r="AS572" i="1"/>
  <c r="AT572" i="1" s="1"/>
  <c r="AQ572" i="1"/>
  <c r="AR572" i="1" s="1"/>
  <c r="AO572" i="1"/>
  <c r="AP572" i="1" s="1"/>
  <c r="BC572" i="1" s="1"/>
  <c r="AM572" i="1"/>
  <c r="AN572" i="1" s="1"/>
  <c r="AK572" i="1"/>
  <c r="AL572" i="1" s="1"/>
  <c r="AI572" i="1"/>
  <c r="AJ572" i="1" s="1"/>
  <c r="AG572" i="1"/>
  <c r="AH572" i="1" s="1"/>
  <c r="BA572" i="1" s="1"/>
  <c r="AD572" i="1"/>
  <c r="BP571" i="1"/>
  <c r="BM571" i="1"/>
  <c r="BH571" i="1"/>
  <c r="AY571" i="1"/>
  <c r="AZ571" i="1" s="1"/>
  <c r="AW571" i="1"/>
  <c r="AX571" i="1" s="1"/>
  <c r="AU571" i="1"/>
  <c r="AV571" i="1" s="1"/>
  <c r="AS571" i="1"/>
  <c r="AT571" i="1" s="1"/>
  <c r="AQ571" i="1"/>
  <c r="AR571" i="1" s="1"/>
  <c r="AO571" i="1"/>
  <c r="AP571" i="1" s="1"/>
  <c r="BC571" i="1" s="1"/>
  <c r="AM571" i="1"/>
  <c r="AN571" i="1" s="1"/>
  <c r="AK571" i="1"/>
  <c r="AL571" i="1" s="1"/>
  <c r="BB571" i="1" s="1"/>
  <c r="AI571" i="1"/>
  <c r="AJ571" i="1" s="1"/>
  <c r="AG571" i="1"/>
  <c r="AH571" i="1" s="1"/>
  <c r="AD571" i="1"/>
  <c r="BH570" i="1"/>
  <c r="BC570" i="1"/>
  <c r="AY570" i="1"/>
  <c r="AZ570" i="1" s="1"/>
  <c r="AX570" i="1"/>
  <c r="BE570" i="1" s="1"/>
  <c r="AW570" i="1"/>
  <c r="AU570" i="1"/>
  <c r="AV570" i="1" s="1"/>
  <c r="AS570" i="1"/>
  <c r="AT570" i="1" s="1"/>
  <c r="AQ570" i="1"/>
  <c r="AO570" i="1"/>
  <c r="AM570" i="1"/>
  <c r="AN570" i="1" s="1"/>
  <c r="AK570" i="1"/>
  <c r="AL570" i="1" s="1"/>
  <c r="AI570" i="1"/>
  <c r="AJ570" i="1" s="1"/>
  <c r="AG570" i="1"/>
  <c r="AH570" i="1" s="1"/>
  <c r="BH569" i="1"/>
  <c r="BC569" i="1"/>
  <c r="AY569" i="1"/>
  <c r="AZ569" i="1" s="1"/>
  <c r="AX569" i="1"/>
  <c r="AW569" i="1"/>
  <c r="AV569" i="1"/>
  <c r="AU569" i="1"/>
  <c r="AS569" i="1"/>
  <c r="AT569" i="1" s="1"/>
  <c r="AQ569" i="1"/>
  <c r="AO569" i="1"/>
  <c r="AM569" i="1"/>
  <c r="AN569" i="1" s="1"/>
  <c r="AL569" i="1"/>
  <c r="AK569" i="1"/>
  <c r="AI569" i="1"/>
  <c r="AJ569" i="1" s="1"/>
  <c r="AH569" i="1"/>
  <c r="BA569" i="1" s="1"/>
  <c r="AG569" i="1"/>
  <c r="BH568" i="1"/>
  <c r="BC568" i="1"/>
  <c r="AY568" i="1"/>
  <c r="AZ568" i="1" s="1"/>
  <c r="AW568" i="1"/>
  <c r="AX568" i="1" s="1"/>
  <c r="AU568" i="1"/>
  <c r="AV568" i="1" s="1"/>
  <c r="AS568" i="1"/>
  <c r="AT568" i="1" s="1"/>
  <c r="AQ568" i="1"/>
  <c r="AO568" i="1"/>
  <c r="AM568" i="1"/>
  <c r="AN568" i="1" s="1"/>
  <c r="AK568" i="1"/>
  <c r="AL568" i="1" s="1"/>
  <c r="AI568" i="1"/>
  <c r="AJ568" i="1" s="1"/>
  <c r="AG568" i="1"/>
  <c r="AH568" i="1" s="1"/>
  <c r="BA568" i="1" s="1"/>
  <c r="BH567" i="1"/>
  <c r="BC567" i="1"/>
  <c r="AY567" i="1"/>
  <c r="AZ567" i="1" s="1"/>
  <c r="AX567" i="1"/>
  <c r="AW567" i="1"/>
  <c r="AU567" i="1"/>
  <c r="AV567" i="1" s="1"/>
  <c r="AT567" i="1"/>
  <c r="AS567" i="1"/>
  <c r="AQ567" i="1"/>
  <c r="AO567" i="1"/>
  <c r="AM567" i="1"/>
  <c r="AN567" i="1" s="1"/>
  <c r="AK567" i="1"/>
  <c r="AL567" i="1" s="1"/>
  <c r="AI567" i="1"/>
  <c r="AJ567" i="1" s="1"/>
  <c r="BA567" i="1" s="1"/>
  <c r="AH567" i="1"/>
  <c r="AG567" i="1"/>
  <c r="BH566" i="1"/>
  <c r="BC566" i="1"/>
  <c r="AY566" i="1"/>
  <c r="AZ566" i="1" s="1"/>
  <c r="AW566" i="1"/>
  <c r="AX566" i="1" s="1"/>
  <c r="BE566" i="1" s="1"/>
  <c r="AU566" i="1"/>
  <c r="AV566" i="1" s="1"/>
  <c r="AS566" i="1"/>
  <c r="AT566" i="1" s="1"/>
  <c r="AQ566" i="1"/>
  <c r="AO566" i="1"/>
  <c r="AM566" i="1"/>
  <c r="AN566" i="1" s="1"/>
  <c r="AK566" i="1"/>
  <c r="AL566" i="1" s="1"/>
  <c r="BB566" i="1" s="1"/>
  <c r="AI566" i="1"/>
  <c r="AJ566" i="1" s="1"/>
  <c r="AG566" i="1"/>
  <c r="AH566" i="1" s="1"/>
  <c r="BH565" i="1"/>
  <c r="BC565" i="1"/>
  <c r="AY565" i="1"/>
  <c r="AZ565" i="1" s="1"/>
  <c r="AW565" i="1"/>
  <c r="AX565" i="1" s="1"/>
  <c r="AV565" i="1"/>
  <c r="AU565" i="1"/>
  <c r="AS565" i="1"/>
  <c r="AT565" i="1" s="1"/>
  <c r="AQ565" i="1"/>
  <c r="AO565" i="1"/>
  <c r="AM565" i="1"/>
  <c r="AN565" i="1" s="1"/>
  <c r="AK565" i="1"/>
  <c r="AL565" i="1" s="1"/>
  <c r="BB565" i="1" s="1"/>
  <c r="AI565" i="1"/>
  <c r="AJ565" i="1" s="1"/>
  <c r="AG565" i="1"/>
  <c r="AH565" i="1" s="1"/>
  <c r="BH564" i="1"/>
  <c r="BC564" i="1"/>
  <c r="AY564" i="1"/>
  <c r="AZ564" i="1" s="1"/>
  <c r="AW564" i="1"/>
  <c r="AX564" i="1" s="1"/>
  <c r="AU564" i="1"/>
  <c r="AV564" i="1" s="1"/>
  <c r="AS564" i="1"/>
  <c r="AT564" i="1" s="1"/>
  <c r="AQ564" i="1"/>
  <c r="AO564" i="1"/>
  <c r="AM564" i="1"/>
  <c r="AN564" i="1" s="1"/>
  <c r="AK564" i="1"/>
  <c r="AL564" i="1" s="1"/>
  <c r="AI564" i="1"/>
  <c r="AJ564" i="1" s="1"/>
  <c r="AG564" i="1"/>
  <c r="AH564" i="1" s="1"/>
  <c r="BH563" i="1"/>
  <c r="BC563" i="1"/>
  <c r="AY563" i="1"/>
  <c r="AZ563" i="1" s="1"/>
  <c r="AW563" i="1"/>
  <c r="AX563" i="1" s="1"/>
  <c r="BE563" i="1" s="1"/>
  <c r="AV563" i="1"/>
  <c r="AU563" i="1"/>
  <c r="AT563" i="1"/>
  <c r="AS563" i="1"/>
  <c r="AQ563" i="1"/>
  <c r="AO563" i="1"/>
  <c r="AM563" i="1"/>
  <c r="AN563" i="1" s="1"/>
  <c r="BB563" i="1" s="1"/>
  <c r="AK563" i="1"/>
  <c r="AL563" i="1" s="1"/>
  <c r="AI563" i="1"/>
  <c r="AJ563" i="1" s="1"/>
  <c r="AG563" i="1"/>
  <c r="AH563" i="1" s="1"/>
  <c r="BP562" i="1"/>
  <c r="BM562" i="1"/>
  <c r="BH562" i="1"/>
  <c r="AY562" i="1"/>
  <c r="AZ562" i="1" s="1"/>
  <c r="AW562" i="1"/>
  <c r="AX562" i="1" s="1"/>
  <c r="AU562" i="1"/>
  <c r="AV562" i="1" s="1"/>
  <c r="AS562" i="1"/>
  <c r="AT562" i="1" s="1"/>
  <c r="AR562" i="1"/>
  <c r="AQ562" i="1"/>
  <c r="AO562" i="1"/>
  <c r="AP562" i="1" s="1"/>
  <c r="BC562" i="1" s="1"/>
  <c r="AM562" i="1"/>
  <c r="AN562" i="1" s="1"/>
  <c r="AK562" i="1"/>
  <c r="AL562" i="1" s="1"/>
  <c r="AI562" i="1"/>
  <c r="AJ562" i="1" s="1"/>
  <c r="AG562" i="1"/>
  <c r="AH562" i="1" s="1"/>
  <c r="AD562" i="1"/>
  <c r="BP561" i="1"/>
  <c r="BM561" i="1"/>
  <c r="BH561" i="1"/>
  <c r="AY561" i="1"/>
  <c r="AZ561" i="1" s="1"/>
  <c r="AW561" i="1"/>
  <c r="AX561" i="1" s="1"/>
  <c r="AU561" i="1"/>
  <c r="AV561" i="1" s="1"/>
  <c r="AS561" i="1"/>
  <c r="AT561" i="1" s="1"/>
  <c r="BD561" i="1" s="1"/>
  <c r="AQ561" i="1"/>
  <c r="AR561" i="1" s="1"/>
  <c r="AP561" i="1"/>
  <c r="BC561" i="1" s="1"/>
  <c r="AO561" i="1"/>
  <c r="AM561" i="1"/>
  <c r="AN561" i="1" s="1"/>
  <c r="AK561" i="1"/>
  <c r="AL561" i="1" s="1"/>
  <c r="AI561" i="1"/>
  <c r="AJ561" i="1" s="1"/>
  <c r="AG561" i="1"/>
  <c r="AH561" i="1" s="1"/>
  <c r="AD561" i="1"/>
  <c r="BP560" i="1"/>
  <c r="BM560" i="1"/>
  <c r="BH560" i="1"/>
  <c r="AY560" i="1"/>
  <c r="AZ560" i="1" s="1"/>
  <c r="AW560" i="1"/>
  <c r="AX560" i="1" s="1"/>
  <c r="BE560" i="1" s="1"/>
  <c r="AU560" i="1"/>
  <c r="AV560" i="1" s="1"/>
  <c r="AS560" i="1"/>
  <c r="AT560" i="1" s="1"/>
  <c r="AQ560" i="1"/>
  <c r="AR560" i="1" s="1"/>
  <c r="AO560" i="1"/>
  <c r="AP560" i="1" s="1"/>
  <c r="AM560" i="1"/>
  <c r="AN560" i="1" s="1"/>
  <c r="AK560" i="1"/>
  <c r="AL560" i="1" s="1"/>
  <c r="AI560" i="1"/>
  <c r="AJ560" i="1" s="1"/>
  <c r="AG560" i="1"/>
  <c r="AH560" i="1" s="1"/>
  <c r="BA560" i="1" s="1"/>
  <c r="AD560" i="1"/>
  <c r="BP559" i="1"/>
  <c r="BM559" i="1"/>
  <c r="BH559" i="1"/>
  <c r="AY559" i="1"/>
  <c r="AZ559" i="1" s="1"/>
  <c r="AW559" i="1"/>
  <c r="AX559" i="1" s="1"/>
  <c r="AU559" i="1"/>
  <c r="AV559" i="1" s="1"/>
  <c r="AS559" i="1"/>
  <c r="AT559" i="1" s="1"/>
  <c r="AQ559" i="1"/>
  <c r="AR559" i="1" s="1"/>
  <c r="AO559" i="1"/>
  <c r="AP559" i="1" s="1"/>
  <c r="BC559" i="1" s="1"/>
  <c r="AM559" i="1"/>
  <c r="AN559" i="1" s="1"/>
  <c r="AK559" i="1"/>
  <c r="AL559" i="1" s="1"/>
  <c r="BB559" i="1" s="1"/>
  <c r="AI559" i="1"/>
  <c r="AJ559" i="1" s="1"/>
  <c r="AG559" i="1"/>
  <c r="AH559" i="1" s="1"/>
  <c r="AD559" i="1"/>
  <c r="BP558" i="1"/>
  <c r="BM558" i="1"/>
  <c r="BH558" i="1"/>
  <c r="AZ558" i="1"/>
  <c r="BE558" i="1" s="1"/>
  <c r="AY558" i="1"/>
  <c r="AW558" i="1"/>
  <c r="AX558" i="1" s="1"/>
  <c r="AU558" i="1"/>
  <c r="AV558" i="1" s="1"/>
  <c r="AS558" i="1"/>
  <c r="AT558" i="1" s="1"/>
  <c r="AR558" i="1"/>
  <c r="AQ558" i="1"/>
  <c r="AO558" i="1"/>
  <c r="AP558" i="1" s="1"/>
  <c r="AM558" i="1"/>
  <c r="AN558" i="1" s="1"/>
  <c r="AK558" i="1"/>
  <c r="AL558" i="1" s="1"/>
  <c r="AI558" i="1"/>
  <c r="AJ558" i="1" s="1"/>
  <c r="AG558" i="1"/>
  <c r="AH558" i="1" s="1"/>
  <c r="AD558" i="1"/>
  <c r="BP557" i="1"/>
  <c r="BM557" i="1"/>
  <c r="BH557" i="1"/>
  <c r="AY557" i="1"/>
  <c r="AZ557" i="1" s="1"/>
  <c r="AW557" i="1"/>
  <c r="AX557" i="1" s="1"/>
  <c r="BE557" i="1" s="1"/>
  <c r="AU557" i="1"/>
  <c r="AV557" i="1" s="1"/>
  <c r="AS557" i="1"/>
  <c r="AT557" i="1" s="1"/>
  <c r="AQ557" i="1"/>
  <c r="AR557" i="1" s="1"/>
  <c r="AO557" i="1"/>
  <c r="AP557" i="1" s="1"/>
  <c r="BC557" i="1" s="1"/>
  <c r="AM557" i="1"/>
  <c r="AN557" i="1" s="1"/>
  <c r="AK557" i="1"/>
  <c r="AL557" i="1" s="1"/>
  <c r="BB557" i="1" s="1"/>
  <c r="AI557" i="1"/>
  <c r="AJ557" i="1" s="1"/>
  <c r="AH557" i="1"/>
  <c r="BA557" i="1" s="1"/>
  <c r="AG557" i="1"/>
  <c r="AD557" i="1"/>
  <c r="BP556" i="1"/>
  <c r="BM556" i="1"/>
  <c r="BH556" i="1"/>
  <c r="AY556" i="1"/>
  <c r="AZ556" i="1" s="1"/>
  <c r="AW556" i="1"/>
  <c r="AX556" i="1" s="1"/>
  <c r="BE556" i="1" s="1"/>
  <c r="AV556" i="1"/>
  <c r="AU556" i="1"/>
  <c r="AS556" i="1"/>
  <c r="AT556" i="1" s="1"/>
  <c r="AQ556" i="1"/>
  <c r="AR556" i="1" s="1"/>
  <c r="AP556" i="1"/>
  <c r="BC556" i="1" s="1"/>
  <c r="AO556" i="1"/>
  <c r="AM556" i="1"/>
  <c r="AN556" i="1" s="1"/>
  <c r="AK556" i="1"/>
  <c r="AL556" i="1" s="1"/>
  <c r="AI556" i="1"/>
  <c r="AJ556" i="1" s="1"/>
  <c r="AG556" i="1"/>
  <c r="AH556" i="1" s="1"/>
  <c r="BA556" i="1" s="1"/>
  <c r="AD556" i="1"/>
  <c r="BP555" i="1"/>
  <c r="BM555" i="1"/>
  <c r="BH555" i="1"/>
  <c r="AY555" i="1"/>
  <c r="AZ555" i="1" s="1"/>
  <c r="AW555" i="1"/>
  <c r="AX555" i="1" s="1"/>
  <c r="AU555" i="1"/>
  <c r="AV555" i="1" s="1"/>
  <c r="AT555" i="1"/>
  <c r="AS555" i="1"/>
  <c r="AQ555" i="1"/>
  <c r="AR555" i="1" s="1"/>
  <c r="AO555" i="1"/>
  <c r="AP555" i="1" s="1"/>
  <c r="AM555" i="1"/>
  <c r="AN555" i="1" s="1"/>
  <c r="AK555" i="1"/>
  <c r="AL555" i="1" s="1"/>
  <c r="BB555" i="1" s="1"/>
  <c r="AI555" i="1"/>
  <c r="AJ555" i="1" s="1"/>
  <c r="AG555" i="1"/>
  <c r="AH555" i="1" s="1"/>
  <c r="AD555" i="1"/>
  <c r="BH554" i="1"/>
  <c r="BC554" i="1"/>
  <c r="AZ554" i="1"/>
  <c r="BE554" i="1" s="1"/>
  <c r="AY554" i="1"/>
  <c r="AX554" i="1"/>
  <c r="AW554" i="1"/>
  <c r="AU554" i="1"/>
  <c r="AV554" i="1" s="1"/>
  <c r="AT554" i="1"/>
  <c r="AS554" i="1"/>
  <c r="AM554" i="1"/>
  <c r="AN554" i="1" s="1"/>
  <c r="AK554" i="1"/>
  <c r="AL554" i="1" s="1"/>
  <c r="AI554" i="1"/>
  <c r="AJ554" i="1" s="1"/>
  <c r="AH554" i="1"/>
  <c r="AG554" i="1"/>
  <c r="AD554" i="1"/>
  <c r="BH553" i="1"/>
  <c r="BC553" i="1"/>
  <c r="AZ553" i="1"/>
  <c r="AY553" i="1"/>
  <c r="AW553" i="1"/>
  <c r="AX553" i="1" s="1"/>
  <c r="AU553" i="1"/>
  <c r="AV553" i="1" s="1"/>
  <c r="BD553" i="1" s="1"/>
  <c r="AT553" i="1"/>
  <c r="AS553" i="1"/>
  <c r="AQ553" i="1"/>
  <c r="AO553" i="1"/>
  <c r="AM553" i="1"/>
  <c r="AN553" i="1" s="1"/>
  <c r="AK553" i="1"/>
  <c r="AL553" i="1" s="1"/>
  <c r="AJ553" i="1"/>
  <c r="AI553" i="1"/>
  <c r="AG553" i="1"/>
  <c r="AH553" i="1" s="1"/>
  <c r="BA553" i="1" s="1"/>
  <c r="AD553" i="1"/>
  <c r="BP552" i="1"/>
  <c r="BM552" i="1"/>
  <c r="BH552" i="1"/>
  <c r="AY552" i="1"/>
  <c r="AZ552" i="1" s="1"/>
  <c r="AW552" i="1"/>
  <c r="AX552" i="1" s="1"/>
  <c r="BE552" i="1" s="1"/>
  <c r="AU552" i="1"/>
  <c r="AV552" i="1" s="1"/>
  <c r="AS552" i="1"/>
  <c r="AT552" i="1" s="1"/>
  <c r="AQ552" i="1"/>
  <c r="AR552" i="1" s="1"/>
  <c r="AP552" i="1"/>
  <c r="BC552" i="1" s="1"/>
  <c r="AO552" i="1"/>
  <c r="AM552" i="1"/>
  <c r="AN552" i="1" s="1"/>
  <c r="AK552" i="1"/>
  <c r="AL552" i="1" s="1"/>
  <c r="BB552" i="1" s="1"/>
  <c r="AI552" i="1"/>
  <c r="AJ552" i="1" s="1"/>
  <c r="AG552" i="1"/>
  <c r="AH552" i="1" s="1"/>
  <c r="BA552" i="1" s="1"/>
  <c r="AD552" i="1"/>
  <c r="BP551" i="1"/>
  <c r="BM551" i="1"/>
  <c r="BH551" i="1"/>
  <c r="AY551" i="1"/>
  <c r="AZ551" i="1" s="1"/>
  <c r="AW551" i="1"/>
  <c r="AX551" i="1" s="1"/>
  <c r="AU551" i="1"/>
  <c r="AV551" i="1" s="1"/>
  <c r="AS551" i="1"/>
  <c r="AT551" i="1" s="1"/>
  <c r="AQ551" i="1"/>
  <c r="AR551" i="1" s="1"/>
  <c r="AO551" i="1"/>
  <c r="AP551" i="1" s="1"/>
  <c r="AN551" i="1"/>
  <c r="AM551" i="1"/>
  <c r="AK551" i="1"/>
  <c r="AL551" i="1" s="1"/>
  <c r="BB551" i="1" s="1"/>
  <c r="AJ551" i="1"/>
  <c r="AI551" i="1"/>
  <c r="AG551" i="1"/>
  <c r="AH551" i="1" s="1"/>
  <c r="BA551" i="1" s="1"/>
  <c r="AD551" i="1"/>
  <c r="BP550" i="1"/>
  <c r="BM550" i="1"/>
  <c r="BH550" i="1"/>
  <c r="AY550" i="1"/>
  <c r="AZ550" i="1" s="1"/>
  <c r="AX550" i="1"/>
  <c r="AW550" i="1"/>
  <c r="AU550" i="1"/>
  <c r="AV550" i="1" s="1"/>
  <c r="BD550" i="1" s="1"/>
  <c r="AT550" i="1"/>
  <c r="AS550" i="1"/>
  <c r="AR550" i="1"/>
  <c r="AQ550" i="1"/>
  <c r="AP550" i="1"/>
  <c r="AO550" i="1"/>
  <c r="AM550" i="1"/>
  <c r="AN550" i="1" s="1"/>
  <c r="AK550" i="1"/>
  <c r="AL550" i="1" s="1"/>
  <c r="BB550" i="1" s="1"/>
  <c r="AJ550" i="1"/>
  <c r="AI550" i="1"/>
  <c r="AH550" i="1"/>
  <c r="AG550" i="1"/>
  <c r="AD550" i="1"/>
  <c r="BP549" i="1"/>
  <c r="BM549" i="1"/>
  <c r="BH549" i="1"/>
  <c r="AY549" i="1"/>
  <c r="AZ549" i="1" s="1"/>
  <c r="AW549" i="1"/>
  <c r="AX549" i="1" s="1"/>
  <c r="AV549" i="1"/>
  <c r="AU549" i="1"/>
  <c r="AT549" i="1"/>
  <c r="BD549" i="1" s="1"/>
  <c r="AS549" i="1"/>
  <c r="AQ549" i="1"/>
  <c r="AR549" i="1" s="1"/>
  <c r="AO549" i="1"/>
  <c r="AP549" i="1" s="1"/>
  <c r="BC549" i="1" s="1"/>
  <c r="AM549" i="1"/>
  <c r="AN549" i="1" s="1"/>
  <c r="AK549" i="1"/>
  <c r="AL549" i="1" s="1"/>
  <c r="AJ549" i="1"/>
  <c r="AI549" i="1"/>
  <c r="AH549" i="1"/>
  <c r="BA549" i="1" s="1"/>
  <c r="AG549" i="1"/>
  <c r="AD549" i="1"/>
  <c r="BP548" i="1"/>
  <c r="BM548" i="1"/>
  <c r="BH548" i="1"/>
  <c r="AY548" i="1"/>
  <c r="AZ548" i="1" s="1"/>
  <c r="AX548" i="1"/>
  <c r="AW548" i="1"/>
  <c r="AU548" i="1"/>
  <c r="AV548" i="1" s="1"/>
  <c r="AT548" i="1"/>
  <c r="BD548" i="1" s="1"/>
  <c r="AS548" i="1"/>
  <c r="AR548" i="1"/>
  <c r="AQ548" i="1"/>
  <c r="AP548" i="1"/>
  <c r="BC548" i="1" s="1"/>
  <c r="AO548" i="1"/>
  <c r="AM548" i="1"/>
  <c r="AN548" i="1" s="1"/>
  <c r="AL548" i="1"/>
  <c r="AK548" i="1"/>
  <c r="AI548" i="1"/>
  <c r="AJ548" i="1" s="1"/>
  <c r="AH548" i="1"/>
  <c r="AG548" i="1"/>
  <c r="AD548" i="1"/>
  <c r="BP547" i="1"/>
  <c r="BM547" i="1"/>
  <c r="BH547" i="1"/>
  <c r="AY547" i="1"/>
  <c r="AZ547" i="1" s="1"/>
  <c r="AX547" i="1"/>
  <c r="AW547" i="1"/>
  <c r="AV547" i="1"/>
  <c r="AU547" i="1"/>
  <c r="AS547" i="1"/>
  <c r="AT547" i="1" s="1"/>
  <c r="BD547" i="1" s="1"/>
  <c r="AQ547" i="1"/>
  <c r="AR547" i="1" s="1"/>
  <c r="AO547" i="1"/>
  <c r="AP547" i="1" s="1"/>
  <c r="AM547" i="1"/>
  <c r="AN547" i="1" s="1"/>
  <c r="AL547" i="1"/>
  <c r="AK547" i="1"/>
  <c r="AJ547" i="1"/>
  <c r="AI547" i="1"/>
  <c r="AG547" i="1"/>
  <c r="AH547" i="1" s="1"/>
  <c r="AD547" i="1"/>
  <c r="BP546" i="1"/>
  <c r="BM546" i="1"/>
  <c r="BH546" i="1"/>
  <c r="AY546" i="1"/>
  <c r="AZ546" i="1" s="1"/>
  <c r="AX546" i="1"/>
  <c r="AW546" i="1"/>
  <c r="AV546" i="1"/>
  <c r="AU546" i="1"/>
  <c r="AS546" i="1"/>
  <c r="AT546" i="1" s="1"/>
  <c r="AQ546" i="1"/>
  <c r="AR546" i="1" s="1"/>
  <c r="BC546" i="1" s="1"/>
  <c r="AO546" i="1"/>
  <c r="AP546" i="1" s="1"/>
  <c r="AM546" i="1"/>
  <c r="AN546" i="1" s="1"/>
  <c r="AL546" i="1"/>
  <c r="AK546" i="1"/>
  <c r="AJ546" i="1"/>
  <c r="AI546" i="1"/>
  <c r="AG546" i="1"/>
  <c r="AH546" i="1" s="1"/>
  <c r="AD546" i="1"/>
  <c r="BP545" i="1"/>
  <c r="BM545" i="1"/>
  <c r="BH545" i="1"/>
  <c r="AZ545" i="1"/>
  <c r="AY545" i="1"/>
  <c r="AW545" i="1"/>
  <c r="AX545" i="1" s="1"/>
  <c r="BE545" i="1" s="1"/>
  <c r="AV545" i="1"/>
  <c r="AU545" i="1"/>
  <c r="AT545" i="1"/>
  <c r="BD545" i="1" s="1"/>
  <c r="AS545" i="1"/>
  <c r="AR545" i="1"/>
  <c r="AQ545" i="1"/>
  <c r="AP545" i="1"/>
  <c r="AO545" i="1"/>
  <c r="AN545" i="1"/>
  <c r="AM545" i="1"/>
  <c r="AK545" i="1"/>
  <c r="AL545" i="1" s="1"/>
  <c r="BB545" i="1" s="1"/>
  <c r="BF545" i="1" s="1"/>
  <c r="AJ545" i="1"/>
  <c r="AI545" i="1"/>
  <c r="AH545" i="1"/>
  <c r="BA545" i="1" s="1"/>
  <c r="AG545" i="1"/>
  <c r="AD545" i="1"/>
  <c r="BP544" i="1"/>
  <c r="BM544" i="1"/>
  <c r="BH544" i="1"/>
  <c r="AZ544" i="1"/>
  <c r="AY544" i="1"/>
  <c r="AW544" i="1"/>
  <c r="AX544" i="1" s="1"/>
  <c r="BE544" i="1" s="1"/>
  <c r="AV544" i="1"/>
  <c r="AU544" i="1"/>
  <c r="AT544" i="1"/>
  <c r="AS544" i="1"/>
  <c r="AR544" i="1"/>
  <c r="AQ544" i="1"/>
  <c r="AO544" i="1"/>
  <c r="AP544" i="1" s="1"/>
  <c r="AN544" i="1"/>
  <c r="AM544" i="1"/>
  <c r="AK544" i="1"/>
  <c r="AL544" i="1" s="1"/>
  <c r="BB544" i="1" s="1"/>
  <c r="AJ544" i="1"/>
  <c r="AI544" i="1"/>
  <c r="AH544" i="1"/>
  <c r="BA544" i="1" s="1"/>
  <c r="AG544" i="1"/>
  <c r="AD544" i="1"/>
  <c r="BP543" i="1"/>
  <c r="BM543" i="1"/>
  <c r="BH543" i="1"/>
  <c r="AZ543" i="1"/>
  <c r="AY543" i="1"/>
  <c r="AW543" i="1"/>
  <c r="AX543" i="1" s="1"/>
  <c r="BE543" i="1" s="1"/>
  <c r="AV543" i="1"/>
  <c r="AU543" i="1"/>
  <c r="AT543" i="1"/>
  <c r="BD543" i="1" s="1"/>
  <c r="AS543" i="1"/>
  <c r="AR543" i="1"/>
  <c r="AQ543" i="1"/>
  <c r="AO543" i="1"/>
  <c r="AP543" i="1" s="1"/>
  <c r="BC543" i="1" s="1"/>
  <c r="AN543" i="1"/>
  <c r="AM543" i="1"/>
  <c r="AK543" i="1"/>
  <c r="AL543" i="1" s="1"/>
  <c r="BB543" i="1" s="1"/>
  <c r="AJ543" i="1"/>
  <c r="AI543" i="1"/>
  <c r="AH543" i="1"/>
  <c r="BA543" i="1" s="1"/>
  <c r="AG543" i="1"/>
  <c r="AD543" i="1"/>
  <c r="BP542" i="1"/>
  <c r="BM542" i="1"/>
  <c r="BH542" i="1"/>
  <c r="AZ542" i="1"/>
  <c r="AY542" i="1"/>
  <c r="AW542" i="1"/>
  <c r="AX542" i="1" s="1"/>
  <c r="BE542" i="1" s="1"/>
  <c r="AV542" i="1"/>
  <c r="AU542" i="1"/>
  <c r="AT542" i="1"/>
  <c r="AS542" i="1"/>
  <c r="AR542" i="1"/>
  <c r="BC542" i="1" s="1"/>
  <c r="AQ542" i="1"/>
  <c r="AP542" i="1"/>
  <c r="AO542" i="1"/>
  <c r="AN542" i="1"/>
  <c r="AM542" i="1"/>
  <c r="AK542" i="1"/>
  <c r="AL542" i="1" s="1"/>
  <c r="BB542" i="1" s="1"/>
  <c r="AJ542" i="1"/>
  <c r="AI542" i="1"/>
  <c r="AH542" i="1"/>
  <c r="BA542" i="1" s="1"/>
  <c r="AG542" i="1"/>
  <c r="AD542" i="1"/>
  <c r="BP541" i="1"/>
  <c r="BM541" i="1"/>
  <c r="BH541" i="1"/>
  <c r="AZ541" i="1"/>
  <c r="AY541" i="1"/>
  <c r="AW541" i="1"/>
  <c r="AX541" i="1" s="1"/>
  <c r="BE541" i="1" s="1"/>
  <c r="AV541" i="1"/>
  <c r="AU541" i="1"/>
  <c r="AT541" i="1"/>
  <c r="AS541" i="1"/>
  <c r="AQ541" i="1"/>
  <c r="AR541" i="1" s="1"/>
  <c r="AO541" i="1"/>
  <c r="AP541" i="1" s="1"/>
  <c r="BC541" i="1" s="1"/>
  <c r="AN541" i="1"/>
  <c r="AM541" i="1"/>
  <c r="AK541" i="1"/>
  <c r="AL541" i="1" s="1"/>
  <c r="BB541" i="1" s="1"/>
  <c r="AJ541" i="1"/>
  <c r="AI541" i="1"/>
  <c r="AG541" i="1"/>
  <c r="AH541" i="1" s="1"/>
  <c r="BA541" i="1" s="1"/>
  <c r="AD541" i="1"/>
  <c r="BP540" i="1"/>
  <c r="BM540" i="1"/>
  <c r="BH540" i="1"/>
  <c r="AZ540" i="1"/>
  <c r="AY540" i="1"/>
  <c r="AW540" i="1"/>
  <c r="AX540" i="1" s="1"/>
  <c r="BE540" i="1" s="1"/>
  <c r="AV540" i="1"/>
  <c r="AU540" i="1"/>
  <c r="AS540" i="1"/>
  <c r="AT540" i="1" s="1"/>
  <c r="AQ540" i="1"/>
  <c r="AR540" i="1" s="1"/>
  <c r="AO540" i="1"/>
  <c r="AP540" i="1" s="1"/>
  <c r="AN540" i="1"/>
  <c r="AM540" i="1"/>
  <c r="AK540" i="1"/>
  <c r="AL540" i="1" s="1"/>
  <c r="AJ540" i="1"/>
  <c r="AI540" i="1"/>
  <c r="AG540" i="1"/>
  <c r="AH540" i="1" s="1"/>
  <c r="BA540" i="1" s="1"/>
  <c r="AD540" i="1"/>
  <c r="BP539" i="1"/>
  <c r="BM539" i="1"/>
  <c r="BH539" i="1"/>
  <c r="AY539" i="1"/>
  <c r="AZ539" i="1" s="1"/>
  <c r="AX539" i="1"/>
  <c r="AW539" i="1"/>
  <c r="AV539" i="1"/>
  <c r="AU539" i="1"/>
  <c r="AT539" i="1"/>
  <c r="AS539" i="1"/>
  <c r="AR539" i="1"/>
  <c r="AQ539" i="1"/>
  <c r="AP539" i="1"/>
  <c r="AO539" i="1"/>
  <c r="AM539" i="1"/>
  <c r="AN539" i="1" s="1"/>
  <c r="AL539" i="1"/>
  <c r="BB539" i="1" s="1"/>
  <c r="AK539" i="1"/>
  <c r="AJ539" i="1"/>
  <c r="AI539" i="1"/>
  <c r="AH539" i="1"/>
  <c r="AG539" i="1"/>
  <c r="AD539" i="1"/>
  <c r="BP538" i="1"/>
  <c r="BM538" i="1"/>
  <c r="BH538" i="1"/>
  <c r="AY538" i="1"/>
  <c r="AZ538" i="1" s="1"/>
  <c r="AX538" i="1"/>
  <c r="BE538" i="1" s="1"/>
  <c r="AW538" i="1"/>
  <c r="AV538" i="1"/>
  <c r="BD538" i="1" s="1"/>
  <c r="AU538" i="1"/>
  <c r="AT538" i="1"/>
  <c r="AS538" i="1"/>
  <c r="AR538" i="1"/>
  <c r="BC538" i="1" s="1"/>
  <c r="AQ538" i="1"/>
  <c r="AP538" i="1"/>
  <c r="AO538" i="1"/>
  <c r="AM538" i="1"/>
  <c r="AN538" i="1" s="1"/>
  <c r="AL538" i="1"/>
  <c r="AK538" i="1"/>
  <c r="AJ538" i="1"/>
  <c r="AI538" i="1"/>
  <c r="AH538" i="1"/>
  <c r="AG538" i="1"/>
  <c r="AD538" i="1"/>
  <c r="BP537" i="1"/>
  <c r="BM537" i="1"/>
  <c r="BH537" i="1"/>
  <c r="AY537" i="1"/>
  <c r="AZ537" i="1" s="1"/>
  <c r="AX537" i="1"/>
  <c r="BE537" i="1" s="1"/>
  <c r="AW537" i="1"/>
  <c r="AV537" i="1"/>
  <c r="AU537" i="1"/>
  <c r="AT537" i="1"/>
  <c r="AS537" i="1"/>
  <c r="AR537" i="1"/>
  <c r="AQ537" i="1"/>
  <c r="AP537" i="1"/>
  <c r="AO537" i="1"/>
  <c r="AM537" i="1"/>
  <c r="AN537" i="1" s="1"/>
  <c r="AL537" i="1"/>
  <c r="AK537" i="1"/>
  <c r="AJ537" i="1"/>
  <c r="AI537" i="1"/>
  <c r="AH537" i="1"/>
  <c r="AG537" i="1"/>
  <c r="AD537" i="1"/>
  <c r="BP536" i="1"/>
  <c r="BM536" i="1"/>
  <c r="BH536" i="1"/>
  <c r="AY536" i="1"/>
  <c r="AZ536" i="1" s="1"/>
  <c r="AX536" i="1"/>
  <c r="AW536" i="1"/>
  <c r="AU536" i="1"/>
  <c r="AV536" i="1" s="1"/>
  <c r="AS536" i="1"/>
  <c r="AT536" i="1" s="1"/>
  <c r="AQ536" i="1"/>
  <c r="AR536" i="1" s="1"/>
  <c r="AP536" i="1"/>
  <c r="AO536" i="1"/>
  <c r="AM536" i="1"/>
  <c r="AN536" i="1" s="1"/>
  <c r="AL536" i="1"/>
  <c r="AK536" i="1"/>
  <c r="AI536" i="1"/>
  <c r="AJ536" i="1" s="1"/>
  <c r="AG536" i="1"/>
  <c r="AH536" i="1" s="1"/>
  <c r="AD536" i="1"/>
  <c r="BP535" i="1"/>
  <c r="BM535" i="1"/>
  <c r="BH535" i="1"/>
  <c r="AZ535" i="1"/>
  <c r="AY535" i="1"/>
  <c r="AX535" i="1"/>
  <c r="AW535" i="1"/>
  <c r="AV535" i="1"/>
  <c r="AU535" i="1"/>
  <c r="AT535" i="1"/>
  <c r="BD535" i="1" s="1"/>
  <c r="AS535" i="1"/>
  <c r="AR535" i="1"/>
  <c r="AQ535" i="1"/>
  <c r="AO535" i="1"/>
  <c r="AP535" i="1" s="1"/>
  <c r="BC535" i="1" s="1"/>
  <c r="AN535" i="1"/>
  <c r="BB535" i="1" s="1"/>
  <c r="BF535" i="1" s="1"/>
  <c r="AM535" i="1"/>
  <c r="AL535" i="1"/>
  <c r="AK535" i="1"/>
  <c r="AJ535" i="1"/>
  <c r="AI535" i="1"/>
  <c r="AH535" i="1"/>
  <c r="BA535" i="1" s="1"/>
  <c r="AG535" i="1"/>
  <c r="AD535" i="1"/>
  <c r="BP534" i="1"/>
  <c r="BM534" i="1"/>
  <c r="BH534" i="1"/>
  <c r="AZ534" i="1"/>
  <c r="AY534" i="1"/>
  <c r="AX534" i="1"/>
  <c r="AW534" i="1"/>
  <c r="AV534" i="1"/>
  <c r="AU534" i="1"/>
  <c r="AT534" i="1"/>
  <c r="AS534" i="1"/>
  <c r="AR534" i="1"/>
  <c r="AQ534" i="1"/>
  <c r="AO534" i="1"/>
  <c r="AP534" i="1" s="1"/>
  <c r="AN534" i="1"/>
  <c r="AM534" i="1"/>
  <c r="AL534" i="1"/>
  <c r="AK534" i="1"/>
  <c r="AJ534" i="1"/>
  <c r="AI534" i="1"/>
  <c r="AH534" i="1"/>
  <c r="AG534" i="1"/>
  <c r="AD534" i="1"/>
  <c r="BP533" i="1"/>
  <c r="BM533" i="1"/>
  <c r="BH533" i="1"/>
  <c r="AZ533" i="1"/>
  <c r="AY533" i="1"/>
  <c r="AX533" i="1"/>
  <c r="AW533" i="1"/>
  <c r="AV533" i="1"/>
  <c r="AU533" i="1"/>
  <c r="AT533" i="1"/>
  <c r="BD533" i="1" s="1"/>
  <c r="AS533" i="1"/>
  <c r="AR533" i="1"/>
  <c r="AQ533" i="1"/>
  <c r="AO533" i="1"/>
  <c r="AP533" i="1" s="1"/>
  <c r="BC533" i="1" s="1"/>
  <c r="AN533" i="1"/>
  <c r="AM533" i="1"/>
  <c r="AL533" i="1"/>
  <c r="AK533" i="1"/>
  <c r="AJ533" i="1"/>
  <c r="AI533" i="1"/>
  <c r="AH533" i="1"/>
  <c r="BA533" i="1" s="1"/>
  <c r="AG533" i="1"/>
  <c r="AD533" i="1"/>
  <c r="BP532" i="1"/>
  <c r="BM532" i="1"/>
  <c r="BH532" i="1"/>
  <c r="AZ532" i="1"/>
  <c r="AY532" i="1"/>
  <c r="AX532" i="1"/>
  <c r="AW532" i="1"/>
  <c r="AV532" i="1"/>
  <c r="AU532" i="1"/>
  <c r="AT532" i="1"/>
  <c r="AS532" i="1"/>
  <c r="AR532" i="1"/>
  <c r="AQ532" i="1"/>
  <c r="AO532" i="1"/>
  <c r="AP532" i="1" s="1"/>
  <c r="BC532" i="1" s="1"/>
  <c r="AN532" i="1"/>
  <c r="AM532" i="1"/>
  <c r="AL532" i="1"/>
  <c r="AK532" i="1"/>
  <c r="AJ532" i="1"/>
  <c r="AI532" i="1"/>
  <c r="AH532" i="1"/>
  <c r="BA532" i="1" s="1"/>
  <c r="AG532" i="1"/>
  <c r="AD532" i="1"/>
  <c r="BP531" i="1"/>
  <c r="BM531" i="1"/>
  <c r="BH531" i="1"/>
  <c r="BB531" i="1"/>
  <c r="AZ531" i="1"/>
  <c r="AY531" i="1"/>
  <c r="AW531" i="1"/>
  <c r="AX531" i="1" s="1"/>
  <c r="BE531" i="1" s="1"/>
  <c r="AU531" i="1"/>
  <c r="AV531" i="1" s="1"/>
  <c r="AS531" i="1"/>
  <c r="AT531" i="1" s="1"/>
  <c r="BD531" i="1" s="1"/>
  <c r="AR531" i="1"/>
  <c r="AQ531" i="1"/>
  <c r="AO531" i="1"/>
  <c r="AP531" i="1" s="1"/>
  <c r="BC531" i="1" s="1"/>
  <c r="AN531" i="1"/>
  <c r="AM531" i="1"/>
  <c r="AK531" i="1"/>
  <c r="AL531" i="1" s="1"/>
  <c r="AI531" i="1"/>
  <c r="AJ531" i="1" s="1"/>
  <c r="AG531" i="1"/>
  <c r="AH531" i="1" s="1"/>
  <c r="AD531" i="1"/>
  <c r="BP530" i="1"/>
  <c r="BM530" i="1"/>
  <c r="BH530" i="1"/>
  <c r="AZ530" i="1"/>
  <c r="AY530" i="1"/>
  <c r="AW530" i="1"/>
  <c r="AX530" i="1" s="1"/>
  <c r="BE530" i="1" s="1"/>
  <c r="AU530" i="1"/>
  <c r="AV530" i="1" s="1"/>
  <c r="AS530" i="1"/>
  <c r="AT530" i="1" s="1"/>
  <c r="AR530" i="1"/>
  <c r="AQ530" i="1"/>
  <c r="AO530" i="1"/>
  <c r="AP530" i="1" s="1"/>
  <c r="AN530" i="1"/>
  <c r="AM530" i="1"/>
  <c r="AK530" i="1"/>
  <c r="AL530" i="1" s="1"/>
  <c r="BB530" i="1" s="1"/>
  <c r="AI530" i="1"/>
  <c r="AJ530" i="1" s="1"/>
  <c r="AG530" i="1"/>
  <c r="AH530" i="1" s="1"/>
  <c r="AD530" i="1"/>
  <c r="BP529" i="1"/>
  <c r="BM529" i="1"/>
  <c r="BH529" i="1"/>
  <c r="AZ529" i="1"/>
  <c r="AY529" i="1"/>
  <c r="AW529" i="1"/>
  <c r="AX529" i="1" s="1"/>
  <c r="BE529" i="1" s="1"/>
  <c r="AU529" i="1"/>
  <c r="AV529" i="1" s="1"/>
  <c r="AS529" i="1"/>
  <c r="AT529" i="1" s="1"/>
  <c r="AR529" i="1"/>
  <c r="AQ529" i="1"/>
  <c r="AO529" i="1"/>
  <c r="AP529" i="1" s="1"/>
  <c r="BC529" i="1" s="1"/>
  <c r="AN529" i="1"/>
  <c r="AM529" i="1"/>
  <c r="AK529" i="1"/>
  <c r="AL529" i="1" s="1"/>
  <c r="BB529" i="1" s="1"/>
  <c r="AI529" i="1"/>
  <c r="AJ529" i="1" s="1"/>
  <c r="AG529" i="1"/>
  <c r="AH529" i="1" s="1"/>
  <c r="AD529" i="1"/>
  <c r="BP528" i="1"/>
  <c r="BM528" i="1"/>
  <c r="BH528" i="1"/>
  <c r="AZ528" i="1"/>
  <c r="AY528" i="1"/>
  <c r="AX528" i="1"/>
  <c r="AW528" i="1"/>
  <c r="AV528" i="1"/>
  <c r="BD528" i="1" s="1"/>
  <c r="AU528" i="1"/>
  <c r="AT528" i="1"/>
  <c r="AS528" i="1"/>
  <c r="AQ528" i="1"/>
  <c r="AR528" i="1" s="1"/>
  <c r="AP528" i="1"/>
  <c r="BC528" i="1" s="1"/>
  <c r="AO528" i="1"/>
  <c r="AN528" i="1"/>
  <c r="AM528" i="1"/>
  <c r="AL528" i="1"/>
  <c r="AK528" i="1"/>
  <c r="AJ528" i="1"/>
  <c r="AI528" i="1"/>
  <c r="AH528" i="1"/>
  <c r="AG528" i="1"/>
  <c r="AD528" i="1"/>
  <c r="BP527" i="1"/>
  <c r="BM527" i="1"/>
  <c r="BH527" i="1"/>
  <c r="AZ527" i="1"/>
  <c r="AY527" i="1"/>
  <c r="AX527" i="1"/>
  <c r="AW527" i="1"/>
  <c r="AV527" i="1"/>
  <c r="AU527" i="1"/>
  <c r="AT527" i="1"/>
  <c r="AS527" i="1"/>
  <c r="AQ527" i="1"/>
  <c r="AR527" i="1" s="1"/>
  <c r="AP527" i="1"/>
  <c r="BC527" i="1" s="1"/>
  <c r="AO527" i="1"/>
  <c r="AN527" i="1"/>
  <c r="AM527" i="1"/>
  <c r="AL527" i="1"/>
  <c r="AK527" i="1"/>
  <c r="AJ527" i="1"/>
  <c r="AI527" i="1"/>
  <c r="AH527" i="1"/>
  <c r="AG527" i="1"/>
  <c r="AD527" i="1"/>
  <c r="BP526" i="1"/>
  <c r="BM526" i="1"/>
  <c r="BH526" i="1"/>
  <c r="AZ526" i="1"/>
  <c r="AY526" i="1"/>
  <c r="AX526" i="1"/>
  <c r="AW526" i="1"/>
  <c r="AV526" i="1"/>
  <c r="BD526" i="1" s="1"/>
  <c r="AU526" i="1"/>
  <c r="AT526" i="1"/>
  <c r="AS526" i="1"/>
  <c r="AQ526" i="1"/>
  <c r="AR526" i="1" s="1"/>
  <c r="BC526" i="1" s="1"/>
  <c r="AP526" i="1"/>
  <c r="AO526" i="1"/>
  <c r="AN526" i="1"/>
  <c r="AM526" i="1"/>
  <c r="AL526" i="1"/>
  <c r="AK526" i="1"/>
  <c r="AJ526" i="1"/>
  <c r="AI526" i="1"/>
  <c r="AH526" i="1"/>
  <c r="AG526" i="1"/>
  <c r="AD526" i="1"/>
  <c r="BP525" i="1"/>
  <c r="BM525" i="1"/>
  <c r="BH525" i="1"/>
  <c r="AY525" i="1"/>
  <c r="AZ525" i="1" s="1"/>
  <c r="AW525" i="1"/>
  <c r="AX525" i="1" s="1"/>
  <c r="BE525" i="1" s="1"/>
  <c r="AU525" i="1"/>
  <c r="AV525" i="1" s="1"/>
  <c r="AT525" i="1"/>
  <c r="AS525" i="1"/>
  <c r="AQ525" i="1"/>
  <c r="AR525" i="1" s="1"/>
  <c r="AP525" i="1"/>
  <c r="AO525" i="1"/>
  <c r="AM525" i="1"/>
  <c r="AN525" i="1" s="1"/>
  <c r="AK525" i="1"/>
  <c r="AL525" i="1" s="1"/>
  <c r="BB525" i="1" s="1"/>
  <c r="AI525" i="1"/>
  <c r="AJ525" i="1" s="1"/>
  <c r="AH525" i="1"/>
  <c r="AG525" i="1"/>
  <c r="AD525" i="1"/>
  <c r="BP524" i="1"/>
  <c r="BM524" i="1"/>
  <c r="BH524" i="1"/>
  <c r="AZ524" i="1"/>
  <c r="AY524" i="1"/>
  <c r="AX524" i="1"/>
  <c r="BE524" i="1" s="1"/>
  <c r="AW524" i="1"/>
  <c r="AV524" i="1"/>
  <c r="AU524" i="1"/>
  <c r="AS524" i="1"/>
  <c r="AT524" i="1" s="1"/>
  <c r="BD524" i="1" s="1"/>
  <c r="AR524" i="1"/>
  <c r="AQ524" i="1"/>
  <c r="AP524" i="1"/>
  <c r="AO524" i="1"/>
  <c r="AN524" i="1"/>
  <c r="AM524" i="1"/>
  <c r="AL524" i="1"/>
  <c r="AK524" i="1"/>
  <c r="AJ524" i="1"/>
  <c r="AI524" i="1"/>
  <c r="AG524" i="1"/>
  <c r="AH524" i="1" s="1"/>
  <c r="BA524" i="1" s="1"/>
  <c r="AD524" i="1"/>
  <c r="BH523" i="1"/>
  <c r="BC523" i="1"/>
  <c r="AY523" i="1"/>
  <c r="AZ523" i="1" s="1"/>
  <c r="AW523" i="1"/>
  <c r="AX523" i="1" s="1"/>
  <c r="AU523" i="1"/>
  <c r="AV523" i="1" s="1"/>
  <c r="AT523" i="1"/>
  <c r="AS523" i="1"/>
  <c r="AM523" i="1"/>
  <c r="AN523" i="1" s="1"/>
  <c r="AK523" i="1"/>
  <c r="AL523" i="1" s="1"/>
  <c r="AI523" i="1"/>
  <c r="AJ523" i="1" s="1"/>
  <c r="AG523" i="1"/>
  <c r="AH523" i="1" s="1"/>
  <c r="BH522" i="1"/>
  <c r="BC522" i="1"/>
  <c r="AY522" i="1"/>
  <c r="AZ522" i="1" s="1"/>
  <c r="AW522" i="1"/>
  <c r="AX522" i="1" s="1"/>
  <c r="AU522" i="1"/>
  <c r="AV522" i="1" s="1"/>
  <c r="AS522" i="1"/>
  <c r="AT522" i="1" s="1"/>
  <c r="AN522" i="1"/>
  <c r="AM522" i="1"/>
  <c r="AK522" i="1"/>
  <c r="AL522" i="1" s="1"/>
  <c r="AI522" i="1"/>
  <c r="AJ522" i="1" s="1"/>
  <c r="AG522" i="1"/>
  <c r="AH522" i="1" s="1"/>
  <c r="BH521" i="1"/>
  <c r="BC521" i="1"/>
  <c r="AY521" i="1"/>
  <c r="AZ521" i="1" s="1"/>
  <c r="AW521" i="1"/>
  <c r="AX521" i="1" s="1"/>
  <c r="AU521" i="1"/>
  <c r="AV521" i="1" s="1"/>
  <c r="AS521" i="1"/>
  <c r="AT521" i="1" s="1"/>
  <c r="BD521" i="1" s="1"/>
  <c r="AM521" i="1"/>
  <c r="AN521" i="1" s="1"/>
  <c r="AK521" i="1"/>
  <c r="AL521" i="1" s="1"/>
  <c r="BB521" i="1" s="1"/>
  <c r="BF521" i="1" s="1"/>
  <c r="AI521" i="1"/>
  <c r="AJ521" i="1" s="1"/>
  <c r="AG521" i="1"/>
  <c r="AH521" i="1" s="1"/>
  <c r="AD521" i="1"/>
  <c r="AC521" i="1"/>
  <c r="BH520" i="1"/>
  <c r="BC520" i="1"/>
  <c r="AY520" i="1"/>
  <c r="AZ520" i="1" s="1"/>
  <c r="AW520" i="1"/>
  <c r="AX520" i="1" s="1"/>
  <c r="AU520" i="1"/>
  <c r="AV520" i="1" s="1"/>
  <c r="AS520" i="1"/>
  <c r="AT520" i="1" s="1"/>
  <c r="AM520" i="1"/>
  <c r="AN520" i="1" s="1"/>
  <c r="AL520" i="1"/>
  <c r="BB520" i="1" s="1"/>
  <c r="AK520" i="1"/>
  <c r="AI520" i="1"/>
  <c r="AJ520" i="1" s="1"/>
  <c r="AG520" i="1"/>
  <c r="AH520" i="1" s="1"/>
  <c r="AD520" i="1"/>
  <c r="BH519" i="1"/>
  <c r="BC519" i="1"/>
  <c r="AY519" i="1"/>
  <c r="AZ519" i="1" s="1"/>
  <c r="AX519" i="1"/>
  <c r="AW519" i="1"/>
  <c r="AU519" i="1"/>
  <c r="AV519" i="1" s="1"/>
  <c r="AT519" i="1"/>
  <c r="AS519" i="1"/>
  <c r="AM519" i="1"/>
  <c r="AN519" i="1" s="1"/>
  <c r="AK519" i="1"/>
  <c r="AL519" i="1" s="1"/>
  <c r="AI519" i="1"/>
  <c r="AJ519" i="1" s="1"/>
  <c r="AH519" i="1"/>
  <c r="AG519" i="1"/>
  <c r="AD519" i="1"/>
  <c r="BH518" i="1"/>
  <c r="BC518" i="1"/>
  <c r="AY518" i="1"/>
  <c r="AZ518" i="1" s="1"/>
  <c r="AW518" i="1"/>
  <c r="AX518" i="1" s="1"/>
  <c r="AV518" i="1"/>
  <c r="AU518" i="1"/>
  <c r="AS518" i="1"/>
  <c r="AT518" i="1" s="1"/>
  <c r="BD518" i="1" s="1"/>
  <c r="AM518" i="1"/>
  <c r="AN518" i="1" s="1"/>
  <c r="AK518" i="1"/>
  <c r="AL518" i="1" s="1"/>
  <c r="BB518" i="1" s="1"/>
  <c r="AJ518" i="1"/>
  <c r="AI518" i="1"/>
  <c r="AG518" i="1"/>
  <c r="AH518" i="1" s="1"/>
  <c r="AD518" i="1"/>
  <c r="BH517" i="1"/>
  <c r="BC517" i="1"/>
  <c r="AY517" i="1"/>
  <c r="AZ517" i="1" s="1"/>
  <c r="AW517" i="1"/>
  <c r="AX517" i="1" s="1"/>
  <c r="AU517" i="1"/>
  <c r="AV517" i="1" s="1"/>
  <c r="BD517" i="1" s="1"/>
  <c r="AT517" i="1"/>
  <c r="AS517" i="1"/>
  <c r="AM517" i="1"/>
  <c r="AN517" i="1" s="1"/>
  <c r="AL517" i="1"/>
  <c r="AK517" i="1"/>
  <c r="AI517" i="1"/>
  <c r="AJ517" i="1" s="1"/>
  <c r="AG517" i="1"/>
  <c r="AH517" i="1" s="1"/>
  <c r="AD517" i="1"/>
  <c r="BP516" i="1"/>
  <c r="BM516" i="1"/>
  <c r="BH516" i="1"/>
  <c r="AY516" i="1"/>
  <c r="AZ516" i="1" s="1"/>
  <c r="AX516" i="1"/>
  <c r="AW516" i="1"/>
  <c r="AU516" i="1"/>
  <c r="AV516" i="1" s="1"/>
  <c r="AS516" i="1"/>
  <c r="AT516" i="1" s="1"/>
  <c r="BD516" i="1" s="1"/>
  <c r="AQ516" i="1"/>
  <c r="AR516" i="1" s="1"/>
  <c r="AP516" i="1"/>
  <c r="AO516" i="1"/>
  <c r="AM516" i="1"/>
  <c r="AN516" i="1" s="1"/>
  <c r="AL516" i="1"/>
  <c r="AK516" i="1"/>
  <c r="AI516" i="1"/>
  <c r="AJ516" i="1" s="1"/>
  <c r="AG516" i="1"/>
  <c r="AH516" i="1" s="1"/>
  <c r="AD516" i="1"/>
  <c r="BP515" i="1"/>
  <c r="BM515" i="1"/>
  <c r="BH515" i="1"/>
  <c r="AY515" i="1"/>
  <c r="AZ515" i="1" s="1"/>
  <c r="AX515" i="1"/>
  <c r="AW515" i="1"/>
  <c r="AU515" i="1"/>
  <c r="AV515" i="1" s="1"/>
  <c r="BD515" i="1" s="1"/>
  <c r="AS515" i="1"/>
  <c r="AT515" i="1" s="1"/>
  <c r="AQ515" i="1"/>
  <c r="AR515" i="1" s="1"/>
  <c r="BC515" i="1" s="1"/>
  <c r="AP515" i="1"/>
  <c r="AO515" i="1"/>
  <c r="AM515" i="1"/>
  <c r="AN515" i="1" s="1"/>
  <c r="AL515" i="1"/>
  <c r="AK515" i="1"/>
  <c r="AI515" i="1"/>
  <c r="AJ515" i="1" s="1"/>
  <c r="AG515" i="1"/>
  <c r="AH515" i="1" s="1"/>
  <c r="AD515" i="1"/>
  <c r="BP514" i="1"/>
  <c r="BM514" i="1"/>
  <c r="BH514" i="1"/>
  <c r="AY514" i="1"/>
  <c r="AZ514" i="1" s="1"/>
  <c r="AX514" i="1"/>
  <c r="AW514" i="1"/>
  <c r="AU514" i="1"/>
  <c r="AV514" i="1" s="1"/>
  <c r="AS514" i="1"/>
  <c r="AT514" i="1" s="1"/>
  <c r="AQ514" i="1"/>
  <c r="AR514" i="1" s="1"/>
  <c r="AP514" i="1"/>
  <c r="AO514" i="1"/>
  <c r="AM514" i="1"/>
  <c r="AN514" i="1" s="1"/>
  <c r="AL514" i="1"/>
  <c r="AK514" i="1"/>
  <c r="AI514" i="1"/>
  <c r="AJ514" i="1" s="1"/>
  <c r="AG514" i="1"/>
  <c r="AH514" i="1" s="1"/>
  <c r="AD514" i="1"/>
  <c r="BP513" i="1"/>
  <c r="BM513" i="1"/>
  <c r="BH513" i="1"/>
  <c r="AZ513" i="1"/>
  <c r="AY513" i="1"/>
  <c r="AX513" i="1"/>
  <c r="AW513" i="1"/>
  <c r="AV513" i="1"/>
  <c r="AU513" i="1"/>
  <c r="AT513" i="1"/>
  <c r="BD513" i="1" s="1"/>
  <c r="AS513" i="1"/>
  <c r="AR513" i="1"/>
  <c r="AQ513" i="1"/>
  <c r="AO513" i="1"/>
  <c r="AP513" i="1" s="1"/>
  <c r="BC513" i="1" s="1"/>
  <c r="AN513" i="1"/>
  <c r="AM513" i="1"/>
  <c r="AL513" i="1"/>
  <c r="AK513" i="1"/>
  <c r="AJ513" i="1"/>
  <c r="AI513" i="1"/>
  <c r="AH513" i="1"/>
  <c r="BA513" i="1" s="1"/>
  <c r="AG513" i="1"/>
  <c r="AD513" i="1"/>
  <c r="BP512" i="1"/>
  <c r="BM512" i="1"/>
  <c r="BH512" i="1"/>
  <c r="AZ512" i="1"/>
  <c r="AY512" i="1"/>
  <c r="AX512" i="1"/>
  <c r="AW512" i="1"/>
  <c r="AV512" i="1"/>
  <c r="AU512" i="1"/>
  <c r="AT512" i="1"/>
  <c r="BD512" i="1" s="1"/>
  <c r="AS512" i="1"/>
  <c r="AR512" i="1"/>
  <c r="AQ512" i="1"/>
  <c r="AO512" i="1"/>
  <c r="AP512" i="1" s="1"/>
  <c r="BC512" i="1" s="1"/>
  <c r="AN512" i="1"/>
  <c r="AM512" i="1"/>
  <c r="AL512" i="1"/>
  <c r="AK512" i="1"/>
  <c r="AJ512" i="1"/>
  <c r="AI512" i="1"/>
  <c r="AH512" i="1"/>
  <c r="BA512" i="1" s="1"/>
  <c r="AG512" i="1"/>
  <c r="AD512" i="1"/>
  <c r="BP511" i="1"/>
  <c r="BM511" i="1"/>
  <c r="BH511" i="1"/>
  <c r="AZ511" i="1"/>
  <c r="AY511" i="1"/>
  <c r="AX511" i="1"/>
  <c r="AW511" i="1"/>
  <c r="AV511" i="1"/>
  <c r="AU511" i="1"/>
  <c r="AT511" i="1"/>
  <c r="AS511" i="1"/>
  <c r="AR511" i="1"/>
  <c r="AQ511" i="1"/>
  <c r="AO511" i="1"/>
  <c r="AP511" i="1" s="1"/>
  <c r="AN511" i="1"/>
  <c r="AM511" i="1"/>
  <c r="AL511" i="1"/>
  <c r="AK511" i="1"/>
  <c r="AJ511" i="1"/>
  <c r="AI511" i="1"/>
  <c r="AH511" i="1"/>
  <c r="AG511" i="1"/>
  <c r="AD511" i="1"/>
  <c r="BP510" i="1"/>
  <c r="BM510" i="1"/>
  <c r="BH510" i="1"/>
  <c r="AZ510" i="1"/>
  <c r="AY510" i="1"/>
  <c r="AW510" i="1"/>
  <c r="AX510" i="1" s="1"/>
  <c r="BE510" i="1" s="1"/>
  <c r="AU510" i="1"/>
  <c r="AV510" i="1" s="1"/>
  <c r="AS510" i="1"/>
  <c r="AT510" i="1" s="1"/>
  <c r="AR510" i="1"/>
  <c r="AQ510" i="1"/>
  <c r="AO510" i="1"/>
  <c r="AP510" i="1" s="1"/>
  <c r="BC510" i="1" s="1"/>
  <c r="AN510" i="1"/>
  <c r="AM510" i="1"/>
  <c r="AK510" i="1"/>
  <c r="AL510" i="1" s="1"/>
  <c r="BB510" i="1" s="1"/>
  <c r="AI510" i="1"/>
  <c r="AJ510" i="1" s="1"/>
  <c r="AG510" i="1"/>
  <c r="AH510" i="1" s="1"/>
  <c r="BA510" i="1" s="1"/>
  <c r="AD510" i="1"/>
  <c r="BP509" i="1"/>
  <c r="BM509" i="1"/>
  <c r="BH509" i="1"/>
  <c r="BD509" i="1"/>
  <c r="AZ509" i="1"/>
  <c r="AY509" i="1"/>
  <c r="AX509" i="1"/>
  <c r="AW509" i="1"/>
  <c r="AV509" i="1"/>
  <c r="AU509" i="1"/>
  <c r="AT509" i="1"/>
  <c r="AS509" i="1"/>
  <c r="AQ509" i="1"/>
  <c r="AR509" i="1" s="1"/>
  <c r="AP509" i="1"/>
  <c r="BC509" i="1" s="1"/>
  <c r="AO509" i="1"/>
  <c r="AN509" i="1"/>
  <c r="AM509" i="1"/>
  <c r="AL509" i="1"/>
  <c r="AK509" i="1"/>
  <c r="AJ509" i="1"/>
  <c r="AI509" i="1"/>
  <c r="AH509" i="1"/>
  <c r="AG509" i="1"/>
  <c r="AD509" i="1"/>
  <c r="BP508" i="1"/>
  <c r="BM508" i="1"/>
  <c r="BH508" i="1"/>
  <c r="AZ508" i="1"/>
  <c r="AY508" i="1"/>
  <c r="AX508" i="1"/>
  <c r="AW508" i="1"/>
  <c r="AV508" i="1"/>
  <c r="AU508" i="1"/>
  <c r="AT508" i="1"/>
  <c r="AS508" i="1"/>
  <c r="AQ508" i="1"/>
  <c r="AR508" i="1" s="1"/>
  <c r="AP508" i="1"/>
  <c r="AO508" i="1"/>
  <c r="AN508" i="1"/>
  <c r="AM508" i="1"/>
  <c r="AL508" i="1"/>
  <c r="AK508" i="1"/>
  <c r="AJ508" i="1"/>
  <c r="AI508" i="1"/>
  <c r="AH508" i="1"/>
  <c r="AG508" i="1"/>
  <c r="AD508" i="1"/>
  <c r="BP507" i="1"/>
  <c r="BM507" i="1"/>
  <c r="BH507" i="1"/>
  <c r="AZ507" i="1"/>
  <c r="AY507" i="1"/>
  <c r="AX507" i="1"/>
  <c r="AW507" i="1"/>
  <c r="AV507" i="1"/>
  <c r="BD507" i="1" s="1"/>
  <c r="AU507" i="1"/>
  <c r="AT507" i="1"/>
  <c r="AS507" i="1"/>
  <c r="AQ507" i="1"/>
  <c r="AR507" i="1" s="1"/>
  <c r="BC507" i="1" s="1"/>
  <c r="AP507" i="1"/>
  <c r="AO507" i="1"/>
  <c r="AN507" i="1"/>
  <c r="AM507" i="1"/>
  <c r="AL507" i="1"/>
  <c r="AK507" i="1"/>
  <c r="AJ507" i="1"/>
  <c r="AI507" i="1"/>
  <c r="AH507" i="1"/>
  <c r="AG507" i="1"/>
  <c r="AD507" i="1"/>
  <c r="BP506" i="1"/>
  <c r="BM506" i="1"/>
  <c r="BH506" i="1"/>
  <c r="AZ506" i="1"/>
  <c r="AY506" i="1"/>
  <c r="AX506" i="1"/>
  <c r="AW506" i="1"/>
  <c r="AV506" i="1"/>
  <c r="AU506" i="1"/>
  <c r="AT506" i="1"/>
  <c r="AS506" i="1"/>
  <c r="AQ506" i="1"/>
  <c r="AR506" i="1" s="1"/>
  <c r="AP506" i="1"/>
  <c r="BC506" i="1" s="1"/>
  <c r="AO506" i="1"/>
  <c r="AN506" i="1"/>
  <c r="AM506" i="1"/>
  <c r="AL506" i="1"/>
  <c r="AK506" i="1"/>
  <c r="AJ506" i="1"/>
  <c r="AI506" i="1"/>
  <c r="AH506" i="1"/>
  <c r="AG506" i="1"/>
  <c r="AD506" i="1"/>
  <c r="BP505" i="1"/>
  <c r="BM505" i="1"/>
  <c r="BH505" i="1"/>
  <c r="AZ505" i="1"/>
  <c r="AY505" i="1"/>
  <c r="AX505" i="1"/>
  <c r="AW505" i="1"/>
  <c r="AV505" i="1"/>
  <c r="BD505" i="1" s="1"/>
  <c r="AU505" i="1"/>
  <c r="AT505" i="1"/>
  <c r="AS505" i="1"/>
  <c r="AQ505" i="1"/>
  <c r="AR505" i="1" s="1"/>
  <c r="AP505" i="1"/>
  <c r="AO505" i="1"/>
  <c r="AN505" i="1"/>
  <c r="AM505" i="1"/>
  <c r="AL505" i="1"/>
  <c r="AK505" i="1"/>
  <c r="AJ505" i="1"/>
  <c r="AI505" i="1"/>
  <c r="AH505" i="1"/>
  <c r="AG505" i="1"/>
  <c r="AD505" i="1"/>
  <c r="BP504" i="1"/>
  <c r="BM504" i="1"/>
  <c r="BH504" i="1"/>
  <c r="AY504" i="1"/>
  <c r="AZ504" i="1" s="1"/>
  <c r="AW504" i="1"/>
  <c r="AX504" i="1" s="1"/>
  <c r="AU504" i="1"/>
  <c r="AV504" i="1" s="1"/>
  <c r="AT504" i="1"/>
  <c r="AS504" i="1"/>
  <c r="AQ504" i="1"/>
  <c r="AR504" i="1" s="1"/>
  <c r="AP504" i="1"/>
  <c r="AO504" i="1"/>
  <c r="AM504" i="1"/>
  <c r="AN504" i="1" s="1"/>
  <c r="AK504" i="1"/>
  <c r="AL504" i="1" s="1"/>
  <c r="BB504" i="1" s="1"/>
  <c r="AI504" i="1"/>
  <c r="AJ504" i="1" s="1"/>
  <c r="AH504" i="1"/>
  <c r="AG504" i="1"/>
  <c r="AD504" i="1"/>
  <c r="BP503" i="1"/>
  <c r="BM503" i="1"/>
  <c r="BH503" i="1"/>
  <c r="AY503" i="1"/>
  <c r="AZ503" i="1" s="1"/>
  <c r="AW503" i="1"/>
  <c r="AX503" i="1" s="1"/>
  <c r="AU503" i="1"/>
  <c r="AV503" i="1" s="1"/>
  <c r="BD503" i="1" s="1"/>
  <c r="AT503" i="1"/>
  <c r="AS503" i="1"/>
  <c r="AQ503" i="1"/>
  <c r="AR503" i="1" s="1"/>
  <c r="BC503" i="1" s="1"/>
  <c r="AP503" i="1"/>
  <c r="AO503" i="1"/>
  <c r="AM503" i="1"/>
  <c r="AN503" i="1" s="1"/>
  <c r="AK503" i="1"/>
  <c r="AL503" i="1" s="1"/>
  <c r="BB503" i="1" s="1"/>
  <c r="AI503" i="1"/>
  <c r="AJ503" i="1" s="1"/>
  <c r="AH503" i="1"/>
  <c r="AG503" i="1"/>
  <c r="AD503" i="1"/>
  <c r="BP502" i="1"/>
  <c r="BM502" i="1"/>
  <c r="BH502" i="1"/>
  <c r="AY502" i="1"/>
  <c r="AZ502" i="1" s="1"/>
  <c r="AW502" i="1"/>
  <c r="AX502" i="1" s="1"/>
  <c r="BE502" i="1" s="1"/>
  <c r="AU502" i="1"/>
  <c r="AV502" i="1" s="1"/>
  <c r="AT502" i="1"/>
  <c r="AS502" i="1"/>
  <c r="AQ502" i="1"/>
  <c r="AR502" i="1" s="1"/>
  <c r="AP502" i="1"/>
  <c r="AO502" i="1"/>
  <c r="AM502" i="1"/>
  <c r="AN502" i="1" s="1"/>
  <c r="AK502" i="1"/>
  <c r="AL502" i="1" s="1"/>
  <c r="AI502" i="1"/>
  <c r="AJ502" i="1" s="1"/>
  <c r="AH502" i="1"/>
  <c r="AG502" i="1"/>
  <c r="AD502" i="1"/>
  <c r="BP501" i="1"/>
  <c r="BM501" i="1"/>
  <c r="BH501" i="1"/>
  <c r="AZ501" i="1"/>
  <c r="AY501" i="1"/>
  <c r="AX501" i="1"/>
  <c r="BE501" i="1" s="1"/>
  <c r="AW501" i="1"/>
  <c r="AU501" i="1"/>
  <c r="AV501" i="1" s="1"/>
  <c r="AS501" i="1"/>
  <c r="AT501" i="1" s="1"/>
  <c r="AR501" i="1"/>
  <c r="AQ501" i="1"/>
  <c r="AP501" i="1"/>
  <c r="AO501" i="1"/>
  <c r="AN501" i="1"/>
  <c r="AM501" i="1"/>
  <c r="AL501" i="1"/>
  <c r="BB501" i="1" s="1"/>
  <c r="AK501" i="1"/>
  <c r="AI501" i="1"/>
  <c r="AJ501" i="1" s="1"/>
  <c r="AG501" i="1"/>
  <c r="AH501" i="1" s="1"/>
  <c r="BA501" i="1" s="1"/>
  <c r="AD501" i="1"/>
  <c r="BP500" i="1"/>
  <c r="BM500" i="1"/>
  <c r="BH500" i="1"/>
  <c r="AY500" i="1"/>
  <c r="AZ500" i="1" s="1"/>
  <c r="AW500" i="1"/>
  <c r="AX500" i="1" s="1"/>
  <c r="AV500" i="1"/>
  <c r="AU500" i="1"/>
  <c r="AS500" i="1"/>
  <c r="AT500" i="1" s="1"/>
  <c r="BD500" i="1" s="1"/>
  <c r="AR500" i="1"/>
  <c r="AQ500" i="1"/>
  <c r="AO500" i="1"/>
  <c r="AP500" i="1" s="1"/>
  <c r="BC500" i="1" s="1"/>
  <c r="AM500" i="1"/>
  <c r="AN500" i="1" s="1"/>
  <c r="AK500" i="1"/>
  <c r="AL500" i="1" s="1"/>
  <c r="AJ500" i="1"/>
  <c r="AI500" i="1"/>
  <c r="AG500" i="1"/>
  <c r="AH500" i="1" s="1"/>
  <c r="BA500" i="1" s="1"/>
  <c r="AD500" i="1"/>
  <c r="BP499" i="1"/>
  <c r="BM499" i="1"/>
  <c r="BH499" i="1"/>
  <c r="AY499" i="1"/>
  <c r="AZ499" i="1" s="1"/>
  <c r="AW499" i="1"/>
  <c r="AX499" i="1" s="1"/>
  <c r="AV499" i="1"/>
  <c r="AU499" i="1"/>
  <c r="AS499" i="1"/>
  <c r="AT499" i="1" s="1"/>
  <c r="AR499" i="1"/>
  <c r="AQ499" i="1"/>
  <c r="AO499" i="1"/>
  <c r="AP499" i="1" s="1"/>
  <c r="AM499" i="1"/>
  <c r="AN499" i="1" s="1"/>
  <c r="AK499" i="1"/>
  <c r="AL499" i="1" s="1"/>
  <c r="AJ499" i="1"/>
  <c r="AI499" i="1"/>
  <c r="AG499" i="1"/>
  <c r="AH499" i="1" s="1"/>
  <c r="AD499" i="1"/>
  <c r="BP498" i="1"/>
  <c r="BM498" i="1"/>
  <c r="BH498" i="1"/>
  <c r="AZ498" i="1"/>
  <c r="AY498" i="1"/>
  <c r="AW498" i="1"/>
  <c r="AX498" i="1" s="1"/>
  <c r="BE498" i="1" s="1"/>
  <c r="AU498" i="1"/>
  <c r="AV498" i="1" s="1"/>
  <c r="AT498" i="1"/>
  <c r="AS498" i="1"/>
  <c r="AR498" i="1"/>
  <c r="AQ498" i="1"/>
  <c r="AP498" i="1"/>
  <c r="AO498" i="1"/>
  <c r="AN498" i="1"/>
  <c r="AM498" i="1"/>
  <c r="AK498" i="1"/>
  <c r="AL498" i="1" s="1"/>
  <c r="BB498" i="1" s="1"/>
  <c r="AI498" i="1"/>
  <c r="AJ498" i="1" s="1"/>
  <c r="AH498" i="1"/>
  <c r="BA498" i="1" s="1"/>
  <c r="AG498" i="1"/>
  <c r="AD498" i="1"/>
  <c r="BP497" i="1"/>
  <c r="BM497" i="1"/>
  <c r="BH497" i="1"/>
  <c r="AZ497" i="1"/>
  <c r="AY497" i="1"/>
  <c r="AW497" i="1"/>
  <c r="AX497" i="1" s="1"/>
  <c r="BE497" i="1" s="1"/>
  <c r="AU497" i="1"/>
  <c r="AV497" i="1" s="1"/>
  <c r="AT497" i="1"/>
  <c r="AS497" i="1"/>
  <c r="AR497" i="1"/>
  <c r="AQ497" i="1"/>
  <c r="AP497" i="1"/>
  <c r="AO497" i="1"/>
  <c r="AN497" i="1"/>
  <c r="AM497" i="1"/>
  <c r="AK497" i="1"/>
  <c r="AL497" i="1" s="1"/>
  <c r="BB497" i="1" s="1"/>
  <c r="AI497" i="1"/>
  <c r="AJ497" i="1" s="1"/>
  <c r="AH497" i="1"/>
  <c r="AG497" i="1"/>
  <c r="AD497" i="1"/>
  <c r="BP496" i="1"/>
  <c r="BM496" i="1"/>
  <c r="BH496" i="1"/>
  <c r="AZ496" i="1"/>
  <c r="AY496" i="1"/>
  <c r="AW496" i="1"/>
  <c r="AX496" i="1" s="1"/>
  <c r="BE496" i="1" s="1"/>
  <c r="AU496" i="1"/>
  <c r="AV496" i="1" s="1"/>
  <c r="AT496" i="1"/>
  <c r="BD496" i="1" s="1"/>
  <c r="AS496" i="1"/>
  <c r="AR496" i="1"/>
  <c r="AQ496" i="1"/>
  <c r="AP496" i="1"/>
  <c r="AO496" i="1"/>
  <c r="AN496" i="1"/>
  <c r="AM496" i="1"/>
  <c r="AK496" i="1"/>
  <c r="AL496" i="1" s="1"/>
  <c r="BB496" i="1" s="1"/>
  <c r="AI496" i="1"/>
  <c r="AJ496" i="1" s="1"/>
  <c r="AH496" i="1"/>
  <c r="AG496" i="1"/>
  <c r="AD496" i="1"/>
  <c r="BP495" i="1"/>
  <c r="BM495" i="1"/>
  <c r="BH495" i="1"/>
  <c r="AZ495" i="1"/>
  <c r="AY495" i="1"/>
  <c r="AW495" i="1"/>
  <c r="AX495" i="1" s="1"/>
  <c r="BE495" i="1" s="1"/>
  <c r="AU495" i="1"/>
  <c r="AV495" i="1" s="1"/>
  <c r="BD495" i="1" s="1"/>
  <c r="AT495" i="1"/>
  <c r="AS495" i="1"/>
  <c r="AR495" i="1"/>
  <c r="BC495" i="1" s="1"/>
  <c r="AQ495" i="1"/>
  <c r="AP495" i="1"/>
  <c r="AO495" i="1"/>
  <c r="AN495" i="1"/>
  <c r="AM495" i="1"/>
  <c r="AK495" i="1"/>
  <c r="AL495" i="1" s="1"/>
  <c r="BB495" i="1" s="1"/>
  <c r="AI495" i="1"/>
  <c r="AJ495" i="1" s="1"/>
  <c r="AH495" i="1"/>
  <c r="BA495" i="1" s="1"/>
  <c r="AG495" i="1"/>
  <c r="AD495" i="1"/>
  <c r="BP494" i="1"/>
  <c r="BM494" i="1"/>
  <c r="BH494" i="1"/>
  <c r="AZ494" i="1"/>
  <c r="AY494" i="1"/>
  <c r="AW494" i="1"/>
  <c r="AX494" i="1" s="1"/>
  <c r="BE494" i="1" s="1"/>
  <c r="AU494" i="1"/>
  <c r="AV494" i="1" s="1"/>
  <c r="AT494" i="1"/>
  <c r="BD494" i="1" s="1"/>
  <c r="AS494" i="1"/>
  <c r="AR494" i="1"/>
  <c r="AQ494" i="1"/>
  <c r="AP494" i="1"/>
  <c r="AO494" i="1"/>
  <c r="AN494" i="1"/>
  <c r="AM494" i="1"/>
  <c r="AK494" i="1"/>
  <c r="AL494" i="1" s="1"/>
  <c r="BB494" i="1" s="1"/>
  <c r="AI494" i="1"/>
  <c r="AJ494" i="1" s="1"/>
  <c r="AH494" i="1"/>
  <c r="AG494" i="1"/>
  <c r="AD494" i="1"/>
  <c r="BP493" i="1"/>
  <c r="BM493" i="1"/>
  <c r="BH493" i="1"/>
  <c r="AZ493" i="1"/>
  <c r="AY493" i="1"/>
  <c r="AW493" i="1"/>
  <c r="AX493" i="1" s="1"/>
  <c r="BE493" i="1" s="1"/>
  <c r="AU493" i="1"/>
  <c r="AV493" i="1" s="1"/>
  <c r="AT493" i="1"/>
  <c r="AS493" i="1"/>
  <c r="AR493" i="1"/>
  <c r="AQ493" i="1"/>
  <c r="AP493" i="1"/>
  <c r="AO493" i="1"/>
  <c r="AN493" i="1"/>
  <c r="AM493" i="1"/>
  <c r="AK493" i="1"/>
  <c r="AL493" i="1" s="1"/>
  <c r="AI493" i="1"/>
  <c r="AJ493" i="1" s="1"/>
  <c r="AH493" i="1"/>
  <c r="AG493" i="1"/>
  <c r="AD493" i="1"/>
  <c r="BP492" i="1"/>
  <c r="BM492" i="1"/>
  <c r="BH492" i="1"/>
  <c r="AY492" i="1"/>
  <c r="AZ492" i="1" s="1"/>
  <c r="AX492" i="1"/>
  <c r="AW492" i="1"/>
  <c r="AU492" i="1"/>
  <c r="AV492" i="1" s="1"/>
  <c r="AT492" i="1"/>
  <c r="AS492" i="1"/>
  <c r="AQ492" i="1"/>
  <c r="AR492" i="1" s="1"/>
  <c r="AO492" i="1"/>
  <c r="AP492" i="1" s="1"/>
  <c r="AM492" i="1"/>
  <c r="AN492" i="1" s="1"/>
  <c r="BB492" i="1" s="1"/>
  <c r="AL492" i="1"/>
  <c r="AK492" i="1"/>
  <c r="AI492" i="1"/>
  <c r="AJ492" i="1" s="1"/>
  <c r="AH492" i="1"/>
  <c r="AG492" i="1"/>
  <c r="AD492" i="1"/>
  <c r="BP491" i="1"/>
  <c r="BM491" i="1"/>
  <c r="BH491" i="1"/>
  <c r="AY491" i="1"/>
  <c r="AZ491" i="1" s="1"/>
  <c r="AX491" i="1"/>
  <c r="AW491" i="1"/>
  <c r="AU491" i="1"/>
  <c r="AV491" i="1" s="1"/>
  <c r="BD491" i="1" s="1"/>
  <c r="AT491" i="1"/>
  <c r="AS491" i="1"/>
  <c r="AQ491" i="1"/>
  <c r="AR491" i="1" s="1"/>
  <c r="BC491" i="1" s="1"/>
  <c r="AO491" i="1"/>
  <c r="AP491" i="1" s="1"/>
  <c r="AM491" i="1"/>
  <c r="AN491" i="1" s="1"/>
  <c r="AL491" i="1"/>
  <c r="AK491" i="1"/>
  <c r="AI491" i="1"/>
  <c r="AJ491" i="1" s="1"/>
  <c r="AH491" i="1"/>
  <c r="AG491" i="1"/>
  <c r="AD491" i="1"/>
  <c r="BP490" i="1"/>
  <c r="BM490" i="1"/>
  <c r="BH490" i="1"/>
  <c r="AY490" i="1"/>
  <c r="AZ490" i="1" s="1"/>
  <c r="AX490" i="1"/>
  <c r="AW490" i="1"/>
  <c r="AU490" i="1"/>
  <c r="AV490" i="1" s="1"/>
  <c r="AT490" i="1"/>
  <c r="AS490" i="1"/>
  <c r="AQ490" i="1"/>
  <c r="AR490" i="1" s="1"/>
  <c r="AO490" i="1"/>
  <c r="AP490" i="1" s="1"/>
  <c r="AM490" i="1"/>
  <c r="AN490" i="1" s="1"/>
  <c r="AL490" i="1"/>
  <c r="AK490" i="1"/>
  <c r="AI490" i="1"/>
  <c r="AJ490" i="1" s="1"/>
  <c r="AH490" i="1"/>
  <c r="AG490" i="1"/>
  <c r="AD490" i="1"/>
  <c r="BP489" i="1"/>
  <c r="BM489" i="1"/>
  <c r="BH489" i="1"/>
  <c r="AY489" i="1"/>
  <c r="AZ489" i="1" s="1"/>
  <c r="AW489" i="1"/>
  <c r="AX489" i="1" s="1"/>
  <c r="AV489" i="1"/>
  <c r="AU489" i="1"/>
  <c r="AT489" i="1"/>
  <c r="BD489" i="1" s="1"/>
  <c r="AS489" i="1"/>
  <c r="AR489" i="1"/>
  <c r="AQ489" i="1"/>
  <c r="AP489" i="1"/>
  <c r="BC489" i="1" s="1"/>
  <c r="AO489" i="1"/>
  <c r="AM489" i="1"/>
  <c r="AN489" i="1" s="1"/>
  <c r="AK489" i="1"/>
  <c r="AL489" i="1" s="1"/>
  <c r="BB489" i="1" s="1"/>
  <c r="AJ489" i="1"/>
  <c r="AI489" i="1"/>
  <c r="AH489" i="1"/>
  <c r="AG489" i="1"/>
  <c r="AD489" i="1"/>
  <c r="BP488" i="1"/>
  <c r="BM488" i="1"/>
  <c r="BH488" i="1"/>
  <c r="AZ488" i="1"/>
  <c r="AY488" i="1"/>
  <c r="AW488" i="1"/>
  <c r="AX488" i="1" s="1"/>
  <c r="BE488" i="1" s="1"/>
  <c r="AV488" i="1"/>
  <c r="AU488" i="1"/>
  <c r="AS488" i="1"/>
  <c r="AT488" i="1" s="1"/>
  <c r="BD488" i="1" s="1"/>
  <c r="AQ488" i="1"/>
  <c r="AR488" i="1" s="1"/>
  <c r="AO488" i="1"/>
  <c r="AP488" i="1" s="1"/>
  <c r="BC488" i="1" s="1"/>
  <c r="AN488" i="1"/>
  <c r="AM488" i="1"/>
  <c r="AK488" i="1"/>
  <c r="AL488" i="1" s="1"/>
  <c r="BB488" i="1" s="1"/>
  <c r="BF488" i="1" s="1"/>
  <c r="AJ488" i="1"/>
  <c r="AI488" i="1"/>
  <c r="AG488" i="1"/>
  <c r="AH488" i="1" s="1"/>
  <c r="BA488" i="1" s="1"/>
  <c r="AD488" i="1"/>
  <c r="BP487" i="1"/>
  <c r="BM487" i="1"/>
  <c r="BH487" i="1"/>
  <c r="AZ487" i="1"/>
  <c r="AY487" i="1"/>
  <c r="AW487" i="1"/>
  <c r="AX487" i="1" s="1"/>
  <c r="AV487" i="1"/>
  <c r="AU487" i="1"/>
  <c r="AS487" i="1"/>
  <c r="AT487" i="1" s="1"/>
  <c r="AQ487" i="1"/>
  <c r="AR487" i="1" s="1"/>
  <c r="BC487" i="1" s="1"/>
  <c r="AO487" i="1"/>
  <c r="AP487" i="1" s="1"/>
  <c r="AN487" i="1"/>
  <c r="AM487" i="1"/>
  <c r="AK487" i="1"/>
  <c r="AL487" i="1" s="1"/>
  <c r="BB487" i="1" s="1"/>
  <c r="AJ487" i="1"/>
  <c r="AI487" i="1"/>
  <c r="AG487" i="1"/>
  <c r="AH487" i="1" s="1"/>
  <c r="AD487" i="1"/>
  <c r="BP486" i="1"/>
  <c r="BM486" i="1"/>
  <c r="BH486" i="1"/>
  <c r="AZ486" i="1"/>
  <c r="AY486" i="1"/>
  <c r="AW486" i="1"/>
  <c r="AX486" i="1" s="1"/>
  <c r="BE486" i="1" s="1"/>
  <c r="AV486" i="1"/>
  <c r="AU486" i="1"/>
  <c r="AS486" i="1"/>
  <c r="AT486" i="1" s="1"/>
  <c r="BD486" i="1" s="1"/>
  <c r="AQ486" i="1"/>
  <c r="AR486" i="1" s="1"/>
  <c r="AO486" i="1"/>
  <c r="AP486" i="1" s="1"/>
  <c r="BC486" i="1" s="1"/>
  <c r="AN486" i="1"/>
  <c r="AM486" i="1"/>
  <c r="AK486" i="1"/>
  <c r="AL486" i="1" s="1"/>
  <c r="BB486" i="1" s="1"/>
  <c r="BF486" i="1" s="1"/>
  <c r="AJ486" i="1"/>
  <c r="AI486" i="1"/>
  <c r="AG486" i="1"/>
  <c r="AH486" i="1" s="1"/>
  <c r="BA486" i="1" s="1"/>
  <c r="AD486" i="1"/>
  <c r="BP485" i="1"/>
  <c r="BM485" i="1"/>
  <c r="BH485" i="1"/>
  <c r="AZ485" i="1"/>
  <c r="AY485" i="1"/>
  <c r="AW485" i="1"/>
  <c r="AX485" i="1" s="1"/>
  <c r="BE485" i="1" s="1"/>
  <c r="AV485" i="1"/>
  <c r="AU485" i="1"/>
  <c r="AS485" i="1"/>
  <c r="AT485" i="1" s="1"/>
  <c r="AQ485" i="1"/>
  <c r="AR485" i="1" s="1"/>
  <c r="AO485" i="1"/>
  <c r="AP485" i="1" s="1"/>
  <c r="AN485" i="1"/>
  <c r="AM485" i="1"/>
  <c r="AK485" i="1"/>
  <c r="AL485" i="1" s="1"/>
  <c r="AJ485" i="1"/>
  <c r="AI485" i="1"/>
  <c r="AG485" i="1"/>
  <c r="AH485" i="1" s="1"/>
  <c r="BA485" i="1" s="1"/>
  <c r="AD485" i="1"/>
  <c r="BP484" i="1"/>
  <c r="BM484" i="1"/>
  <c r="BH484" i="1"/>
  <c r="AZ484" i="1"/>
  <c r="AY484" i="1"/>
  <c r="AW484" i="1"/>
  <c r="AX484" i="1" s="1"/>
  <c r="BE484" i="1" s="1"/>
  <c r="AV484" i="1"/>
  <c r="AU484" i="1"/>
  <c r="AS484" i="1"/>
  <c r="AT484" i="1" s="1"/>
  <c r="BD484" i="1" s="1"/>
  <c r="AQ484" i="1"/>
  <c r="AR484" i="1" s="1"/>
  <c r="AO484" i="1"/>
  <c r="AP484" i="1" s="1"/>
  <c r="BC484" i="1" s="1"/>
  <c r="AN484" i="1"/>
  <c r="AM484" i="1"/>
  <c r="AK484" i="1"/>
  <c r="AL484" i="1" s="1"/>
  <c r="BB484" i="1" s="1"/>
  <c r="BF484" i="1" s="1"/>
  <c r="AJ484" i="1"/>
  <c r="AI484" i="1"/>
  <c r="AG484" i="1"/>
  <c r="AH484" i="1" s="1"/>
  <c r="BA484" i="1" s="1"/>
  <c r="AD484" i="1"/>
  <c r="BP483" i="1"/>
  <c r="BM483" i="1"/>
  <c r="BH483" i="1"/>
  <c r="AZ483" i="1"/>
  <c r="AY483" i="1"/>
  <c r="AW483" i="1"/>
  <c r="AX483" i="1" s="1"/>
  <c r="BE483" i="1" s="1"/>
  <c r="AV483" i="1"/>
  <c r="AU483" i="1"/>
  <c r="AS483" i="1"/>
  <c r="AT483" i="1" s="1"/>
  <c r="AQ483" i="1"/>
  <c r="AR483" i="1" s="1"/>
  <c r="BC483" i="1" s="1"/>
  <c r="AO483" i="1"/>
  <c r="AP483" i="1" s="1"/>
  <c r="AN483" i="1"/>
  <c r="AM483" i="1"/>
  <c r="AK483" i="1"/>
  <c r="AL483" i="1" s="1"/>
  <c r="BB483" i="1" s="1"/>
  <c r="AJ483" i="1"/>
  <c r="AI483" i="1"/>
  <c r="AG483" i="1"/>
  <c r="AH483" i="1" s="1"/>
  <c r="BA483" i="1" s="1"/>
  <c r="AD483" i="1"/>
  <c r="BP482" i="1"/>
  <c r="BM482" i="1"/>
  <c r="BH482" i="1"/>
  <c r="AZ482" i="1"/>
  <c r="AY482" i="1"/>
  <c r="AW482" i="1"/>
  <c r="AX482" i="1" s="1"/>
  <c r="BE482" i="1" s="1"/>
  <c r="AV482" i="1"/>
  <c r="AU482" i="1"/>
  <c r="AS482" i="1"/>
  <c r="AT482" i="1" s="1"/>
  <c r="AQ482" i="1"/>
  <c r="AR482" i="1" s="1"/>
  <c r="AO482" i="1"/>
  <c r="AP482" i="1" s="1"/>
  <c r="BC482" i="1" s="1"/>
  <c r="AN482" i="1"/>
  <c r="AM482" i="1"/>
  <c r="AK482" i="1"/>
  <c r="AL482" i="1" s="1"/>
  <c r="BB482" i="1" s="1"/>
  <c r="AJ482" i="1"/>
  <c r="AI482" i="1"/>
  <c r="AG482" i="1"/>
  <c r="AH482" i="1" s="1"/>
  <c r="AD482" i="1"/>
  <c r="BP481" i="1"/>
  <c r="BM481" i="1"/>
  <c r="BH481" i="1"/>
  <c r="BD481" i="1"/>
  <c r="AY481" i="1"/>
  <c r="AZ481" i="1" s="1"/>
  <c r="AX481" i="1"/>
  <c r="AW481" i="1"/>
  <c r="AV481" i="1"/>
  <c r="AU481" i="1"/>
  <c r="AT481" i="1"/>
  <c r="AS481" i="1"/>
  <c r="AR481" i="1"/>
  <c r="AQ481" i="1"/>
  <c r="AO481" i="1"/>
  <c r="AP481" i="1" s="1"/>
  <c r="BC481" i="1" s="1"/>
  <c r="AM481" i="1"/>
  <c r="AN481" i="1" s="1"/>
  <c r="AK481" i="1"/>
  <c r="AL481" i="1" s="1"/>
  <c r="BB481" i="1" s="1"/>
  <c r="AJ481" i="1"/>
  <c r="AI481" i="1"/>
  <c r="AH481" i="1"/>
  <c r="AG481" i="1"/>
  <c r="AD481" i="1"/>
  <c r="BP480" i="1"/>
  <c r="BM480" i="1"/>
  <c r="BH480" i="1"/>
  <c r="AY480" i="1"/>
  <c r="AZ480" i="1" s="1"/>
  <c r="AX480" i="1"/>
  <c r="AW480" i="1"/>
  <c r="AU480" i="1"/>
  <c r="AV480" i="1" s="1"/>
  <c r="AS480" i="1"/>
  <c r="AT480" i="1" s="1"/>
  <c r="AQ480" i="1"/>
  <c r="AR480" i="1" s="1"/>
  <c r="AP480" i="1"/>
  <c r="AO480" i="1"/>
  <c r="AM480" i="1"/>
  <c r="AN480" i="1" s="1"/>
  <c r="AL480" i="1"/>
  <c r="AK480" i="1"/>
  <c r="AI480" i="1"/>
  <c r="AJ480" i="1" s="1"/>
  <c r="AG480" i="1"/>
  <c r="AH480" i="1" s="1"/>
  <c r="BA480" i="1" s="1"/>
  <c r="AD480" i="1"/>
  <c r="BP479" i="1"/>
  <c r="BM479" i="1"/>
  <c r="BH479" i="1"/>
  <c r="AY479" i="1"/>
  <c r="AZ479" i="1" s="1"/>
  <c r="AX479" i="1"/>
  <c r="AW479" i="1"/>
  <c r="AV479" i="1"/>
  <c r="AU479" i="1"/>
  <c r="AT479" i="1"/>
  <c r="BD479" i="1" s="1"/>
  <c r="AS479" i="1"/>
  <c r="AQ479" i="1"/>
  <c r="AR479" i="1" s="1"/>
  <c r="BC479" i="1" s="1"/>
  <c r="AO479" i="1"/>
  <c r="AP479" i="1" s="1"/>
  <c r="AN479" i="1"/>
  <c r="AM479" i="1"/>
  <c r="AL479" i="1"/>
  <c r="AK479" i="1"/>
  <c r="AJ479" i="1"/>
  <c r="AI479" i="1"/>
  <c r="AH479" i="1"/>
  <c r="AG479" i="1"/>
  <c r="AD479" i="1"/>
  <c r="BP478" i="1"/>
  <c r="BM478" i="1"/>
  <c r="BH478" i="1"/>
  <c r="AZ478" i="1"/>
  <c r="AY478" i="1"/>
  <c r="AX478" i="1"/>
  <c r="AW478" i="1"/>
  <c r="AV478" i="1"/>
  <c r="AU478" i="1"/>
  <c r="AT478" i="1"/>
  <c r="BD478" i="1" s="1"/>
  <c r="AS478" i="1"/>
  <c r="AQ478" i="1"/>
  <c r="AR478" i="1" s="1"/>
  <c r="AO478" i="1"/>
  <c r="AP478" i="1" s="1"/>
  <c r="BC478" i="1" s="1"/>
  <c r="AN478" i="1"/>
  <c r="AM478" i="1"/>
  <c r="AL478" i="1"/>
  <c r="AK478" i="1"/>
  <c r="AJ478" i="1"/>
  <c r="AI478" i="1"/>
  <c r="AH478" i="1"/>
  <c r="BA478" i="1" s="1"/>
  <c r="AG478" i="1"/>
  <c r="AD478" i="1"/>
  <c r="BP477" i="1"/>
  <c r="BM477" i="1"/>
  <c r="BH477" i="1"/>
  <c r="AZ477" i="1"/>
  <c r="AY477" i="1"/>
  <c r="AX477" i="1"/>
  <c r="AW477" i="1"/>
  <c r="AV477" i="1"/>
  <c r="AU477" i="1"/>
  <c r="AT477" i="1"/>
  <c r="AS477" i="1"/>
  <c r="AQ477" i="1"/>
  <c r="AR477" i="1" s="1"/>
  <c r="AO477" i="1"/>
  <c r="AP477" i="1" s="1"/>
  <c r="AM477" i="1"/>
  <c r="AN477" i="1" s="1"/>
  <c r="AL477" i="1"/>
  <c r="AK477" i="1"/>
  <c r="AJ477" i="1"/>
  <c r="AI477" i="1"/>
  <c r="AH477" i="1"/>
  <c r="BA477" i="1" s="1"/>
  <c r="AG477" i="1"/>
  <c r="AD477" i="1"/>
  <c r="BP476" i="1"/>
  <c r="BM476" i="1"/>
  <c r="BH476" i="1"/>
  <c r="AZ476" i="1"/>
  <c r="AY476" i="1"/>
  <c r="AW476" i="1"/>
  <c r="AX476" i="1" s="1"/>
  <c r="AU476" i="1"/>
  <c r="AV476" i="1" s="1"/>
  <c r="AS476" i="1"/>
  <c r="AT476" i="1" s="1"/>
  <c r="AR476" i="1"/>
  <c r="AQ476" i="1"/>
  <c r="AO476" i="1"/>
  <c r="AP476" i="1" s="1"/>
  <c r="BC476" i="1" s="1"/>
  <c r="AN476" i="1"/>
  <c r="BB476" i="1" s="1"/>
  <c r="AM476" i="1"/>
  <c r="AK476" i="1"/>
  <c r="AL476" i="1" s="1"/>
  <c r="AI476" i="1"/>
  <c r="AJ476" i="1" s="1"/>
  <c r="AG476" i="1"/>
  <c r="AH476" i="1" s="1"/>
  <c r="BA476" i="1" s="1"/>
  <c r="AD476" i="1"/>
  <c r="BP475" i="1"/>
  <c r="BM475" i="1"/>
  <c r="BH475" i="1"/>
  <c r="AZ475" i="1"/>
  <c r="AY475" i="1"/>
  <c r="AX475" i="1"/>
  <c r="AW475" i="1"/>
  <c r="AV475" i="1"/>
  <c r="AU475" i="1"/>
  <c r="AS475" i="1"/>
  <c r="AT475" i="1" s="1"/>
  <c r="BD475" i="1" s="1"/>
  <c r="AQ475" i="1"/>
  <c r="AR475" i="1" s="1"/>
  <c r="AO475" i="1"/>
  <c r="AP475" i="1" s="1"/>
  <c r="AN475" i="1"/>
  <c r="AM475" i="1"/>
  <c r="AL475" i="1"/>
  <c r="AK475" i="1"/>
  <c r="AJ475" i="1"/>
  <c r="AI475" i="1"/>
  <c r="AG475" i="1"/>
  <c r="AH475" i="1" s="1"/>
  <c r="AD475" i="1"/>
  <c r="BP474" i="1"/>
  <c r="BM474" i="1"/>
  <c r="BH474" i="1"/>
  <c r="AY474" i="1"/>
  <c r="AZ474" i="1" s="1"/>
  <c r="AW474" i="1"/>
  <c r="AX474" i="1" s="1"/>
  <c r="AU474" i="1"/>
  <c r="AV474" i="1" s="1"/>
  <c r="AT474" i="1"/>
  <c r="AS474" i="1"/>
  <c r="AQ474" i="1"/>
  <c r="AR474" i="1" s="1"/>
  <c r="AP474" i="1"/>
  <c r="AO474" i="1"/>
  <c r="AM474" i="1"/>
  <c r="AN474" i="1" s="1"/>
  <c r="AK474" i="1"/>
  <c r="AL474" i="1" s="1"/>
  <c r="BB474" i="1" s="1"/>
  <c r="AI474" i="1"/>
  <c r="AJ474" i="1" s="1"/>
  <c r="AH474" i="1"/>
  <c r="AG474" i="1"/>
  <c r="AD474" i="1"/>
  <c r="BP473" i="1"/>
  <c r="BM473" i="1"/>
  <c r="BH473" i="1"/>
  <c r="AY473" i="1"/>
  <c r="AZ473" i="1" s="1"/>
  <c r="AW473" i="1"/>
  <c r="AX473" i="1" s="1"/>
  <c r="AU473" i="1"/>
  <c r="AV473" i="1" s="1"/>
  <c r="BD473" i="1" s="1"/>
  <c r="AT473" i="1"/>
  <c r="AS473" i="1"/>
  <c r="AQ473" i="1"/>
  <c r="AR473" i="1" s="1"/>
  <c r="AP473" i="1"/>
  <c r="AO473" i="1"/>
  <c r="AM473" i="1"/>
  <c r="AN473" i="1" s="1"/>
  <c r="AK473" i="1"/>
  <c r="AL473" i="1" s="1"/>
  <c r="AI473" i="1"/>
  <c r="AJ473" i="1" s="1"/>
  <c r="AH473" i="1"/>
  <c r="AG473" i="1"/>
  <c r="AD473" i="1"/>
  <c r="BP472" i="1"/>
  <c r="BM472" i="1"/>
  <c r="BH472" i="1"/>
  <c r="AY472" i="1"/>
  <c r="AZ472" i="1" s="1"/>
  <c r="AW472" i="1"/>
  <c r="AX472" i="1" s="1"/>
  <c r="AU472" i="1"/>
  <c r="AV472" i="1" s="1"/>
  <c r="AT472" i="1"/>
  <c r="AS472" i="1"/>
  <c r="AQ472" i="1"/>
  <c r="AR472" i="1" s="1"/>
  <c r="AP472" i="1"/>
  <c r="AO472" i="1"/>
  <c r="AM472" i="1"/>
  <c r="AN472" i="1" s="1"/>
  <c r="AK472" i="1"/>
  <c r="AL472" i="1" s="1"/>
  <c r="AI472" i="1"/>
  <c r="AJ472" i="1" s="1"/>
  <c r="AH472" i="1"/>
  <c r="AG472" i="1"/>
  <c r="AD472" i="1"/>
  <c r="BP471" i="1"/>
  <c r="BM471" i="1"/>
  <c r="BH471" i="1"/>
  <c r="AZ471" i="1"/>
  <c r="AY471" i="1"/>
  <c r="AX471" i="1"/>
  <c r="AW471" i="1"/>
  <c r="AU471" i="1"/>
  <c r="AV471" i="1" s="1"/>
  <c r="AS471" i="1"/>
  <c r="AT471" i="1" s="1"/>
  <c r="BD471" i="1" s="1"/>
  <c r="AR471" i="1"/>
  <c r="BC471" i="1" s="1"/>
  <c r="AQ471" i="1"/>
  <c r="AP471" i="1"/>
  <c r="AO471" i="1"/>
  <c r="AN471" i="1"/>
  <c r="AM471" i="1"/>
  <c r="AL471" i="1"/>
  <c r="AK471" i="1"/>
  <c r="AI471" i="1"/>
  <c r="AJ471" i="1" s="1"/>
  <c r="AG471" i="1"/>
  <c r="AH471" i="1" s="1"/>
  <c r="AD471" i="1"/>
  <c r="BP470" i="1"/>
  <c r="BM470" i="1"/>
  <c r="BH470" i="1"/>
  <c r="AZ470" i="1"/>
  <c r="AY470" i="1"/>
  <c r="AX470" i="1"/>
  <c r="BE470" i="1" s="1"/>
  <c r="AW470" i="1"/>
  <c r="AU470" i="1"/>
  <c r="AV470" i="1" s="1"/>
  <c r="AS470" i="1"/>
  <c r="AT470" i="1" s="1"/>
  <c r="AR470" i="1"/>
  <c r="AQ470" i="1"/>
  <c r="AP470" i="1"/>
  <c r="AO470" i="1"/>
  <c r="AN470" i="1"/>
  <c r="AM470" i="1"/>
  <c r="AL470" i="1"/>
  <c r="BB470" i="1" s="1"/>
  <c r="AK470" i="1"/>
  <c r="AI470" i="1"/>
  <c r="AJ470" i="1" s="1"/>
  <c r="AG470" i="1"/>
  <c r="AH470" i="1" s="1"/>
  <c r="AD470" i="1"/>
  <c r="BP469" i="1"/>
  <c r="BM469" i="1"/>
  <c r="BH469" i="1"/>
  <c r="AY469" i="1"/>
  <c r="AZ469" i="1" s="1"/>
  <c r="AW469" i="1"/>
  <c r="AX469" i="1" s="1"/>
  <c r="AV469" i="1"/>
  <c r="AU469" i="1"/>
  <c r="AS469" i="1"/>
  <c r="AT469" i="1" s="1"/>
  <c r="BD469" i="1" s="1"/>
  <c r="AR469" i="1"/>
  <c r="AQ469" i="1"/>
  <c r="AO469" i="1"/>
  <c r="AP469" i="1" s="1"/>
  <c r="AM469" i="1"/>
  <c r="AN469" i="1" s="1"/>
  <c r="AK469" i="1"/>
  <c r="AL469" i="1" s="1"/>
  <c r="AJ469" i="1"/>
  <c r="AI469" i="1"/>
  <c r="AG469" i="1"/>
  <c r="AH469" i="1" s="1"/>
  <c r="AD469" i="1"/>
  <c r="BP468" i="1"/>
  <c r="BM468" i="1"/>
  <c r="BH468" i="1"/>
  <c r="AY468" i="1"/>
  <c r="AZ468" i="1" s="1"/>
  <c r="AW468" i="1"/>
  <c r="AX468" i="1" s="1"/>
  <c r="AV468" i="1"/>
  <c r="AU468" i="1"/>
  <c r="AS468" i="1"/>
  <c r="AT468" i="1" s="1"/>
  <c r="BD468" i="1" s="1"/>
  <c r="AR468" i="1"/>
  <c r="AQ468" i="1"/>
  <c r="AO468" i="1"/>
  <c r="AP468" i="1" s="1"/>
  <c r="AM468" i="1"/>
  <c r="AN468" i="1" s="1"/>
  <c r="AK468" i="1"/>
  <c r="AL468" i="1" s="1"/>
  <c r="BB468" i="1" s="1"/>
  <c r="AJ468" i="1"/>
  <c r="AI468" i="1"/>
  <c r="AG468" i="1"/>
  <c r="AH468" i="1" s="1"/>
  <c r="BA468" i="1" s="1"/>
  <c r="AD468" i="1"/>
  <c r="BP467" i="1"/>
  <c r="BM467" i="1"/>
  <c r="BH467" i="1"/>
  <c r="AY467" i="1"/>
  <c r="AZ467" i="1" s="1"/>
  <c r="AW467" i="1"/>
  <c r="AX467" i="1" s="1"/>
  <c r="AV467" i="1"/>
  <c r="AU467" i="1"/>
  <c r="AS467" i="1"/>
  <c r="AT467" i="1" s="1"/>
  <c r="AR467" i="1"/>
  <c r="AQ467" i="1"/>
  <c r="AO467" i="1"/>
  <c r="AP467" i="1" s="1"/>
  <c r="AM467" i="1"/>
  <c r="AN467" i="1" s="1"/>
  <c r="AK467" i="1"/>
  <c r="AL467" i="1" s="1"/>
  <c r="AJ467" i="1"/>
  <c r="AI467" i="1"/>
  <c r="AG467" i="1"/>
  <c r="AH467" i="1" s="1"/>
  <c r="BA467" i="1" s="1"/>
  <c r="AD467" i="1"/>
  <c r="BP466" i="1"/>
  <c r="BM466" i="1"/>
  <c r="BH466" i="1"/>
  <c r="AZ466" i="1"/>
  <c r="AY466" i="1"/>
  <c r="AW466" i="1"/>
  <c r="AX466" i="1" s="1"/>
  <c r="BE466" i="1" s="1"/>
  <c r="AU466" i="1"/>
  <c r="AV466" i="1" s="1"/>
  <c r="AS466" i="1"/>
  <c r="AT466" i="1" s="1"/>
  <c r="BD466" i="1" s="1"/>
  <c r="AR466" i="1"/>
  <c r="AQ466" i="1"/>
  <c r="AP466" i="1"/>
  <c r="AO466" i="1"/>
  <c r="AN466" i="1"/>
  <c r="AM466" i="1"/>
  <c r="AK466" i="1"/>
  <c r="AL466" i="1" s="1"/>
  <c r="AI466" i="1"/>
  <c r="AJ466" i="1" s="1"/>
  <c r="AH466" i="1"/>
  <c r="BA466" i="1" s="1"/>
  <c r="AG466" i="1"/>
  <c r="AD466" i="1"/>
  <c r="BP465" i="1"/>
  <c r="BM465" i="1"/>
  <c r="BH465" i="1"/>
  <c r="AY465" i="1"/>
  <c r="AZ465" i="1" s="1"/>
  <c r="AX465" i="1"/>
  <c r="AW465" i="1"/>
  <c r="AU465" i="1"/>
  <c r="AV465" i="1" s="1"/>
  <c r="AT465" i="1"/>
  <c r="BD465" i="1" s="1"/>
  <c r="AS465" i="1"/>
  <c r="AQ465" i="1"/>
  <c r="AR465" i="1" s="1"/>
  <c r="AP465" i="1"/>
  <c r="AO465" i="1"/>
  <c r="AN465" i="1"/>
  <c r="AM465" i="1"/>
  <c r="AK465" i="1"/>
  <c r="AL465" i="1" s="1"/>
  <c r="AI465" i="1"/>
  <c r="AJ465" i="1" s="1"/>
  <c r="AG465" i="1"/>
  <c r="AH465" i="1" s="1"/>
  <c r="BA465" i="1" s="1"/>
  <c r="AD465" i="1"/>
  <c r="BP464" i="1"/>
  <c r="BM464" i="1"/>
  <c r="BH464" i="1"/>
  <c r="AZ464" i="1"/>
  <c r="AY464" i="1"/>
  <c r="AW464" i="1"/>
  <c r="AX464" i="1" s="1"/>
  <c r="AV464" i="1"/>
  <c r="AU464" i="1"/>
  <c r="AS464" i="1"/>
  <c r="AT464" i="1" s="1"/>
  <c r="BD464" i="1" s="1"/>
  <c r="AR464" i="1"/>
  <c r="AQ464" i="1"/>
  <c r="AO464" i="1"/>
  <c r="AP464" i="1" s="1"/>
  <c r="AN464" i="1"/>
  <c r="AM464" i="1"/>
  <c r="AL464" i="1"/>
  <c r="BB464" i="1" s="1"/>
  <c r="AK464" i="1"/>
  <c r="AI464" i="1"/>
  <c r="AJ464" i="1" s="1"/>
  <c r="AG464" i="1"/>
  <c r="AH464" i="1" s="1"/>
  <c r="AD464" i="1"/>
  <c r="BP463" i="1"/>
  <c r="BM463" i="1"/>
  <c r="BH463" i="1"/>
  <c r="AY463" i="1"/>
  <c r="AZ463" i="1" s="1"/>
  <c r="AW463" i="1"/>
  <c r="AX463" i="1" s="1"/>
  <c r="BE463" i="1" s="1"/>
  <c r="AU463" i="1"/>
  <c r="AV463" i="1" s="1"/>
  <c r="AS463" i="1"/>
  <c r="AT463" i="1" s="1"/>
  <c r="AR463" i="1"/>
  <c r="AQ463" i="1"/>
  <c r="AO463" i="1"/>
  <c r="AP463" i="1" s="1"/>
  <c r="AM463" i="1"/>
  <c r="AN463" i="1" s="1"/>
  <c r="AK463" i="1"/>
  <c r="AL463" i="1" s="1"/>
  <c r="AI463" i="1"/>
  <c r="AJ463" i="1" s="1"/>
  <c r="AG463" i="1"/>
  <c r="AH463" i="1" s="1"/>
  <c r="AD463" i="1"/>
  <c r="BP462" i="1"/>
  <c r="BM462" i="1"/>
  <c r="BH462" i="1"/>
  <c r="AZ462" i="1"/>
  <c r="AY462" i="1"/>
  <c r="AW462" i="1"/>
  <c r="AX462" i="1" s="1"/>
  <c r="AU462" i="1"/>
  <c r="AV462" i="1" s="1"/>
  <c r="AS462" i="1"/>
  <c r="AT462" i="1" s="1"/>
  <c r="AQ462" i="1"/>
  <c r="AR462" i="1" s="1"/>
  <c r="AP462" i="1"/>
  <c r="AO462" i="1"/>
  <c r="AM462" i="1"/>
  <c r="AN462" i="1" s="1"/>
  <c r="AK462" i="1"/>
  <c r="AL462" i="1" s="1"/>
  <c r="AI462" i="1"/>
  <c r="AJ462" i="1" s="1"/>
  <c r="AG462" i="1"/>
  <c r="AH462" i="1" s="1"/>
  <c r="BA462" i="1" s="1"/>
  <c r="AD462" i="1"/>
  <c r="BP461" i="1"/>
  <c r="BM461" i="1"/>
  <c r="BH461" i="1"/>
  <c r="AY461" i="1"/>
  <c r="AZ461" i="1" s="1"/>
  <c r="AX461" i="1"/>
  <c r="AW461" i="1"/>
  <c r="AU461" i="1"/>
  <c r="AV461" i="1" s="1"/>
  <c r="AS461" i="1"/>
  <c r="AT461" i="1" s="1"/>
  <c r="BD461" i="1" s="1"/>
  <c r="AQ461" i="1"/>
  <c r="AR461" i="1" s="1"/>
  <c r="AO461" i="1"/>
  <c r="AP461" i="1" s="1"/>
  <c r="AN461" i="1"/>
  <c r="AM461" i="1"/>
  <c r="AK461" i="1"/>
  <c r="AL461" i="1" s="1"/>
  <c r="BB461" i="1" s="1"/>
  <c r="AI461" i="1"/>
  <c r="AJ461" i="1" s="1"/>
  <c r="AG461" i="1"/>
  <c r="AH461" i="1" s="1"/>
  <c r="AD461" i="1"/>
  <c r="BP460" i="1"/>
  <c r="BM460" i="1"/>
  <c r="BH460" i="1"/>
  <c r="AZ460" i="1"/>
  <c r="AY460" i="1"/>
  <c r="AW460" i="1"/>
  <c r="AX460" i="1" s="1"/>
  <c r="BE460" i="1" s="1"/>
  <c r="AV460" i="1"/>
  <c r="AU460" i="1"/>
  <c r="AS460" i="1"/>
  <c r="AT460" i="1" s="1"/>
  <c r="BD460" i="1" s="1"/>
  <c r="AQ460" i="1"/>
  <c r="AR460" i="1" s="1"/>
  <c r="AO460" i="1"/>
  <c r="AP460" i="1" s="1"/>
  <c r="AM460" i="1"/>
  <c r="AN460" i="1" s="1"/>
  <c r="AL460" i="1"/>
  <c r="AK460" i="1"/>
  <c r="AJ460" i="1"/>
  <c r="AI460" i="1"/>
  <c r="AG460" i="1"/>
  <c r="AH460" i="1" s="1"/>
  <c r="AD460" i="1"/>
  <c r="BP459" i="1"/>
  <c r="BM459" i="1"/>
  <c r="BH459" i="1"/>
  <c r="AY459" i="1"/>
  <c r="AZ459" i="1" s="1"/>
  <c r="AX459" i="1"/>
  <c r="AW459" i="1"/>
  <c r="AU459" i="1"/>
  <c r="AV459" i="1" s="1"/>
  <c r="AS459" i="1"/>
  <c r="AT459" i="1" s="1"/>
  <c r="AQ459" i="1"/>
  <c r="AR459" i="1" s="1"/>
  <c r="AO459" i="1"/>
  <c r="AP459" i="1" s="1"/>
  <c r="AM459" i="1"/>
  <c r="AN459" i="1" s="1"/>
  <c r="AL459" i="1"/>
  <c r="AK459" i="1"/>
  <c r="AI459" i="1"/>
  <c r="AJ459" i="1" s="1"/>
  <c r="AG459" i="1"/>
  <c r="AH459" i="1" s="1"/>
  <c r="BA459" i="1" s="1"/>
  <c r="AD459" i="1"/>
  <c r="BP458" i="1"/>
  <c r="BM458" i="1"/>
  <c r="BH458" i="1"/>
  <c r="AY458" i="1"/>
  <c r="AZ458" i="1" s="1"/>
  <c r="AX458" i="1"/>
  <c r="AW458" i="1"/>
  <c r="AV458" i="1"/>
  <c r="AU458" i="1"/>
  <c r="AT458" i="1"/>
  <c r="BD458" i="1" s="1"/>
  <c r="AS458" i="1"/>
  <c r="AR458" i="1"/>
  <c r="AQ458" i="1"/>
  <c r="AP458" i="1"/>
  <c r="BC458" i="1" s="1"/>
  <c r="AO458" i="1"/>
  <c r="AM458" i="1"/>
  <c r="AN458" i="1" s="1"/>
  <c r="AL458" i="1"/>
  <c r="AK458" i="1"/>
  <c r="AJ458" i="1"/>
  <c r="AI458" i="1"/>
  <c r="AH458" i="1"/>
  <c r="AG458" i="1"/>
  <c r="AD458" i="1"/>
  <c r="BP457" i="1"/>
  <c r="BM457" i="1"/>
  <c r="BH457" i="1"/>
  <c r="AZ457" i="1"/>
  <c r="AY457" i="1"/>
  <c r="AW457" i="1"/>
  <c r="AX457" i="1" s="1"/>
  <c r="AU457" i="1"/>
  <c r="AV457" i="1" s="1"/>
  <c r="AS457" i="1"/>
  <c r="AT457" i="1" s="1"/>
  <c r="AQ457" i="1"/>
  <c r="AR457" i="1" s="1"/>
  <c r="AP457" i="1"/>
  <c r="AO457" i="1"/>
  <c r="AN457" i="1"/>
  <c r="AM457" i="1"/>
  <c r="AK457" i="1"/>
  <c r="AL457" i="1" s="1"/>
  <c r="AI457" i="1"/>
  <c r="AJ457" i="1" s="1"/>
  <c r="AG457" i="1"/>
  <c r="AH457" i="1" s="1"/>
  <c r="AD457" i="1"/>
  <c r="BP456" i="1"/>
  <c r="BM456" i="1"/>
  <c r="BH456" i="1"/>
  <c r="AY456" i="1"/>
  <c r="AZ456" i="1" s="1"/>
  <c r="AX456" i="1"/>
  <c r="BE456" i="1" s="1"/>
  <c r="AW456" i="1"/>
  <c r="AV456" i="1"/>
  <c r="AU456" i="1"/>
  <c r="AT456" i="1"/>
  <c r="AS456" i="1"/>
  <c r="AR456" i="1"/>
  <c r="AQ456" i="1"/>
  <c r="AO456" i="1"/>
  <c r="AP456" i="1" s="1"/>
  <c r="BC456" i="1" s="1"/>
  <c r="AM456" i="1"/>
  <c r="AN456" i="1" s="1"/>
  <c r="AL456" i="1"/>
  <c r="BB456" i="1" s="1"/>
  <c r="AK456" i="1"/>
  <c r="AJ456" i="1"/>
  <c r="AI456" i="1"/>
  <c r="AH456" i="1"/>
  <c r="AG456" i="1"/>
  <c r="AD456" i="1"/>
  <c r="BP455" i="1"/>
  <c r="BM455" i="1"/>
  <c r="BH455" i="1"/>
  <c r="AZ455" i="1"/>
  <c r="AY455" i="1"/>
  <c r="AX455" i="1"/>
  <c r="AW455" i="1"/>
  <c r="AV455" i="1"/>
  <c r="BD455" i="1" s="1"/>
  <c r="AU455" i="1"/>
  <c r="AT455" i="1"/>
  <c r="AS455" i="1"/>
  <c r="AR455" i="1"/>
  <c r="BC455" i="1" s="1"/>
  <c r="AQ455" i="1"/>
  <c r="AO455" i="1"/>
  <c r="AP455" i="1" s="1"/>
  <c r="AM455" i="1"/>
  <c r="AN455" i="1" s="1"/>
  <c r="AL455" i="1"/>
  <c r="AK455" i="1"/>
  <c r="AJ455" i="1"/>
  <c r="AI455" i="1"/>
  <c r="AH455" i="1"/>
  <c r="AG455" i="1"/>
  <c r="AD455" i="1"/>
  <c r="BP454" i="1"/>
  <c r="BM454" i="1"/>
  <c r="BH454" i="1"/>
  <c r="AY454" i="1"/>
  <c r="AZ454" i="1" s="1"/>
  <c r="AX454" i="1"/>
  <c r="BE454" i="1" s="1"/>
  <c r="AW454" i="1"/>
  <c r="AU454" i="1"/>
  <c r="AV454" i="1" s="1"/>
  <c r="AS454" i="1"/>
  <c r="AT454" i="1" s="1"/>
  <c r="AR454" i="1"/>
  <c r="AQ454" i="1"/>
  <c r="AO454" i="1"/>
  <c r="AP454" i="1" s="1"/>
  <c r="AN454" i="1"/>
  <c r="AM454" i="1"/>
  <c r="AK454" i="1"/>
  <c r="AL454" i="1" s="1"/>
  <c r="BB454" i="1" s="1"/>
  <c r="AI454" i="1"/>
  <c r="AJ454" i="1" s="1"/>
  <c r="AH454" i="1"/>
  <c r="AG454" i="1"/>
  <c r="AD454" i="1"/>
  <c r="BP453" i="1"/>
  <c r="BM453" i="1"/>
  <c r="BH453" i="1"/>
  <c r="AZ453" i="1"/>
  <c r="AY453" i="1"/>
  <c r="AX453" i="1"/>
  <c r="AW453" i="1"/>
  <c r="AU453" i="1"/>
  <c r="AV453" i="1" s="1"/>
  <c r="AT453" i="1"/>
  <c r="BD453" i="1" s="1"/>
  <c r="AS453" i="1"/>
  <c r="AR453" i="1"/>
  <c r="AQ453" i="1"/>
  <c r="AP453" i="1"/>
  <c r="AO453" i="1"/>
  <c r="AM453" i="1"/>
  <c r="AN453" i="1" s="1"/>
  <c r="AL453" i="1"/>
  <c r="AK453" i="1"/>
  <c r="AI453" i="1"/>
  <c r="AJ453" i="1" s="1"/>
  <c r="AH453" i="1"/>
  <c r="AG453" i="1"/>
  <c r="AD453" i="1"/>
  <c r="BP452" i="1"/>
  <c r="BM452" i="1"/>
  <c r="BH452" i="1"/>
  <c r="AY452" i="1"/>
  <c r="AZ452" i="1" s="1"/>
  <c r="AW452" i="1"/>
  <c r="AX452" i="1" s="1"/>
  <c r="AU452" i="1"/>
  <c r="AV452" i="1" s="1"/>
  <c r="AT452" i="1"/>
  <c r="AS452" i="1"/>
  <c r="AQ452" i="1"/>
  <c r="AR452" i="1" s="1"/>
  <c r="AO452" i="1"/>
  <c r="AP452" i="1" s="1"/>
  <c r="AN452" i="1"/>
  <c r="AM452" i="1"/>
  <c r="AK452" i="1"/>
  <c r="AL452" i="1" s="1"/>
  <c r="BB452" i="1" s="1"/>
  <c r="AJ452" i="1"/>
  <c r="AI452" i="1"/>
  <c r="AG452" i="1"/>
  <c r="AH452" i="1" s="1"/>
  <c r="AD452" i="1"/>
  <c r="BP451" i="1"/>
  <c r="BM451" i="1"/>
  <c r="BH451" i="1"/>
  <c r="AZ451" i="1"/>
  <c r="AY451" i="1"/>
  <c r="AW451" i="1"/>
  <c r="AX451" i="1" s="1"/>
  <c r="BE451" i="1" s="1"/>
  <c r="AU451" i="1"/>
  <c r="AV451" i="1" s="1"/>
  <c r="AT451" i="1"/>
  <c r="AS451" i="1"/>
  <c r="AQ451" i="1"/>
  <c r="AR451" i="1" s="1"/>
  <c r="AO451" i="1"/>
  <c r="AP451" i="1" s="1"/>
  <c r="AN451" i="1"/>
  <c r="AM451" i="1"/>
  <c r="AK451" i="1"/>
  <c r="AL451" i="1" s="1"/>
  <c r="BB451" i="1" s="1"/>
  <c r="AI451" i="1"/>
  <c r="AJ451" i="1" s="1"/>
  <c r="AH451" i="1"/>
  <c r="BA451" i="1" s="1"/>
  <c r="AG451" i="1"/>
  <c r="AD451" i="1"/>
  <c r="BP450" i="1"/>
  <c r="BM450" i="1"/>
  <c r="BH450" i="1"/>
  <c r="AY450" i="1"/>
  <c r="AZ450" i="1" s="1"/>
  <c r="AX450" i="1"/>
  <c r="AW450" i="1"/>
  <c r="AU450" i="1"/>
  <c r="AV450" i="1" s="1"/>
  <c r="AS450" i="1"/>
  <c r="AT450" i="1" s="1"/>
  <c r="AQ450" i="1"/>
  <c r="AR450" i="1" s="1"/>
  <c r="AO450" i="1"/>
  <c r="AP450" i="1" s="1"/>
  <c r="BC450" i="1" s="1"/>
  <c r="AN450" i="1"/>
  <c r="AM450" i="1"/>
  <c r="AK450" i="1"/>
  <c r="AL450" i="1" s="1"/>
  <c r="AJ450" i="1"/>
  <c r="AI450" i="1"/>
  <c r="AG450" i="1"/>
  <c r="AH450" i="1" s="1"/>
  <c r="BA450" i="1" s="1"/>
  <c r="AD450" i="1"/>
  <c r="BH449" i="1"/>
  <c r="BC449" i="1"/>
  <c r="AY449" i="1"/>
  <c r="AZ449" i="1" s="1"/>
  <c r="AW449" i="1"/>
  <c r="AU449" i="1"/>
  <c r="AV449" i="1" s="1"/>
  <c r="AS449" i="1"/>
  <c r="AM449" i="1"/>
  <c r="AK449" i="1"/>
  <c r="AJ449" i="1"/>
  <c r="AI449" i="1"/>
  <c r="AG449" i="1"/>
  <c r="AF449" i="1"/>
  <c r="AD449" i="1"/>
  <c r="BH448" i="1"/>
  <c r="BC448" i="1"/>
  <c r="AY448" i="1"/>
  <c r="AW448" i="1"/>
  <c r="AU448" i="1"/>
  <c r="AS448" i="1"/>
  <c r="AM448" i="1"/>
  <c r="AN448" i="1" s="1"/>
  <c r="AK448" i="1"/>
  <c r="AI448" i="1"/>
  <c r="AJ448" i="1" s="1"/>
  <c r="AG448" i="1"/>
  <c r="AF448" i="1"/>
  <c r="AV448" i="1" s="1"/>
  <c r="AD448" i="1"/>
  <c r="BH447" i="1"/>
  <c r="BC447" i="1"/>
  <c r="AY447" i="1"/>
  <c r="AW447" i="1"/>
  <c r="AX447" i="1" s="1"/>
  <c r="AV447" i="1"/>
  <c r="AU447" i="1"/>
  <c r="AS447" i="1"/>
  <c r="AM447" i="1"/>
  <c r="AN447" i="1" s="1"/>
  <c r="BB447" i="1" s="1"/>
  <c r="AK447" i="1"/>
  <c r="AL447" i="1" s="1"/>
  <c r="AJ447" i="1"/>
  <c r="AI447" i="1"/>
  <c r="AG447" i="1"/>
  <c r="AH447" i="1" s="1"/>
  <c r="AF447" i="1"/>
  <c r="AD447" i="1"/>
  <c r="BP446" i="1"/>
  <c r="BM446" i="1"/>
  <c r="BH446" i="1"/>
  <c r="AZ446" i="1"/>
  <c r="AY446" i="1"/>
  <c r="AX446" i="1"/>
  <c r="AW446" i="1"/>
  <c r="AV446" i="1"/>
  <c r="BD446" i="1" s="1"/>
  <c r="AU446" i="1"/>
  <c r="AT446" i="1"/>
  <c r="AS446" i="1"/>
  <c r="AR446" i="1"/>
  <c r="AQ446" i="1"/>
  <c r="AO446" i="1"/>
  <c r="AP446" i="1" s="1"/>
  <c r="AN446" i="1"/>
  <c r="AM446" i="1"/>
  <c r="AL446" i="1"/>
  <c r="AK446" i="1"/>
  <c r="AJ446" i="1"/>
  <c r="AI446" i="1"/>
  <c r="AH446" i="1"/>
  <c r="AG446" i="1"/>
  <c r="AD446" i="1"/>
  <c r="BP445" i="1"/>
  <c r="BM445" i="1"/>
  <c r="BH445" i="1"/>
  <c r="AZ445" i="1"/>
  <c r="AY445" i="1"/>
  <c r="AW445" i="1"/>
  <c r="AX445" i="1" s="1"/>
  <c r="BE445" i="1" s="1"/>
  <c r="AU445" i="1"/>
  <c r="AV445" i="1" s="1"/>
  <c r="AT445" i="1"/>
  <c r="AS445" i="1"/>
  <c r="AQ445" i="1"/>
  <c r="AR445" i="1" s="1"/>
  <c r="AO445" i="1"/>
  <c r="AP445" i="1" s="1"/>
  <c r="AM445" i="1"/>
  <c r="AN445" i="1" s="1"/>
  <c r="AL445" i="1"/>
  <c r="AK445" i="1"/>
  <c r="AJ445" i="1"/>
  <c r="AI445" i="1"/>
  <c r="AG445" i="1"/>
  <c r="AH445" i="1" s="1"/>
  <c r="BA445" i="1" s="1"/>
  <c r="AD445" i="1"/>
  <c r="BH444" i="1"/>
  <c r="BC444" i="1"/>
  <c r="AZ444" i="1"/>
  <c r="AY444" i="1"/>
  <c r="AW444" i="1"/>
  <c r="AX444" i="1" s="1"/>
  <c r="AU444" i="1"/>
  <c r="AV444" i="1" s="1"/>
  <c r="AS444" i="1"/>
  <c r="AT444" i="1" s="1"/>
  <c r="AM444" i="1"/>
  <c r="AN444" i="1" s="1"/>
  <c r="AK444" i="1"/>
  <c r="AL444" i="1" s="1"/>
  <c r="AI444" i="1"/>
  <c r="AJ444" i="1" s="1"/>
  <c r="AG444" i="1"/>
  <c r="AH444" i="1" s="1"/>
  <c r="AD444" i="1"/>
  <c r="BP443" i="1"/>
  <c r="BM443" i="1"/>
  <c r="BH443" i="1"/>
  <c r="AY443" i="1"/>
  <c r="AZ443" i="1" s="1"/>
  <c r="AW443" i="1"/>
  <c r="AX443" i="1" s="1"/>
  <c r="AU443" i="1"/>
  <c r="AV443" i="1" s="1"/>
  <c r="AS443" i="1"/>
  <c r="AT443" i="1" s="1"/>
  <c r="BD443" i="1" s="1"/>
  <c r="AQ443" i="1"/>
  <c r="AR443" i="1" s="1"/>
  <c r="AO443" i="1"/>
  <c r="AP443" i="1" s="1"/>
  <c r="BC443" i="1" s="1"/>
  <c r="AM443" i="1"/>
  <c r="AN443" i="1" s="1"/>
  <c r="AL443" i="1"/>
  <c r="AK443" i="1"/>
  <c r="AI443" i="1"/>
  <c r="AJ443" i="1" s="1"/>
  <c r="AG443" i="1"/>
  <c r="AH443" i="1" s="1"/>
  <c r="AD443" i="1"/>
  <c r="BP442" i="1"/>
  <c r="BM442" i="1"/>
  <c r="BH442" i="1"/>
  <c r="AZ442" i="1"/>
  <c r="AY442" i="1"/>
  <c r="AW442" i="1"/>
  <c r="AX442" i="1" s="1"/>
  <c r="BE442" i="1" s="1"/>
  <c r="AU442" i="1"/>
  <c r="AV442" i="1" s="1"/>
  <c r="AS442" i="1"/>
  <c r="AT442" i="1" s="1"/>
  <c r="AQ442" i="1"/>
  <c r="AR442" i="1" s="1"/>
  <c r="AO442" i="1"/>
  <c r="AP442" i="1" s="1"/>
  <c r="AM442" i="1"/>
  <c r="AN442" i="1" s="1"/>
  <c r="AK442" i="1"/>
  <c r="AL442" i="1" s="1"/>
  <c r="BB442" i="1" s="1"/>
  <c r="AJ442" i="1"/>
  <c r="AI442" i="1"/>
  <c r="AG442" i="1"/>
  <c r="AH442" i="1" s="1"/>
  <c r="BA442" i="1" s="1"/>
  <c r="AD442" i="1"/>
  <c r="BP441" i="1"/>
  <c r="BM441" i="1"/>
  <c r="BH441" i="1"/>
  <c r="AY441" i="1"/>
  <c r="AZ441" i="1" s="1"/>
  <c r="AX441" i="1"/>
  <c r="AW441" i="1"/>
  <c r="AU441" i="1"/>
  <c r="AV441" i="1" s="1"/>
  <c r="AS441" i="1"/>
  <c r="AT441" i="1" s="1"/>
  <c r="AQ441" i="1"/>
  <c r="AR441" i="1" s="1"/>
  <c r="AP441" i="1"/>
  <c r="BC441" i="1" s="1"/>
  <c r="AO441" i="1"/>
  <c r="AM441" i="1"/>
  <c r="AN441" i="1" s="1"/>
  <c r="AK441" i="1"/>
  <c r="AL441" i="1" s="1"/>
  <c r="AI441" i="1"/>
  <c r="AJ441" i="1" s="1"/>
  <c r="AG441" i="1"/>
  <c r="AH441" i="1" s="1"/>
  <c r="AD441" i="1"/>
  <c r="BP440" i="1"/>
  <c r="BM440" i="1"/>
  <c r="BH440" i="1"/>
  <c r="AY440" i="1"/>
  <c r="AZ440" i="1" s="1"/>
  <c r="AW440" i="1"/>
  <c r="AX440" i="1" s="1"/>
  <c r="BE440" i="1" s="1"/>
  <c r="AU440" i="1"/>
  <c r="AV440" i="1" s="1"/>
  <c r="BD440" i="1" s="1"/>
  <c r="AS440" i="1"/>
  <c r="AT440" i="1" s="1"/>
  <c r="AQ440" i="1"/>
  <c r="AR440" i="1" s="1"/>
  <c r="AO440" i="1"/>
  <c r="AP440" i="1" s="1"/>
  <c r="AM440" i="1"/>
  <c r="AN440" i="1" s="1"/>
  <c r="AK440" i="1"/>
  <c r="AL440" i="1" s="1"/>
  <c r="AI440" i="1"/>
  <c r="AJ440" i="1" s="1"/>
  <c r="AG440" i="1"/>
  <c r="AH440" i="1" s="1"/>
  <c r="BA440" i="1" s="1"/>
  <c r="AD440" i="1"/>
  <c r="BP439" i="1"/>
  <c r="BM439" i="1"/>
  <c r="BH439" i="1"/>
  <c r="AY439" i="1"/>
  <c r="AZ439" i="1" s="1"/>
  <c r="AW439" i="1"/>
  <c r="AX439" i="1" s="1"/>
  <c r="BE439" i="1" s="1"/>
  <c r="AU439" i="1"/>
  <c r="AV439" i="1" s="1"/>
  <c r="AS439" i="1"/>
  <c r="AT439" i="1" s="1"/>
  <c r="AQ439" i="1"/>
  <c r="AR439" i="1" s="1"/>
  <c r="AO439" i="1"/>
  <c r="AP439" i="1" s="1"/>
  <c r="AM439" i="1"/>
  <c r="AN439" i="1" s="1"/>
  <c r="AK439" i="1"/>
  <c r="AL439" i="1" s="1"/>
  <c r="BB439" i="1" s="1"/>
  <c r="AI439" i="1"/>
  <c r="AJ439" i="1" s="1"/>
  <c r="AG439" i="1"/>
  <c r="AH439" i="1" s="1"/>
  <c r="AD439" i="1"/>
  <c r="BP438" i="1"/>
  <c r="BM438" i="1"/>
  <c r="BH438" i="1"/>
  <c r="AY438" i="1"/>
  <c r="AZ438" i="1" s="1"/>
  <c r="AW438" i="1"/>
  <c r="AX438" i="1" s="1"/>
  <c r="AU438" i="1"/>
  <c r="AV438" i="1" s="1"/>
  <c r="AS438" i="1"/>
  <c r="AT438" i="1" s="1"/>
  <c r="AQ438" i="1"/>
  <c r="AR438" i="1" s="1"/>
  <c r="AO438" i="1"/>
  <c r="AP438" i="1" s="1"/>
  <c r="AM438" i="1"/>
  <c r="AN438" i="1" s="1"/>
  <c r="AK438" i="1"/>
  <c r="AL438" i="1" s="1"/>
  <c r="BB438" i="1" s="1"/>
  <c r="AI438" i="1"/>
  <c r="AJ438" i="1" s="1"/>
  <c r="BA438" i="1" s="1"/>
  <c r="AG438" i="1"/>
  <c r="AH438" i="1" s="1"/>
  <c r="AD438" i="1"/>
  <c r="BP437" i="1"/>
  <c r="BM437" i="1"/>
  <c r="BH437" i="1"/>
  <c r="AY437" i="1"/>
  <c r="AW437" i="1"/>
  <c r="AU437" i="1"/>
  <c r="AS437" i="1"/>
  <c r="AQ437" i="1"/>
  <c r="AO437" i="1"/>
  <c r="AM437" i="1"/>
  <c r="AK437" i="1"/>
  <c r="AL437" i="1" s="1"/>
  <c r="AI437" i="1"/>
  <c r="AG437" i="1"/>
  <c r="AF437" i="1"/>
  <c r="AP437" i="1" s="1"/>
  <c r="AD437" i="1"/>
  <c r="BH436" i="1"/>
  <c r="BC436" i="1"/>
  <c r="AY436" i="1"/>
  <c r="AZ436" i="1" s="1"/>
  <c r="AX436" i="1"/>
  <c r="AW436" i="1"/>
  <c r="AU436" i="1"/>
  <c r="AV436" i="1" s="1"/>
  <c r="AS436" i="1"/>
  <c r="AT436" i="1" s="1"/>
  <c r="AM436" i="1"/>
  <c r="AN436" i="1" s="1"/>
  <c r="AK436" i="1"/>
  <c r="AL436" i="1" s="1"/>
  <c r="BB436" i="1" s="1"/>
  <c r="AI436" i="1"/>
  <c r="AJ436" i="1" s="1"/>
  <c r="AG436" i="1"/>
  <c r="AH436" i="1" s="1"/>
  <c r="BP435" i="1"/>
  <c r="BM435" i="1"/>
  <c r="BH435" i="1"/>
  <c r="AY435" i="1"/>
  <c r="AZ435" i="1" s="1"/>
  <c r="AW435" i="1"/>
  <c r="AX435" i="1" s="1"/>
  <c r="AU435" i="1"/>
  <c r="AV435" i="1" s="1"/>
  <c r="AT435" i="1"/>
  <c r="BD435" i="1" s="1"/>
  <c r="AS435" i="1"/>
  <c r="AQ435" i="1"/>
  <c r="AR435" i="1" s="1"/>
  <c r="AO435" i="1"/>
  <c r="AP435" i="1" s="1"/>
  <c r="AM435" i="1"/>
  <c r="AN435" i="1" s="1"/>
  <c r="AL435" i="1"/>
  <c r="BB435" i="1" s="1"/>
  <c r="AK435" i="1"/>
  <c r="AI435" i="1"/>
  <c r="AJ435" i="1" s="1"/>
  <c r="AG435" i="1"/>
  <c r="AH435" i="1" s="1"/>
  <c r="BA435" i="1" s="1"/>
  <c r="AD435" i="1"/>
  <c r="BP434" i="1"/>
  <c r="BM434" i="1"/>
  <c r="BH434" i="1"/>
  <c r="AY434" i="1"/>
  <c r="AZ434" i="1" s="1"/>
  <c r="BE434" i="1" s="1"/>
  <c r="AW434" i="1"/>
  <c r="AX434" i="1" s="1"/>
  <c r="AU434" i="1"/>
  <c r="AV434" i="1" s="1"/>
  <c r="AS434" i="1"/>
  <c r="AT434" i="1" s="1"/>
  <c r="BD434" i="1" s="1"/>
  <c r="AQ434" i="1"/>
  <c r="AR434" i="1" s="1"/>
  <c r="AO434" i="1"/>
  <c r="AP434" i="1" s="1"/>
  <c r="AM434" i="1"/>
  <c r="AN434" i="1" s="1"/>
  <c r="AK434" i="1"/>
  <c r="AL434" i="1" s="1"/>
  <c r="AI434" i="1"/>
  <c r="AJ434" i="1" s="1"/>
  <c r="AG434" i="1"/>
  <c r="AH434" i="1" s="1"/>
  <c r="AD434" i="1"/>
  <c r="BP433" i="1"/>
  <c r="BM433" i="1"/>
  <c r="BH433" i="1"/>
  <c r="AY433" i="1"/>
  <c r="AZ433" i="1" s="1"/>
  <c r="AW433" i="1"/>
  <c r="AX433" i="1" s="1"/>
  <c r="AU433" i="1"/>
  <c r="AV433" i="1" s="1"/>
  <c r="AS433" i="1"/>
  <c r="AT433" i="1" s="1"/>
  <c r="AQ433" i="1"/>
  <c r="AR433" i="1" s="1"/>
  <c r="AO433" i="1"/>
  <c r="AP433" i="1" s="1"/>
  <c r="AM433" i="1"/>
  <c r="AN433" i="1" s="1"/>
  <c r="AK433" i="1"/>
  <c r="AL433" i="1" s="1"/>
  <c r="AI433" i="1"/>
  <c r="AJ433" i="1" s="1"/>
  <c r="AH433" i="1"/>
  <c r="BA433" i="1" s="1"/>
  <c r="AG433" i="1"/>
  <c r="AD433" i="1"/>
  <c r="BP432" i="1"/>
  <c r="BM432" i="1"/>
  <c r="BH432" i="1"/>
  <c r="BC432" i="1"/>
  <c r="AY432" i="1"/>
  <c r="AZ432" i="1" s="1"/>
  <c r="AW432" i="1"/>
  <c r="AX432" i="1" s="1"/>
  <c r="BE432" i="1" s="1"/>
  <c r="AU432" i="1"/>
  <c r="AV432" i="1" s="1"/>
  <c r="AS432" i="1"/>
  <c r="AT432" i="1" s="1"/>
  <c r="AQ432" i="1"/>
  <c r="AR432" i="1" s="1"/>
  <c r="AO432" i="1"/>
  <c r="AP432" i="1" s="1"/>
  <c r="AN432" i="1"/>
  <c r="AM432" i="1"/>
  <c r="AK432" i="1"/>
  <c r="AL432" i="1" s="1"/>
  <c r="AI432" i="1"/>
  <c r="AJ432" i="1" s="1"/>
  <c r="AG432" i="1"/>
  <c r="AH432" i="1" s="1"/>
  <c r="BA432" i="1" s="1"/>
  <c r="AD432" i="1"/>
  <c r="BP431" i="1"/>
  <c r="BM431" i="1"/>
  <c r="BH431" i="1"/>
  <c r="AY431" i="1"/>
  <c r="AZ431" i="1" s="1"/>
  <c r="AW431" i="1"/>
  <c r="AX431" i="1" s="1"/>
  <c r="BE431" i="1" s="1"/>
  <c r="AU431" i="1"/>
  <c r="AV431" i="1" s="1"/>
  <c r="AT431" i="1"/>
  <c r="AS431" i="1"/>
  <c r="AQ431" i="1"/>
  <c r="AR431" i="1" s="1"/>
  <c r="AO431" i="1"/>
  <c r="AP431" i="1" s="1"/>
  <c r="BC431" i="1" s="1"/>
  <c r="AM431" i="1"/>
  <c r="AN431" i="1" s="1"/>
  <c r="AK431" i="1"/>
  <c r="AL431" i="1" s="1"/>
  <c r="BB431" i="1" s="1"/>
  <c r="AI431" i="1"/>
  <c r="AJ431" i="1" s="1"/>
  <c r="BA431" i="1" s="1"/>
  <c r="AG431" i="1"/>
  <c r="AH431" i="1" s="1"/>
  <c r="AD431" i="1"/>
  <c r="BH430" i="1"/>
  <c r="BC430" i="1"/>
  <c r="AY430" i="1"/>
  <c r="AZ430" i="1" s="1"/>
  <c r="AW430" i="1"/>
  <c r="AX430" i="1" s="1"/>
  <c r="BE430" i="1" s="1"/>
  <c r="AU430" i="1"/>
  <c r="AV430" i="1" s="1"/>
  <c r="BD430" i="1" s="1"/>
  <c r="AS430" i="1"/>
  <c r="AT430" i="1" s="1"/>
  <c r="AM430" i="1"/>
  <c r="AN430" i="1" s="1"/>
  <c r="AK430" i="1"/>
  <c r="AL430" i="1" s="1"/>
  <c r="BB430" i="1" s="1"/>
  <c r="AI430" i="1"/>
  <c r="AJ430" i="1" s="1"/>
  <c r="AG430" i="1"/>
  <c r="AH430" i="1" s="1"/>
  <c r="BP429" i="1"/>
  <c r="BM429" i="1"/>
  <c r="BH429" i="1"/>
  <c r="AY429" i="1"/>
  <c r="AZ429" i="1" s="1"/>
  <c r="AW429" i="1"/>
  <c r="AX429" i="1" s="1"/>
  <c r="AU429" i="1"/>
  <c r="AV429" i="1" s="1"/>
  <c r="AS429" i="1"/>
  <c r="AT429" i="1" s="1"/>
  <c r="AQ429" i="1"/>
  <c r="AR429" i="1" s="1"/>
  <c r="AO429" i="1"/>
  <c r="AP429" i="1" s="1"/>
  <c r="AM429" i="1"/>
  <c r="AN429" i="1" s="1"/>
  <c r="BB429" i="1" s="1"/>
  <c r="AL429" i="1"/>
  <c r="AK429" i="1"/>
  <c r="AJ429" i="1"/>
  <c r="AI429" i="1"/>
  <c r="AG429" i="1"/>
  <c r="AH429" i="1" s="1"/>
  <c r="BA429" i="1" s="1"/>
  <c r="AD429" i="1"/>
  <c r="BP428" i="1"/>
  <c r="BM428" i="1"/>
  <c r="BH428" i="1"/>
  <c r="AZ428" i="1"/>
  <c r="AY428" i="1"/>
  <c r="AX428" i="1"/>
  <c r="AW428" i="1"/>
  <c r="AU428" i="1"/>
  <c r="AV428" i="1" s="1"/>
  <c r="AS428" i="1"/>
  <c r="AT428" i="1" s="1"/>
  <c r="AR428" i="1"/>
  <c r="AQ428" i="1"/>
  <c r="AO428" i="1"/>
  <c r="AP428" i="1" s="1"/>
  <c r="BC428" i="1" s="1"/>
  <c r="AM428" i="1"/>
  <c r="AN428" i="1" s="1"/>
  <c r="AK428" i="1"/>
  <c r="AL428" i="1" s="1"/>
  <c r="AI428" i="1"/>
  <c r="AJ428" i="1" s="1"/>
  <c r="AG428" i="1"/>
  <c r="AH428" i="1" s="1"/>
  <c r="AD428" i="1"/>
  <c r="BH427" i="1"/>
  <c r="BC427" i="1"/>
  <c r="AY427" i="1"/>
  <c r="AZ427" i="1" s="1"/>
  <c r="AW427" i="1"/>
  <c r="AX427" i="1" s="1"/>
  <c r="AU427" i="1"/>
  <c r="AV427" i="1" s="1"/>
  <c r="AS427" i="1"/>
  <c r="AT427" i="1" s="1"/>
  <c r="AQ427" i="1"/>
  <c r="AO427" i="1"/>
  <c r="AM427" i="1"/>
  <c r="AN427" i="1" s="1"/>
  <c r="AK427" i="1"/>
  <c r="AL427" i="1" s="1"/>
  <c r="AI427" i="1"/>
  <c r="AJ427" i="1" s="1"/>
  <c r="AG427" i="1"/>
  <c r="AH427" i="1" s="1"/>
  <c r="BP426" i="1"/>
  <c r="BM426" i="1"/>
  <c r="BH426" i="1"/>
  <c r="AY426" i="1"/>
  <c r="AZ426" i="1" s="1"/>
  <c r="AW426" i="1"/>
  <c r="AX426" i="1" s="1"/>
  <c r="AV426" i="1"/>
  <c r="AU426" i="1"/>
  <c r="AS426" i="1"/>
  <c r="AT426" i="1" s="1"/>
  <c r="AQ426" i="1"/>
  <c r="AR426" i="1" s="1"/>
  <c r="AO426" i="1"/>
  <c r="AP426" i="1" s="1"/>
  <c r="BC426" i="1" s="1"/>
  <c r="AM426" i="1"/>
  <c r="AN426" i="1" s="1"/>
  <c r="AK426" i="1"/>
  <c r="AL426" i="1" s="1"/>
  <c r="BB426" i="1" s="1"/>
  <c r="AI426" i="1"/>
  <c r="AJ426" i="1" s="1"/>
  <c r="AG426" i="1"/>
  <c r="AH426" i="1" s="1"/>
  <c r="AD426" i="1"/>
  <c r="BP425" i="1"/>
  <c r="BM425" i="1"/>
  <c r="BH425" i="1"/>
  <c r="AY425" i="1"/>
  <c r="AZ425" i="1" s="1"/>
  <c r="AW425" i="1"/>
  <c r="AX425" i="1" s="1"/>
  <c r="BE425" i="1" s="1"/>
  <c r="AU425" i="1"/>
  <c r="AV425" i="1" s="1"/>
  <c r="AS425" i="1"/>
  <c r="AT425" i="1" s="1"/>
  <c r="AQ425" i="1"/>
  <c r="AR425" i="1" s="1"/>
  <c r="AO425" i="1"/>
  <c r="AP425" i="1" s="1"/>
  <c r="AM425" i="1"/>
  <c r="AN425" i="1" s="1"/>
  <c r="AL425" i="1"/>
  <c r="AK425" i="1"/>
  <c r="AI425" i="1"/>
  <c r="AJ425" i="1" s="1"/>
  <c r="AG425" i="1"/>
  <c r="AH425" i="1" s="1"/>
  <c r="AD425" i="1"/>
  <c r="BP424" i="1"/>
  <c r="BM424" i="1"/>
  <c r="BH424" i="1"/>
  <c r="AY424" i="1"/>
  <c r="AZ424" i="1" s="1"/>
  <c r="AW424" i="1"/>
  <c r="AX424" i="1" s="1"/>
  <c r="AU424" i="1"/>
  <c r="AV424" i="1" s="1"/>
  <c r="AS424" i="1"/>
  <c r="AT424" i="1" s="1"/>
  <c r="AQ424" i="1"/>
  <c r="AR424" i="1" s="1"/>
  <c r="AO424" i="1"/>
  <c r="AP424" i="1" s="1"/>
  <c r="AM424" i="1"/>
  <c r="AN424" i="1" s="1"/>
  <c r="AK424" i="1"/>
  <c r="AL424" i="1" s="1"/>
  <c r="BB424" i="1" s="1"/>
  <c r="AI424" i="1"/>
  <c r="AJ424" i="1" s="1"/>
  <c r="AG424" i="1"/>
  <c r="AH424" i="1" s="1"/>
  <c r="AD424" i="1"/>
  <c r="BH423" i="1"/>
  <c r="BC423" i="1"/>
  <c r="AY423" i="1"/>
  <c r="AZ423" i="1" s="1"/>
  <c r="AW423" i="1"/>
  <c r="AX423" i="1" s="1"/>
  <c r="AU423" i="1"/>
  <c r="AV423" i="1" s="1"/>
  <c r="AT423" i="1"/>
  <c r="AS423" i="1"/>
  <c r="AM423" i="1"/>
  <c r="AN423" i="1" s="1"/>
  <c r="AK423" i="1"/>
  <c r="AL423" i="1" s="1"/>
  <c r="AI423" i="1"/>
  <c r="AJ423" i="1" s="1"/>
  <c r="AG423" i="1"/>
  <c r="AH423" i="1" s="1"/>
  <c r="AD423" i="1"/>
  <c r="BP422" i="1"/>
  <c r="BM422" i="1"/>
  <c r="BH422" i="1"/>
  <c r="AY422" i="1"/>
  <c r="AZ422" i="1" s="1"/>
  <c r="AW422" i="1"/>
  <c r="AX422" i="1" s="1"/>
  <c r="AU422" i="1"/>
  <c r="AV422" i="1" s="1"/>
  <c r="AS422" i="1"/>
  <c r="AT422" i="1" s="1"/>
  <c r="AQ422" i="1"/>
  <c r="AR422" i="1" s="1"/>
  <c r="AO422" i="1"/>
  <c r="AP422" i="1" s="1"/>
  <c r="AN422" i="1"/>
  <c r="AM422" i="1"/>
  <c r="AK422" i="1"/>
  <c r="AL422" i="1" s="1"/>
  <c r="AI422" i="1"/>
  <c r="AJ422" i="1" s="1"/>
  <c r="AG422" i="1"/>
  <c r="AH422" i="1" s="1"/>
  <c r="AD422" i="1"/>
  <c r="BP421" i="1"/>
  <c r="BM421" i="1"/>
  <c r="BH421" i="1"/>
  <c r="AY421" i="1"/>
  <c r="AZ421" i="1" s="1"/>
  <c r="AW421" i="1"/>
  <c r="AX421" i="1" s="1"/>
  <c r="BE421" i="1" s="1"/>
  <c r="AU421" i="1"/>
  <c r="AV421" i="1" s="1"/>
  <c r="AT421" i="1"/>
  <c r="AS421" i="1"/>
  <c r="AQ421" i="1"/>
  <c r="AR421" i="1" s="1"/>
  <c r="AO421" i="1"/>
  <c r="AP421" i="1" s="1"/>
  <c r="AM421" i="1"/>
  <c r="AN421" i="1" s="1"/>
  <c r="BB421" i="1" s="1"/>
  <c r="AL421" i="1"/>
  <c r="AK421" i="1"/>
  <c r="AI421" i="1"/>
  <c r="AJ421" i="1" s="1"/>
  <c r="AG421" i="1"/>
  <c r="AH421" i="1" s="1"/>
  <c r="AD421" i="1"/>
  <c r="BP420" i="1"/>
  <c r="BM420" i="1"/>
  <c r="BH420" i="1"/>
  <c r="AY420" i="1"/>
  <c r="AZ420" i="1" s="1"/>
  <c r="AW420" i="1"/>
  <c r="AX420" i="1" s="1"/>
  <c r="AU420" i="1"/>
  <c r="AV420" i="1" s="1"/>
  <c r="AS420" i="1"/>
  <c r="AT420" i="1" s="1"/>
  <c r="AQ420" i="1"/>
  <c r="AR420" i="1" s="1"/>
  <c r="AO420" i="1"/>
  <c r="AP420" i="1" s="1"/>
  <c r="AM420" i="1"/>
  <c r="AN420" i="1" s="1"/>
  <c r="AK420" i="1"/>
  <c r="AL420" i="1" s="1"/>
  <c r="BB420" i="1" s="1"/>
  <c r="AI420" i="1"/>
  <c r="AJ420" i="1" s="1"/>
  <c r="AG420" i="1"/>
  <c r="AH420" i="1" s="1"/>
  <c r="AD420" i="1"/>
  <c r="BH419" i="1"/>
  <c r="BC419" i="1"/>
  <c r="AY419" i="1"/>
  <c r="AZ419" i="1" s="1"/>
  <c r="AW419" i="1"/>
  <c r="AX419" i="1" s="1"/>
  <c r="AU419" i="1"/>
  <c r="AV419" i="1" s="1"/>
  <c r="AT419" i="1"/>
  <c r="AS419" i="1"/>
  <c r="AQ419" i="1"/>
  <c r="AO419" i="1"/>
  <c r="AM419" i="1"/>
  <c r="AN419" i="1" s="1"/>
  <c r="BB419" i="1" s="1"/>
  <c r="AK419" i="1"/>
  <c r="AL419" i="1" s="1"/>
  <c r="AI419" i="1"/>
  <c r="AJ419" i="1" s="1"/>
  <c r="AG419" i="1"/>
  <c r="AH419" i="1" s="1"/>
  <c r="AD419" i="1"/>
  <c r="BH418" i="1"/>
  <c r="BC418" i="1"/>
  <c r="AY418" i="1"/>
  <c r="AZ418" i="1" s="1"/>
  <c r="AW418" i="1"/>
  <c r="AX418" i="1" s="1"/>
  <c r="AV418" i="1"/>
  <c r="AU418" i="1"/>
  <c r="AS418" i="1"/>
  <c r="AT418" i="1" s="1"/>
  <c r="BD418" i="1" s="1"/>
  <c r="AQ418" i="1"/>
  <c r="AO418" i="1"/>
  <c r="AM418" i="1"/>
  <c r="AN418" i="1" s="1"/>
  <c r="AL418" i="1"/>
  <c r="AK418" i="1"/>
  <c r="AI418" i="1"/>
  <c r="AJ418" i="1" s="1"/>
  <c r="AG418" i="1"/>
  <c r="AH418" i="1" s="1"/>
  <c r="BH417" i="1"/>
  <c r="BC417" i="1"/>
  <c r="AY417" i="1"/>
  <c r="AZ417" i="1" s="1"/>
  <c r="AW417" i="1"/>
  <c r="AX417" i="1" s="1"/>
  <c r="AU417" i="1"/>
  <c r="AV417" i="1" s="1"/>
  <c r="AS417" i="1"/>
  <c r="AT417" i="1" s="1"/>
  <c r="AQ417" i="1"/>
  <c r="AO417" i="1"/>
  <c r="AM417" i="1"/>
  <c r="AN417" i="1" s="1"/>
  <c r="AL417" i="1"/>
  <c r="AK417" i="1"/>
  <c r="AI417" i="1"/>
  <c r="AJ417" i="1" s="1"/>
  <c r="AG417" i="1"/>
  <c r="AH417" i="1" s="1"/>
  <c r="BP416" i="1"/>
  <c r="BM416" i="1"/>
  <c r="BH416" i="1"/>
  <c r="AZ416" i="1"/>
  <c r="AY416" i="1"/>
  <c r="AW416" i="1"/>
  <c r="AX416" i="1" s="1"/>
  <c r="AU416" i="1"/>
  <c r="AV416" i="1" s="1"/>
  <c r="AS416" i="1"/>
  <c r="AT416" i="1" s="1"/>
  <c r="BD416" i="1" s="1"/>
  <c r="AR416" i="1"/>
  <c r="AQ416" i="1"/>
  <c r="AO416" i="1"/>
  <c r="AP416" i="1" s="1"/>
  <c r="BC416" i="1" s="1"/>
  <c r="AM416" i="1"/>
  <c r="AN416" i="1" s="1"/>
  <c r="AK416" i="1"/>
  <c r="AL416" i="1" s="1"/>
  <c r="AI416" i="1"/>
  <c r="AJ416" i="1" s="1"/>
  <c r="AG416" i="1"/>
  <c r="AH416" i="1" s="1"/>
  <c r="AD416" i="1"/>
  <c r="BP415" i="1"/>
  <c r="BM415" i="1"/>
  <c r="BH415" i="1"/>
  <c r="AY415" i="1"/>
  <c r="AZ415" i="1" s="1"/>
  <c r="AW415" i="1"/>
  <c r="AX415" i="1" s="1"/>
  <c r="AU415" i="1"/>
  <c r="AV415" i="1" s="1"/>
  <c r="AS415" i="1"/>
  <c r="AT415" i="1" s="1"/>
  <c r="AQ415" i="1"/>
  <c r="AR415" i="1" s="1"/>
  <c r="AP415" i="1"/>
  <c r="AO415" i="1"/>
  <c r="AM415" i="1"/>
  <c r="AN415" i="1" s="1"/>
  <c r="AK415" i="1"/>
  <c r="AL415" i="1" s="1"/>
  <c r="AI415" i="1"/>
  <c r="AJ415" i="1" s="1"/>
  <c r="AG415" i="1"/>
  <c r="AH415" i="1" s="1"/>
  <c r="AD415" i="1"/>
  <c r="BP414" i="1"/>
  <c r="BM414" i="1"/>
  <c r="BH414" i="1"/>
  <c r="AY414" i="1"/>
  <c r="AZ414" i="1" s="1"/>
  <c r="AW414" i="1"/>
  <c r="AX414" i="1" s="1"/>
  <c r="AU414" i="1"/>
  <c r="AV414" i="1" s="1"/>
  <c r="AS414" i="1"/>
  <c r="AT414" i="1" s="1"/>
  <c r="AQ414" i="1"/>
  <c r="AR414" i="1" s="1"/>
  <c r="AO414" i="1"/>
  <c r="AP414" i="1" s="1"/>
  <c r="AM414" i="1"/>
  <c r="AN414" i="1" s="1"/>
  <c r="AK414" i="1"/>
  <c r="AL414" i="1" s="1"/>
  <c r="AI414" i="1"/>
  <c r="AJ414" i="1" s="1"/>
  <c r="AG414" i="1"/>
  <c r="AH414" i="1" s="1"/>
  <c r="AD414" i="1"/>
  <c r="BP413" i="1"/>
  <c r="BM413" i="1"/>
  <c r="BH413" i="1"/>
  <c r="AY413" i="1"/>
  <c r="AZ413" i="1" s="1"/>
  <c r="AW413" i="1"/>
  <c r="AX413" i="1" s="1"/>
  <c r="AU413" i="1"/>
  <c r="AV413" i="1" s="1"/>
  <c r="AS413" i="1"/>
  <c r="AT413" i="1" s="1"/>
  <c r="AQ413" i="1"/>
  <c r="AR413" i="1" s="1"/>
  <c r="AO413" i="1"/>
  <c r="AP413" i="1" s="1"/>
  <c r="AM413" i="1"/>
  <c r="AN413" i="1" s="1"/>
  <c r="AK413" i="1"/>
  <c r="AL413" i="1" s="1"/>
  <c r="AI413" i="1"/>
  <c r="AJ413" i="1" s="1"/>
  <c r="AG413" i="1"/>
  <c r="AH413" i="1" s="1"/>
  <c r="AD413" i="1"/>
  <c r="BP412" i="1"/>
  <c r="BM412" i="1"/>
  <c r="BH412" i="1"/>
  <c r="AY412" i="1"/>
  <c r="AZ412" i="1" s="1"/>
  <c r="AW412" i="1"/>
  <c r="AX412" i="1" s="1"/>
  <c r="AU412" i="1"/>
  <c r="AV412" i="1" s="1"/>
  <c r="AS412" i="1"/>
  <c r="AT412" i="1" s="1"/>
  <c r="AQ412" i="1"/>
  <c r="AR412" i="1" s="1"/>
  <c r="AO412" i="1"/>
  <c r="AP412" i="1" s="1"/>
  <c r="AM412" i="1"/>
  <c r="AN412" i="1" s="1"/>
  <c r="AK412" i="1"/>
  <c r="AL412" i="1" s="1"/>
  <c r="BB412" i="1" s="1"/>
  <c r="AI412" i="1"/>
  <c r="AJ412" i="1" s="1"/>
  <c r="AG412" i="1"/>
  <c r="AH412" i="1" s="1"/>
  <c r="AD412" i="1"/>
  <c r="BP411" i="1"/>
  <c r="BM411" i="1"/>
  <c r="BH411" i="1"/>
  <c r="AY411" i="1"/>
  <c r="AZ411" i="1" s="1"/>
  <c r="AX411" i="1"/>
  <c r="AW411" i="1"/>
  <c r="AU411" i="1"/>
  <c r="AV411" i="1" s="1"/>
  <c r="AS411" i="1"/>
  <c r="AT411" i="1" s="1"/>
  <c r="BD411" i="1" s="1"/>
  <c r="AQ411" i="1"/>
  <c r="AR411" i="1" s="1"/>
  <c r="AP411" i="1"/>
  <c r="BC411" i="1" s="1"/>
  <c r="AO411" i="1"/>
  <c r="AM411" i="1"/>
  <c r="AN411" i="1" s="1"/>
  <c r="AK411" i="1"/>
  <c r="AL411" i="1" s="1"/>
  <c r="AI411" i="1"/>
  <c r="AJ411" i="1" s="1"/>
  <c r="AG411" i="1"/>
  <c r="AH411" i="1" s="1"/>
  <c r="BA411" i="1" s="1"/>
  <c r="AD411" i="1"/>
  <c r="BP410" i="1"/>
  <c r="BM410" i="1"/>
  <c r="BH410" i="1"/>
  <c r="AY410" i="1"/>
  <c r="AZ410" i="1" s="1"/>
  <c r="AW410" i="1"/>
  <c r="AX410" i="1" s="1"/>
  <c r="AU410" i="1"/>
  <c r="AV410" i="1" s="1"/>
  <c r="AS410" i="1"/>
  <c r="AT410" i="1" s="1"/>
  <c r="AQ410" i="1"/>
  <c r="AR410" i="1" s="1"/>
  <c r="AO410" i="1"/>
  <c r="AP410" i="1" s="1"/>
  <c r="AN410" i="1"/>
  <c r="AM410" i="1"/>
  <c r="AK410" i="1"/>
  <c r="AL410" i="1" s="1"/>
  <c r="BB410" i="1" s="1"/>
  <c r="AI410" i="1"/>
  <c r="AJ410" i="1" s="1"/>
  <c r="AG410" i="1"/>
  <c r="AH410" i="1" s="1"/>
  <c r="AD410" i="1"/>
  <c r="BP409" i="1"/>
  <c r="BM409" i="1"/>
  <c r="BH409" i="1"/>
  <c r="AY409" i="1"/>
  <c r="AZ409" i="1" s="1"/>
  <c r="AW409" i="1"/>
  <c r="AX409" i="1" s="1"/>
  <c r="AU409" i="1"/>
  <c r="AV409" i="1" s="1"/>
  <c r="AT409" i="1"/>
  <c r="AS409" i="1"/>
  <c r="AQ409" i="1"/>
  <c r="AR409" i="1" s="1"/>
  <c r="AO409" i="1"/>
  <c r="AP409" i="1" s="1"/>
  <c r="AM409" i="1"/>
  <c r="AN409" i="1" s="1"/>
  <c r="AK409" i="1"/>
  <c r="AL409" i="1" s="1"/>
  <c r="BB409" i="1" s="1"/>
  <c r="AI409" i="1"/>
  <c r="AJ409" i="1" s="1"/>
  <c r="AG409" i="1"/>
  <c r="AH409" i="1" s="1"/>
  <c r="AD409" i="1"/>
  <c r="BP408" i="1"/>
  <c r="BM408" i="1"/>
  <c r="BH408" i="1"/>
  <c r="AY408" i="1"/>
  <c r="AZ408" i="1" s="1"/>
  <c r="AW408" i="1"/>
  <c r="AX408" i="1" s="1"/>
  <c r="AU408" i="1"/>
  <c r="AV408" i="1" s="1"/>
  <c r="AS408" i="1"/>
  <c r="AT408" i="1" s="1"/>
  <c r="AQ408" i="1"/>
  <c r="AR408" i="1" s="1"/>
  <c r="AO408" i="1"/>
  <c r="AP408" i="1" s="1"/>
  <c r="BC408" i="1" s="1"/>
  <c r="AM408" i="1"/>
  <c r="AN408" i="1" s="1"/>
  <c r="AK408" i="1"/>
  <c r="AL408" i="1" s="1"/>
  <c r="BB408" i="1" s="1"/>
  <c r="AI408" i="1"/>
  <c r="AJ408" i="1" s="1"/>
  <c r="AG408" i="1"/>
  <c r="AH408" i="1" s="1"/>
  <c r="AD408" i="1"/>
  <c r="BP407" i="1"/>
  <c r="BM407" i="1"/>
  <c r="BH407" i="1"/>
  <c r="AY407" i="1"/>
  <c r="AZ407" i="1" s="1"/>
  <c r="AX407" i="1"/>
  <c r="AW407" i="1"/>
  <c r="AU407" i="1"/>
  <c r="AV407" i="1" s="1"/>
  <c r="AS407" i="1"/>
  <c r="AT407" i="1" s="1"/>
  <c r="AQ407" i="1"/>
  <c r="AR407" i="1" s="1"/>
  <c r="AP407" i="1"/>
  <c r="AO407" i="1"/>
  <c r="AM407" i="1"/>
  <c r="AN407" i="1" s="1"/>
  <c r="AK407" i="1"/>
  <c r="AL407" i="1" s="1"/>
  <c r="AI407" i="1"/>
  <c r="AJ407" i="1" s="1"/>
  <c r="AG407" i="1"/>
  <c r="AH407" i="1" s="1"/>
  <c r="BA407" i="1" s="1"/>
  <c r="AD407" i="1"/>
  <c r="BP406" i="1"/>
  <c r="BM406" i="1"/>
  <c r="BH406" i="1"/>
  <c r="AY406" i="1"/>
  <c r="AZ406" i="1" s="1"/>
  <c r="AW406" i="1"/>
  <c r="AX406" i="1" s="1"/>
  <c r="AU406" i="1"/>
  <c r="AV406" i="1" s="1"/>
  <c r="AS406" i="1"/>
  <c r="AT406" i="1" s="1"/>
  <c r="AQ406" i="1"/>
  <c r="AR406" i="1" s="1"/>
  <c r="AO406" i="1"/>
  <c r="AP406" i="1" s="1"/>
  <c r="AM406" i="1"/>
  <c r="AN406" i="1" s="1"/>
  <c r="AK406" i="1"/>
  <c r="AL406" i="1" s="1"/>
  <c r="AI406" i="1"/>
  <c r="AJ406" i="1" s="1"/>
  <c r="AG406" i="1"/>
  <c r="AH406" i="1" s="1"/>
  <c r="BA406" i="1" s="1"/>
  <c r="AD406" i="1"/>
  <c r="BP405" i="1"/>
  <c r="BM405" i="1"/>
  <c r="BH405" i="1"/>
  <c r="AY405" i="1"/>
  <c r="AZ405" i="1" s="1"/>
  <c r="AW405" i="1"/>
  <c r="AX405" i="1" s="1"/>
  <c r="AU405" i="1"/>
  <c r="AV405" i="1" s="1"/>
  <c r="AT405" i="1"/>
  <c r="AS405" i="1"/>
  <c r="AQ405" i="1"/>
  <c r="AR405" i="1" s="1"/>
  <c r="AO405" i="1"/>
  <c r="AP405" i="1" s="1"/>
  <c r="BC405" i="1" s="1"/>
  <c r="AM405" i="1"/>
  <c r="AN405" i="1" s="1"/>
  <c r="AK405" i="1"/>
  <c r="AL405" i="1" s="1"/>
  <c r="BB405" i="1" s="1"/>
  <c r="AI405" i="1"/>
  <c r="AJ405" i="1" s="1"/>
  <c r="AG405" i="1"/>
  <c r="AH405" i="1" s="1"/>
  <c r="AD405" i="1"/>
  <c r="BH404" i="1"/>
  <c r="BC404" i="1"/>
  <c r="BA404" i="1"/>
  <c r="AY404" i="1"/>
  <c r="AZ404" i="1" s="1"/>
  <c r="AW404" i="1"/>
  <c r="AX404" i="1" s="1"/>
  <c r="AU404" i="1"/>
  <c r="AV404" i="1" s="1"/>
  <c r="AS404" i="1"/>
  <c r="AT404" i="1" s="1"/>
  <c r="AQ404" i="1"/>
  <c r="AO404" i="1"/>
  <c r="AM404" i="1"/>
  <c r="AN404" i="1" s="1"/>
  <c r="AK404" i="1"/>
  <c r="AL404" i="1" s="1"/>
  <c r="AI404" i="1"/>
  <c r="AJ404" i="1" s="1"/>
  <c r="AG404" i="1"/>
  <c r="AH404" i="1" s="1"/>
  <c r="AD404" i="1"/>
  <c r="BP403" i="1"/>
  <c r="BM403" i="1"/>
  <c r="BH403" i="1"/>
  <c r="AY403" i="1"/>
  <c r="AZ403" i="1" s="1"/>
  <c r="AW403" i="1"/>
  <c r="AX403" i="1" s="1"/>
  <c r="BE403" i="1" s="1"/>
  <c r="AU403" i="1"/>
  <c r="AV403" i="1" s="1"/>
  <c r="AS403" i="1"/>
  <c r="AT403" i="1" s="1"/>
  <c r="AQ403" i="1"/>
  <c r="AR403" i="1" s="1"/>
  <c r="AO403" i="1"/>
  <c r="AP403" i="1" s="1"/>
  <c r="BC403" i="1" s="1"/>
  <c r="AM403" i="1"/>
  <c r="AN403" i="1" s="1"/>
  <c r="AK403" i="1"/>
  <c r="AL403" i="1" s="1"/>
  <c r="BB403" i="1" s="1"/>
  <c r="AI403" i="1"/>
  <c r="AJ403" i="1" s="1"/>
  <c r="AG403" i="1"/>
  <c r="AH403" i="1" s="1"/>
  <c r="AD403" i="1"/>
  <c r="BP402" i="1"/>
  <c r="BM402" i="1"/>
  <c r="BH402" i="1"/>
  <c r="AY402" i="1"/>
  <c r="AZ402" i="1" s="1"/>
  <c r="AW402" i="1"/>
  <c r="AX402" i="1" s="1"/>
  <c r="AU402" i="1"/>
  <c r="AV402" i="1" s="1"/>
  <c r="AS402" i="1"/>
  <c r="AT402" i="1" s="1"/>
  <c r="AR402" i="1"/>
  <c r="AQ402" i="1"/>
  <c r="AO402" i="1"/>
  <c r="AP402" i="1" s="1"/>
  <c r="BC402" i="1" s="1"/>
  <c r="AM402" i="1"/>
  <c r="AN402" i="1" s="1"/>
  <c r="AK402" i="1"/>
  <c r="AL402" i="1" s="1"/>
  <c r="AJ402" i="1"/>
  <c r="BA402" i="1" s="1"/>
  <c r="AI402" i="1"/>
  <c r="AG402" i="1"/>
  <c r="AH402" i="1" s="1"/>
  <c r="AD402" i="1"/>
  <c r="BP401" i="1"/>
  <c r="BM401" i="1"/>
  <c r="BH401" i="1"/>
  <c r="AZ401" i="1"/>
  <c r="AY401" i="1"/>
  <c r="AX401" i="1"/>
  <c r="AW401" i="1"/>
  <c r="AU401" i="1"/>
  <c r="AV401" i="1" s="1"/>
  <c r="AS401" i="1"/>
  <c r="AT401" i="1" s="1"/>
  <c r="AR401" i="1"/>
  <c r="AQ401" i="1"/>
  <c r="AP401" i="1"/>
  <c r="AO401" i="1"/>
  <c r="AM401" i="1"/>
  <c r="AN401" i="1" s="1"/>
  <c r="AK401" i="1"/>
  <c r="AL401" i="1" s="1"/>
  <c r="AJ401" i="1"/>
  <c r="AI401" i="1"/>
  <c r="AH401" i="1"/>
  <c r="BA401" i="1" s="1"/>
  <c r="AG401" i="1"/>
  <c r="AD401" i="1"/>
  <c r="BH400" i="1"/>
  <c r="BC400" i="1"/>
  <c r="AY400" i="1"/>
  <c r="AZ400" i="1" s="1"/>
  <c r="AW400" i="1"/>
  <c r="AX400" i="1" s="1"/>
  <c r="AU400" i="1"/>
  <c r="AV400" i="1" s="1"/>
  <c r="AS400" i="1"/>
  <c r="AT400" i="1" s="1"/>
  <c r="BD400" i="1" s="1"/>
  <c r="AM400" i="1"/>
  <c r="AN400" i="1" s="1"/>
  <c r="BB400" i="1" s="1"/>
  <c r="AK400" i="1"/>
  <c r="AL400" i="1" s="1"/>
  <c r="AI400" i="1"/>
  <c r="AJ400" i="1" s="1"/>
  <c r="AH400" i="1"/>
  <c r="AG400" i="1"/>
  <c r="BH399" i="1"/>
  <c r="BC399" i="1"/>
  <c r="AY399" i="1"/>
  <c r="AZ399" i="1" s="1"/>
  <c r="AX399" i="1"/>
  <c r="BE399" i="1" s="1"/>
  <c r="AW399" i="1"/>
  <c r="AU399" i="1"/>
  <c r="AV399" i="1" s="1"/>
  <c r="AS399" i="1"/>
  <c r="AT399" i="1" s="1"/>
  <c r="AM399" i="1"/>
  <c r="AN399" i="1" s="1"/>
  <c r="AK399" i="1"/>
  <c r="AL399" i="1" s="1"/>
  <c r="AI399" i="1"/>
  <c r="AJ399" i="1" s="1"/>
  <c r="AG399" i="1"/>
  <c r="AH399" i="1" s="1"/>
  <c r="BP398" i="1"/>
  <c r="BM398" i="1"/>
  <c r="BH398" i="1"/>
  <c r="AY398" i="1"/>
  <c r="AZ398" i="1" s="1"/>
  <c r="AW398" i="1"/>
  <c r="AX398" i="1" s="1"/>
  <c r="BE398" i="1" s="1"/>
  <c r="AU398" i="1"/>
  <c r="AV398" i="1" s="1"/>
  <c r="AS398" i="1"/>
  <c r="AT398" i="1" s="1"/>
  <c r="AQ398" i="1"/>
  <c r="AR398" i="1" s="1"/>
  <c r="AO398" i="1"/>
  <c r="AP398" i="1" s="1"/>
  <c r="AM398" i="1"/>
  <c r="AN398" i="1" s="1"/>
  <c r="AK398" i="1"/>
  <c r="AL398" i="1" s="1"/>
  <c r="AI398" i="1"/>
  <c r="AJ398" i="1" s="1"/>
  <c r="AG398" i="1"/>
  <c r="AH398" i="1" s="1"/>
  <c r="BA398" i="1" s="1"/>
  <c r="AD398" i="1"/>
  <c r="BH397" i="1"/>
  <c r="BC397" i="1"/>
  <c r="AY397" i="1"/>
  <c r="AZ397" i="1" s="1"/>
  <c r="AW397" i="1"/>
  <c r="AX397" i="1" s="1"/>
  <c r="BE397" i="1" s="1"/>
  <c r="AU397" i="1"/>
  <c r="AV397" i="1" s="1"/>
  <c r="AS397" i="1"/>
  <c r="AT397" i="1" s="1"/>
  <c r="BD397" i="1" s="1"/>
  <c r="AQ397" i="1"/>
  <c r="AO397" i="1"/>
  <c r="AM397" i="1"/>
  <c r="AN397" i="1" s="1"/>
  <c r="AK397" i="1"/>
  <c r="AL397" i="1" s="1"/>
  <c r="BB397" i="1" s="1"/>
  <c r="AI397" i="1"/>
  <c r="AJ397" i="1" s="1"/>
  <c r="AG397" i="1"/>
  <c r="AH397" i="1" s="1"/>
  <c r="AD397" i="1"/>
  <c r="BP396" i="1"/>
  <c r="BM396" i="1"/>
  <c r="BH396" i="1"/>
  <c r="AZ396" i="1"/>
  <c r="AY396" i="1"/>
  <c r="AX396" i="1"/>
  <c r="BE396" i="1" s="1"/>
  <c r="AW396" i="1"/>
  <c r="AU396" i="1"/>
  <c r="AV396" i="1" s="1"/>
  <c r="AS396" i="1"/>
  <c r="AT396" i="1" s="1"/>
  <c r="BD396" i="1" s="1"/>
  <c r="AQ396" i="1"/>
  <c r="AR396" i="1" s="1"/>
  <c r="AO396" i="1"/>
  <c r="AP396" i="1" s="1"/>
  <c r="BC396" i="1" s="1"/>
  <c r="AM396" i="1"/>
  <c r="AN396" i="1" s="1"/>
  <c r="AK396" i="1"/>
  <c r="AL396" i="1" s="1"/>
  <c r="AJ396" i="1"/>
  <c r="AI396" i="1"/>
  <c r="AG396" i="1"/>
  <c r="AH396" i="1" s="1"/>
  <c r="AD396" i="1"/>
  <c r="BP395" i="1"/>
  <c r="BM395" i="1"/>
  <c r="BH395" i="1"/>
  <c r="AZ395" i="1"/>
  <c r="AY395" i="1"/>
  <c r="AW395" i="1"/>
  <c r="AX395" i="1" s="1"/>
  <c r="BE395" i="1" s="1"/>
  <c r="AU395" i="1"/>
  <c r="AV395" i="1" s="1"/>
  <c r="AS395" i="1"/>
  <c r="AT395" i="1" s="1"/>
  <c r="AQ395" i="1"/>
  <c r="AR395" i="1" s="1"/>
  <c r="AO395" i="1"/>
  <c r="AP395" i="1" s="1"/>
  <c r="AM395" i="1"/>
  <c r="AN395" i="1" s="1"/>
  <c r="AK395" i="1"/>
  <c r="AL395" i="1" s="1"/>
  <c r="AI395" i="1"/>
  <c r="AJ395" i="1" s="1"/>
  <c r="AG395" i="1"/>
  <c r="AH395" i="1" s="1"/>
  <c r="AD395" i="1"/>
  <c r="BP394" i="1"/>
  <c r="BM394" i="1"/>
  <c r="BH394" i="1"/>
  <c r="AY394" i="1"/>
  <c r="AZ394" i="1" s="1"/>
  <c r="AW394" i="1"/>
  <c r="AX394" i="1" s="1"/>
  <c r="BE394" i="1" s="1"/>
  <c r="AU394" i="1"/>
  <c r="AV394" i="1" s="1"/>
  <c r="AS394" i="1"/>
  <c r="AT394" i="1" s="1"/>
  <c r="AQ394" i="1"/>
  <c r="AR394" i="1" s="1"/>
  <c r="AP394" i="1"/>
  <c r="BC394" i="1" s="1"/>
  <c r="AO394" i="1"/>
  <c r="AM394" i="1"/>
  <c r="AN394" i="1" s="1"/>
  <c r="AL394" i="1"/>
  <c r="AK394" i="1"/>
  <c r="AI394" i="1"/>
  <c r="AJ394" i="1" s="1"/>
  <c r="AG394" i="1"/>
  <c r="AH394" i="1" s="1"/>
  <c r="BA394" i="1" s="1"/>
  <c r="AD394" i="1"/>
  <c r="BP393" i="1"/>
  <c r="BM393" i="1"/>
  <c r="BH393" i="1"/>
  <c r="AY393" i="1"/>
  <c r="AZ393" i="1" s="1"/>
  <c r="AW393" i="1"/>
  <c r="AX393" i="1" s="1"/>
  <c r="AV393" i="1"/>
  <c r="AU393" i="1"/>
  <c r="AS393" i="1"/>
  <c r="AT393" i="1" s="1"/>
  <c r="AQ393" i="1"/>
  <c r="AR393" i="1" s="1"/>
  <c r="AO393" i="1"/>
  <c r="AP393" i="1" s="1"/>
  <c r="AM393" i="1"/>
  <c r="AN393" i="1" s="1"/>
  <c r="AK393" i="1"/>
  <c r="AL393" i="1" s="1"/>
  <c r="BB393" i="1" s="1"/>
  <c r="AI393" i="1"/>
  <c r="AJ393" i="1" s="1"/>
  <c r="BA393" i="1" s="1"/>
  <c r="AG393" i="1"/>
  <c r="AH393" i="1" s="1"/>
  <c r="AD393" i="1"/>
  <c r="BP392" i="1"/>
  <c r="BM392" i="1"/>
  <c r="BH392" i="1"/>
  <c r="AY392" i="1"/>
  <c r="AZ392" i="1" s="1"/>
  <c r="AW392" i="1"/>
  <c r="AX392" i="1" s="1"/>
  <c r="AU392" i="1"/>
  <c r="AV392" i="1" s="1"/>
  <c r="AS392" i="1"/>
  <c r="AT392" i="1" s="1"/>
  <c r="BD392" i="1" s="1"/>
  <c r="AQ392" i="1"/>
  <c r="AR392" i="1" s="1"/>
  <c r="AO392" i="1"/>
  <c r="AP392" i="1" s="1"/>
  <c r="AM392" i="1"/>
  <c r="AN392" i="1" s="1"/>
  <c r="AK392" i="1"/>
  <c r="AL392" i="1" s="1"/>
  <c r="BB392" i="1" s="1"/>
  <c r="AJ392" i="1"/>
  <c r="AI392" i="1"/>
  <c r="AG392" i="1"/>
  <c r="AH392" i="1" s="1"/>
  <c r="BA392" i="1" s="1"/>
  <c r="AD392" i="1"/>
  <c r="BP391" i="1"/>
  <c r="BM391" i="1"/>
  <c r="BH391" i="1"/>
  <c r="AZ391" i="1"/>
  <c r="AY391" i="1"/>
  <c r="AW391" i="1"/>
  <c r="AX391" i="1" s="1"/>
  <c r="AU391" i="1"/>
  <c r="AV391" i="1" s="1"/>
  <c r="AS391" i="1"/>
  <c r="AT391" i="1" s="1"/>
  <c r="BD391" i="1" s="1"/>
  <c r="AQ391" i="1"/>
  <c r="AR391" i="1" s="1"/>
  <c r="AO391" i="1"/>
  <c r="AP391" i="1" s="1"/>
  <c r="BC391" i="1" s="1"/>
  <c r="AM391" i="1"/>
  <c r="AN391" i="1" s="1"/>
  <c r="AK391" i="1"/>
  <c r="AL391" i="1" s="1"/>
  <c r="AI391" i="1"/>
  <c r="AJ391" i="1" s="1"/>
  <c r="AG391" i="1"/>
  <c r="AH391" i="1" s="1"/>
  <c r="AD391" i="1"/>
  <c r="BP390" i="1"/>
  <c r="BM390" i="1"/>
  <c r="BH390" i="1"/>
  <c r="AY390" i="1"/>
  <c r="AZ390" i="1" s="1"/>
  <c r="AW390" i="1"/>
  <c r="AX390" i="1" s="1"/>
  <c r="BE390" i="1" s="1"/>
  <c r="AU390" i="1"/>
  <c r="AV390" i="1" s="1"/>
  <c r="AS390" i="1"/>
  <c r="AT390" i="1" s="1"/>
  <c r="AQ390" i="1"/>
  <c r="AR390" i="1" s="1"/>
  <c r="AP390" i="1"/>
  <c r="BC390" i="1" s="1"/>
  <c r="AO390" i="1"/>
  <c r="AM390" i="1"/>
  <c r="AN390" i="1" s="1"/>
  <c r="AL390" i="1"/>
  <c r="AK390" i="1"/>
  <c r="AI390" i="1"/>
  <c r="AJ390" i="1" s="1"/>
  <c r="AG390" i="1"/>
  <c r="AH390" i="1" s="1"/>
  <c r="BA390" i="1" s="1"/>
  <c r="AD390" i="1"/>
  <c r="BP389" i="1"/>
  <c r="BM389" i="1"/>
  <c r="BH389" i="1"/>
  <c r="AY389" i="1"/>
  <c r="AZ389" i="1" s="1"/>
  <c r="AW389" i="1"/>
  <c r="AX389" i="1" s="1"/>
  <c r="AU389" i="1"/>
  <c r="AV389" i="1" s="1"/>
  <c r="AS389" i="1"/>
  <c r="AT389" i="1" s="1"/>
  <c r="AQ389" i="1"/>
  <c r="AR389" i="1" s="1"/>
  <c r="AO389" i="1"/>
  <c r="AP389" i="1" s="1"/>
  <c r="BC389" i="1" s="1"/>
  <c r="AM389" i="1"/>
  <c r="AN389" i="1" s="1"/>
  <c r="AK389" i="1"/>
  <c r="AL389" i="1" s="1"/>
  <c r="AI389" i="1"/>
  <c r="AJ389" i="1" s="1"/>
  <c r="AG389" i="1"/>
  <c r="AH389" i="1" s="1"/>
  <c r="AD389" i="1"/>
  <c r="BP388" i="1"/>
  <c r="BM388" i="1"/>
  <c r="BH388" i="1"/>
  <c r="AY388" i="1"/>
  <c r="AZ388" i="1" s="1"/>
  <c r="AW388" i="1"/>
  <c r="AX388" i="1" s="1"/>
  <c r="AU388" i="1"/>
  <c r="AV388" i="1" s="1"/>
  <c r="AS388" i="1"/>
  <c r="AT388" i="1" s="1"/>
  <c r="BD388" i="1" s="1"/>
  <c r="AQ388" i="1"/>
  <c r="AR388" i="1" s="1"/>
  <c r="AO388" i="1"/>
  <c r="AP388" i="1" s="1"/>
  <c r="BC388" i="1" s="1"/>
  <c r="AM388" i="1"/>
  <c r="AN388" i="1" s="1"/>
  <c r="AK388" i="1"/>
  <c r="AL388" i="1" s="1"/>
  <c r="BB388" i="1" s="1"/>
  <c r="AI388" i="1"/>
  <c r="AJ388" i="1" s="1"/>
  <c r="AG388" i="1"/>
  <c r="AH388" i="1" s="1"/>
  <c r="AD388" i="1"/>
  <c r="BP387" i="1"/>
  <c r="BM387" i="1"/>
  <c r="BH387" i="1"/>
  <c r="AY387" i="1"/>
  <c r="AZ387" i="1" s="1"/>
  <c r="AW387" i="1"/>
  <c r="AX387" i="1" s="1"/>
  <c r="AU387" i="1"/>
  <c r="AV387" i="1" s="1"/>
  <c r="AS387" i="1"/>
  <c r="AT387" i="1" s="1"/>
  <c r="BD387" i="1" s="1"/>
  <c r="AQ387" i="1"/>
  <c r="AR387" i="1" s="1"/>
  <c r="AO387" i="1"/>
  <c r="AP387" i="1" s="1"/>
  <c r="AM387" i="1"/>
  <c r="AN387" i="1" s="1"/>
  <c r="AK387" i="1"/>
  <c r="AL387" i="1" s="1"/>
  <c r="AI387" i="1"/>
  <c r="AJ387" i="1" s="1"/>
  <c r="AG387" i="1"/>
  <c r="AH387" i="1" s="1"/>
  <c r="AD387" i="1"/>
  <c r="BP386" i="1"/>
  <c r="BM386" i="1"/>
  <c r="BH386" i="1"/>
  <c r="AZ386" i="1"/>
  <c r="AY386" i="1"/>
  <c r="AW386" i="1"/>
  <c r="AX386" i="1" s="1"/>
  <c r="AV386" i="1"/>
  <c r="AU386" i="1"/>
  <c r="AT386" i="1"/>
  <c r="AS386" i="1"/>
  <c r="AQ386" i="1"/>
  <c r="AR386" i="1" s="1"/>
  <c r="AP386" i="1"/>
  <c r="AO386" i="1"/>
  <c r="AN386" i="1"/>
  <c r="AM386" i="1"/>
  <c r="AK386" i="1"/>
  <c r="AL386" i="1" s="1"/>
  <c r="BB386" i="1" s="1"/>
  <c r="AJ386" i="1"/>
  <c r="AI386" i="1"/>
  <c r="AH386" i="1"/>
  <c r="AG386" i="1"/>
  <c r="AD386" i="1"/>
  <c r="BP385" i="1"/>
  <c r="BM385" i="1"/>
  <c r="BH385" i="1"/>
  <c r="AZ385" i="1"/>
  <c r="AY385" i="1"/>
  <c r="AW385" i="1"/>
  <c r="AX385" i="1" s="1"/>
  <c r="BE385" i="1" s="1"/>
  <c r="AV385" i="1"/>
  <c r="BD385" i="1" s="1"/>
  <c r="AU385" i="1"/>
  <c r="AT385" i="1"/>
  <c r="AS385" i="1"/>
  <c r="AQ385" i="1"/>
  <c r="AR385" i="1" s="1"/>
  <c r="AO385" i="1"/>
  <c r="AP385" i="1" s="1"/>
  <c r="BC385" i="1" s="1"/>
  <c r="AN385" i="1"/>
  <c r="AM385" i="1"/>
  <c r="AK385" i="1"/>
  <c r="AL385" i="1" s="1"/>
  <c r="BB385" i="1" s="1"/>
  <c r="AJ385" i="1"/>
  <c r="AI385" i="1"/>
  <c r="AG385" i="1"/>
  <c r="AH385" i="1" s="1"/>
  <c r="BA385" i="1" s="1"/>
  <c r="AD385" i="1"/>
  <c r="BP384" i="1"/>
  <c r="BM384" i="1"/>
  <c r="BH384" i="1"/>
  <c r="AZ384" i="1"/>
  <c r="AY384" i="1"/>
  <c r="AW384" i="1"/>
  <c r="AX384" i="1" s="1"/>
  <c r="BE384" i="1" s="1"/>
  <c r="AV384" i="1"/>
  <c r="AU384" i="1"/>
  <c r="AS384" i="1"/>
  <c r="AT384" i="1" s="1"/>
  <c r="AQ384" i="1"/>
  <c r="AR384" i="1" s="1"/>
  <c r="AO384" i="1"/>
  <c r="AP384" i="1" s="1"/>
  <c r="BC384" i="1" s="1"/>
  <c r="AM384" i="1"/>
  <c r="AN384" i="1" s="1"/>
  <c r="AK384" i="1"/>
  <c r="AL384" i="1" s="1"/>
  <c r="AJ384" i="1"/>
  <c r="AI384" i="1"/>
  <c r="AG384" i="1"/>
  <c r="AH384" i="1" s="1"/>
  <c r="AD384" i="1"/>
  <c r="BP383" i="1"/>
  <c r="BM383" i="1"/>
  <c r="BH383" i="1"/>
  <c r="AY383" i="1"/>
  <c r="AZ383" i="1" s="1"/>
  <c r="AX383" i="1"/>
  <c r="BE383" i="1" s="1"/>
  <c r="AW383" i="1"/>
  <c r="AU383" i="1"/>
  <c r="AV383" i="1" s="1"/>
  <c r="AS383" i="1"/>
  <c r="AT383" i="1" s="1"/>
  <c r="AQ383" i="1"/>
  <c r="AR383" i="1" s="1"/>
  <c r="AO383" i="1"/>
  <c r="AP383" i="1" s="1"/>
  <c r="AM383" i="1"/>
  <c r="AN383" i="1" s="1"/>
  <c r="AL383" i="1"/>
  <c r="BB383" i="1" s="1"/>
  <c r="AK383" i="1"/>
  <c r="AI383" i="1"/>
  <c r="AJ383" i="1" s="1"/>
  <c r="AG383" i="1"/>
  <c r="AH383" i="1" s="1"/>
  <c r="BA383" i="1" s="1"/>
  <c r="AD383" i="1"/>
  <c r="BP382" i="1"/>
  <c r="BM382" i="1"/>
  <c r="BH382" i="1"/>
  <c r="AY382" i="1"/>
  <c r="AZ382" i="1" s="1"/>
  <c r="AX382" i="1"/>
  <c r="AW382" i="1"/>
  <c r="AU382" i="1"/>
  <c r="AV382" i="1" s="1"/>
  <c r="AS382" i="1"/>
  <c r="AT382" i="1" s="1"/>
  <c r="BD382" i="1" s="1"/>
  <c r="AQ382" i="1"/>
  <c r="AR382" i="1" s="1"/>
  <c r="AO382" i="1"/>
  <c r="AP382" i="1" s="1"/>
  <c r="AM382" i="1"/>
  <c r="AN382" i="1" s="1"/>
  <c r="AL382" i="1"/>
  <c r="AK382" i="1"/>
  <c r="AI382" i="1"/>
  <c r="AJ382" i="1" s="1"/>
  <c r="AG382" i="1"/>
  <c r="AH382" i="1" s="1"/>
  <c r="AD382" i="1"/>
  <c r="BP381" i="1"/>
  <c r="BM381" i="1"/>
  <c r="BH381" i="1"/>
  <c r="AY381" i="1"/>
  <c r="AZ381" i="1" s="1"/>
  <c r="AX381" i="1"/>
  <c r="AW381" i="1"/>
  <c r="AU381" i="1"/>
  <c r="AV381" i="1" s="1"/>
  <c r="BD381" i="1" s="1"/>
  <c r="AS381" i="1"/>
  <c r="AT381" i="1" s="1"/>
  <c r="AQ381" i="1"/>
  <c r="AR381" i="1" s="1"/>
  <c r="AO381" i="1"/>
  <c r="AP381" i="1" s="1"/>
  <c r="AM381" i="1"/>
  <c r="AN381" i="1" s="1"/>
  <c r="AL381" i="1"/>
  <c r="AK381" i="1"/>
  <c r="AI381" i="1"/>
  <c r="AJ381" i="1" s="1"/>
  <c r="AG381" i="1"/>
  <c r="AH381" i="1" s="1"/>
  <c r="AD381" i="1"/>
  <c r="BP380" i="1"/>
  <c r="BM380" i="1"/>
  <c r="BH380" i="1"/>
  <c r="AY380" i="1"/>
  <c r="AZ380" i="1" s="1"/>
  <c r="AW380" i="1"/>
  <c r="AX380" i="1" s="1"/>
  <c r="BE380" i="1" s="1"/>
  <c r="AU380" i="1"/>
  <c r="AV380" i="1" s="1"/>
  <c r="AS380" i="1"/>
  <c r="AT380" i="1" s="1"/>
  <c r="AR380" i="1"/>
  <c r="AQ380" i="1"/>
  <c r="AP380" i="1"/>
  <c r="BC380" i="1" s="1"/>
  <c r="AO380" i="1"/>
  <c r="AM380" i="1"/>
  <c r="AN380" i="1" s="1"/>
  <c r="AK380" i="1"/>
  <c r="AL380" i="1" s="1"/>
  <c r="AI380" i="1"/>
  <c r="AJ380" i="1" s="1"/>
  <c r="AG380" i="1"/>
  <c r="AH380" i="1" s="1"/>
  <c r="BA380" i="1" s="1"/>
  <c r="AD380" i="1"/>
  <c r="BP379" i="1"/>
  <c r="BM379" i="1"/>
  <c r="BH379" i="1"/>
  <c r="AZ379" i="1"/>
  <c r="AY379" i="1"/>
  <c r="AW379" i="1"/>
  <c r="AX379" i="1" s="1"/>
  <c r="BE379" i="1" s="1"/>
  <c r="AU379" i="1"/>
  <c r="AV379" i="1" s="1"/>
  <c r="AS379" i="1"/>
  <c r="AT379" i="1" s="1"/>
  <c r="BD379" i="1" s="1"/>
  <c r="AR379" i="1"/>
  <c r="AQ379" i="1"/>
  <c r="AP379" i="1"/>
  <c r="BC379" i="1" s="1"/>
  <c r="AO379" i="1"/>
  <c r="AN379" i="1"/>
  <c r="AM379" i="1"/>
  <c r="AK379" i="1"/>
  <c r="AL379" i="1" s="1"/>
  <c r="BB379" i="1" s="1"/>
  <c r="BF379" i="1" s="1"/>
  <c r="AI379" i="1"/>
  <c r="AJ379" i="1" s="1"/>
  <c r="AG379" i="1"/>
  <c r="AH379" i="1" s="1"/>
  <c r="BA379" i="1" s="1"/>
  <c r="AD379" i="1"/>
  <c r="BP378" i="1"/>
  <c r="BM378" i="1"/>
  <c r="BH378" i="1"/>
  <c r="AY378" i="1"/>
  <c r="AZ378" i="1" s="1"/>
  <c r="AW378" i="1"/>
  <c r="AX378" i="1" s="1"/>
  <c r="AU378" i="1"/>
  <c r="AV378" i="1" s="1"/>
  <c r="AS378" i="1"/>
  <c r="AT378" i="1" s="1"/>
  <c r="BD378" i="1" s="1"/>
  <c r="AQ378" i="1"/>
  <c r="AR378" i="1" s="1"/>
  <c r="AO378" i="1"/>
  <c r="AP378" i="1" s="1"/>
  <c r="AM378" i="1"/>
  <c r="AN378" i="1" s="1"/>
  <c r="AK378" i="1"/>
  <c r="AL378" i="1" s="1"/>
  <c r="BB378" i="1" s="1"/>
  <c r="AI378" i="1"/>
  <c r="AJ378" i="1" s="1"/>
  <c r="AG378" i="1"/>
  <c r="AH378" i="1" s="1"/>
  <c r="BA378" i="1" s="1"/>
  <c r="AD378" i="1"/>
  <c r="BP377" i="1"/>
  <c r="BM377" i="1"/>
  <c r="BH377" i="1"/>
  <c r="AY377" i="1"/>
  <c r="AZ377" i="1" s="1"/>
  <c r="AW377" i="1"/>
  <c r="AX377" i="1" s="1"/>
  <c r="AU377" i="1"/>
  <c r="AV377" i="1" s="1"/>
  <c r="BD377" i="1" s="1"/>
  <c r="AS377" i="1"/>
  <c r="AT377" i="1" s="1"/>
  <c r="AQ377" i="1"/>
  <c r="AR377" i="1" s="1"/>
  <c r="AO377" i="1"/>
  <c r="AP377" i="1" s="1"/>
  <c r="AM377" i="1"/>
  <c r="AN377" i="1" s="1"/>
  <c r="AK377" i="1"/>
  <c r="AL377" i="1" s="1"/>
  <c r="BB377" i="1" s="1"/>
  <c r="AI377" i="1"/>
  <c r="AJ377" i="1" s="1"/>
  <c r="AG377" i="1"/>
  <c r="AH377" i="1" s="1"/>
  <c r="AD377" i="1"/>
  <c r="BP376" i="1"/>
  <c r="BM376" i="1"/>
  <c r="BH376" i="1"/>
  <c r="AY376" i="1"/>
  <c r="AZ376" i="1" s="1"/>
  <c r="AW376" i="1"/>
  <c r="AX376" i="1" s="1"/>
  <c r="AU376" i="1"/>
  <c r="AV376" i="1" s="1"/>
  <c r="AS376" i="1"/>
  <c r="AT376" i="1" s="1"/>
  <c r="BD376" i="1" s="1"/>
  <c r="AQ376" i="1"/>
  <c r="AR376" i="1" s="1"/>
  <c r="AP376" i="1"/>
  <c r="BC376" i="1" s="1"/>
  <c r="AO376" i="1"/>
  <c r="AM376" i="1"/>
  <c r="AN376" i="1" s="1"/>
  <c r="AK376" i="1"/>
  <c r="AL376" i="1" s="1"/>
  <c r="BB376" i="1" s="1"/>
  <c r="AI376" i="1"/>
  <c r="AJ376" i="1" s="1"/>
  <c r="AG376" i="1"/>
  <c r="AH376" i="1" s="1"/>
  <c r="BA376" i="1" s="1"/>
  <c r="AD376" i="1"/>
  <c r="BP375" i="1"/>
  <c r="BM375" i="1"/>
  <c r="BH375" i="1"/>
  <c r="AY375" i="1"/>
  <c r="AZ375" i="1" s="1"/>
  <c r="AW375" i="1"/>
  <c r="AX375" i="1" s="1"/>
  <c r="AU375" i="1"/>
  <c r="AV375" i="1" s="1"/>
  <c r="AS375" i="1"/>
  <c r="AT375" i="1" s="1"/>
  <c r="AR375" i="1"/>
  <c r="AQ375" i="1"/>
  <c r="AO375" i="1"/>
  <c r="AP375" i="1" s="1"/>
  <c r="BC375" i="1" s="1"/>
  <c r="AM375" i="1"/>
  <c r="AN375" i="1" s="1"/>
  <c r="AK375" i="1"/>
  <c r="AL375" i="1" s="1"/>
  <c r="BB375" i="1" s="1"/>
  <c r="AI375" i="1"/>
  <c r="AJ375" i="1" s="1"/>
  <c r="AG375" i="1"/>
  <c r="AH375" i="1" s="1"/>
  <c r="AD375" i="1"/>
  <c r="BP374" i="1"/>
  <c r="BM374" i="1"/>
  <c r="BH374" i="1"/>
  <c r="AY374" i="1"/>
  <c r="AZ374" i="1" s="1"/>
  <c r="AW374" i="1"/>
  <c r="AX374" i="1" s="1"/>
  <c r="BE374" i="1" s="1"/>
  <c r="AU374" i="1"/>
  <c r="AV374" i="1" s="1"/>
  <c r="AS374" i="1"/>
  <c r="AT374" i="1" s="1"/>
  <c r="AR374" i="1"/>
  <c r="AQ374" i="1"/>
  <c r="AO374" i="1"/>
  <c r="AP374" i="1" s="1"/>
  <c r="BC374" i="1" s="1"/>
  <c r="AM374" i="1"/>
  <c r="AN374" i="1" s="1"/>
  <c r="AK374" i="1"/>
  <c r="AL374" i="1" s="1"/>
  <c r="BB374" i="1" s="1"/>
  <c r="AI374" i="1"/>
  <c r="AJ374" i="1" s="1"/>
  <c r="AG374" i="1"/>
  <c r="AH374" i="1" s="1"/>
  <c r="AD374" i="1"/>
  <c r="BP373" i="1"/>
  <c r="BM373" i="1"/>
  <c r="BH373" i="1"/>
  <c r="AY373" i="1"/>
  <c r="AZ373" i="1" s="1"/>
  <c r="AW373" i="1"/>
  <c r="AX373" i="1" s="1"/>
  <c r="BE373" i="1" s="1"/>
  <c r="AU373" i="1"/>
  <c r="AV373" i="1" s="1"/>
  <c r="BD373" i="1" s="1"/>
  <c r="AS373" i="1"/>
  <c r="AT373" i="1" s="1"/>
  <c r="AR373" i="1"/>
  <c r="AQ373" i="1"/>
  <c r="AO373" i="1"/>
  <c r="AP373" i="1" s="1"/>
  <c r="AM373" i="1"/>
  <c r="AN373" i="1" s="1"/>
  <c r="AK373" i="1"/>
  <c r="AL373" i="1" s="1"/>
  <c r="BB373" i="1" s="1"/>
  <c r="AI373" i="1"/>
  <c r="AJ373" i="1" s="1"/>
  <c r="AG373" i="1"/>
  <c r="AH373" i="1" s="1"/>
  <c r="AD373" i="1"/>
  <c r="BP372" i="1"/>
  <c r="BM372" i="1"/>
  <c r="BH372" i="1"/>
  <c r="AY372" i="1"/>
  <c r="AZ372" i="1" s="1"/>
  <c r="AW372" i="1"/>
  <c r="AX372" i="1" s="1"/>
  <c r="AU372" i="1"/>
  <c r="AV372" i="1" s="1"/>
  <c r="AT372" i="1"/>
  <c r="AS372" i="1"/>
  <c r="AQ372" i="1"/>
  <c r="AR372" i="1" s="1"/>
  <c r="AP372" i="1"/>
  <c r="AO372" i="1"/>
  <c r="AM372" i="1"/>
  <c r="AN372" i="1" s="1"/>
  <c r="AL372" i="1"/>
  <c r="AK372" i="1"/>
  <c r="AJ372" i="1"/>
  <c r="AI372" i="1"/>
  <c r="AG372" i="1"/>
  <c r="AH372" i="1" s="1"/>
  <c r="BA372" i="1" s="1"/>
  <c r="AD372" i="1"/>
  <c r="BH371" i="1"/>
  <c r="BC371" i="1"/>
  <c r="AY371" i="1"/>
  <c r="AW371" i="1"/>
  <c r="AX371" i="1" s="1"/>
  <c r="AU371" i="1"/>
  <c r="AS371" i="1"/>
  <c r="AM371" i="1"/>
  <c r="AN371" i="1" s="1"/>
  <c r="AK371" i="1"/>
  <c r="AL371" i="1" s="1"/>
  <c r="AI371" i="1"/>
  <c r="AG371" i="1"/>
  <c r="AF371" i="1"/>
  <c r="AZ371" i="1" s="1"/>
  <c r="BH370" i="1"/>
  <c r="BC370" i="1"/>
  <c r="AY370" i="1"/>
  <c r="AW370" i="1"/>
  <c r="AX370" i="1" s="1"/>
  <c r="AU370" i="1"/>
  <c r="AV370" i="1" s="1"/>
  <c r="AS370" i="1"/>
  <c r="AT370" i="1" s="1"/>
  <c r="BD370" i="1" s="1"/>
  <c r="AM370" i="1"/>
  <c r="AL370" i="1"/>
  <c r="AK370" i="1"/>
  <c r="AI370" i="1"/>
  <c r="AJ370" i="1" s="1"/>
  <c r="AG370" i="1"/>
  <c r="AH370" i="1" s="1"/>
  <c r="AF370" i="1"/>
  <c r="AD370" i="1"/>
  <c r="BH369" i="1"/>
  <c r="BC369" i="1"/>
  <c r="AY369" i="1"/>
  <c r="AZ369" i="1" s="1"/>
  <c r="AW369" i="1"/>
  <c r="AX369" i="1" s="1"/>
  <c r="AU369" i="1"/>
  <c r="AV369" i="1" s="1"/>
  <c r="BD369" i="1" s="1"/>
  <c r="AT369" i="1"/>
  <c r="AS369" i="1"/>
  <c r="AM369" i="1"/>
  <c r="AN369" i="1" s="1"/>
  <c r="AK369" i="1"/>
  <c r="AI369" i="1"/>
  <c r="AJ369" i="1" s="1"/>
  <c r="AG369" i="1"/>
  <c r="AH369" i="1" s="1"/>
  <c r="AF369" i="1"/>
  <c r="AD369" i="1"/>
  <c r="BH368" i="1"/>
  <c r="BE368" i="1"/>
  <c r="BC368" i="1"/>
  <c r="AZ368" i="1"/>
  <c r="AY368" i="1"/>
  <c r="AX368" i="1"/>
  <c r="AW368" i="1"/>
  <c r="AV368" i="1"/>
  <c r="AU368" i="1"/>
  <c r="AT368" i="1"/>
  <c r="BD368" i="1" s="1"/>
  <c r="AS368" i="1"/>
  <c r="AM368" i="1"/>
  <c r="AN368" i="1" s="1"/>
  <c r="AK368" i="1"/>
  <c r="AL368" i="1" s="1"/>
  <c r="AJ368" i="1"/>
  <c r="AI368" i="1"/>
  <c r="AG368" i="1"/>
  <c r="AH368" i="1" s="1"/>
  <c r="AD368" i="1"/>
  <c r="BH367" i="1"/>
  <c r="BC367" i="1"/>
  <c r="AY367" i="1"/>
  <c r="AZ367" i="1" s="1"/>
  <c r="AW367" i="1"/>
  <c r="AX367" i="1" s="1"/>
  <c r="AU367" i="1"/>
  <c r="AV367" i="1" s="1"/>
  <c r="AT367" i="1"/>
  <c r="AS367" i="1"/>
  <c r="AM367" i="1"/>
  <c r="AN367" i="1" s="1"/>
  <c r="AK367" i="1"/>
  <c r="AL367" i="1" s="1"/>
  <c r="AI367" i="1"/>
  <c r="AJ367" i="1" s="1"/>
  <c r="AH367" i="1"/>
  <c r="AG367" i="1"/>
  <c r="AD367" i="1"/>
  <c r="BP366" i="1"/>
  <c r="BM366" i="1"/>
  <c r="BH366" i="1"/>
  <c r="BC366" i="1"/>
  <c r="AZ366" i="1"/>
  <c r="AY366" i="1"/>
  <c r="AW366" i="1"/>
  <c r="AX366" i="1" s="1"/>
  <c r="AU366" i="1"/>
  <c r="AV366" i="1" s="1"/>
  <c r="AS366" i="1"/>
  <c r="AT366" i="1" s="1"/>
  <c r="AR366" i="1"/>
  <c r="AQ366" i="1"/>
  <c r="AO366" i="1"/>
  <c r="AP366" i="1" s="1"/>
  <c r="AM366" i="1"/>
  <c r="AN366" i="1" s="1"/>
  <c r="AK366" i="1"/>
  <c r="AL366" i="1" s="1"/>
  <c r="AI366" i="1"/>
  <c r="AJ366" i="1" s="1"/>
  <c r="AG366" i="1"/>
  <c r="AH366" i="1" s="1"/>
  <c r="AD366" i="1"/>
  <c r="BP365" i="1"/>
  <c r="BM365" i="1"/>
  <c r="BH365" i="1"/>
  <c r="AZ365" i="1"/>
  <c r="AY365" i="1"/>
  <c r="AX365" i="1"/>
  <c r="BE365" i="1" s="1"/>
  <c r="AW365" i="1"/>
  <c r="AU365" i="1"/>
  <c r="AV365" i="1" s="1"/>
  <c r="AS365" i="1"/>
  <c r="AT365" i="1" s="1"/>
  <c r="BD365" i="1" s="1"/>
  <c r="AR365" i="1"/>
  <c r="AQ365" i="1"/>
  <c r="AO365" i="1"/>
  <c r="AP365" i="1" s="1"/>
  <c r="AN365" i="1"/>
  <c r="AM365" i="1"/>
  <c r="AK365" i="1"/>
  <c r="AL365" i="1" s="1"/>
  <c r="BB365" i="1" s="1"/>
  <c r="AI365" i="1"/>
  <c r="AJ365" i="1" s="1"/>
  <c r="AH365" i="1"/>
  <c r="AG365" i="1"/>
  <c r="AD365" i="1"/>
  <c r="BP364" i="1"/>
  <c r="BM364" i="1"/>
  <c r="BH364" i="1"/>
  <c r="AY364" i="1"/>
  <c r="AZ364" i="1" s="1"/>
  <c r="AW364" i="1"/>
  <c r="AX364" i="1" s="1"/>
  <c r="BE364" i="1" s="1"/>
  <c r="AU364" i="1"/>
  <c r="AV364" i="1" s="1"/>
  <c r="AS364" i="1"/>
  <c r="AT364" i="1" s="1"/>
  <c r="BD364" i="1" s="1"/>
  <c r="AQ364" i="1"/>
  <c r="AR364" i="1" s="1"/>
  <c r="AO364" i="1"/>
  <c r="AP364" i="1" s="1"/>
  <c r="BC364" i="1" s="1"/>
  <c r="AM364" i="1"/>
  <c r="AN364" i="1" s="1"/>
  <c r="AL364" i="1"/>
  <c r="AK364" i="1"/>
  <c r="AI364" i="1"/>
  <c r="AJ364" i="1" s="1"/>
  <c r="AG364" i="1"/>
  <c r="AH364" i="1" s="1"/>
  <c r="BA364" i="1" s="1"/>
  <c r="AD364" i="1"/>
  <c r="BP363" i="1"/>
  <c r="BM363" i="1"/>
  <c r="BH363" i="1"/>
  <c r="AZ363" i="1"/>
  <c r="AY363" i="1"/>
  <c r="AW363" i="1"/>
  <c r="AX363" i="1" s="1"/>
  <c r="AU363" i="1"/>
  <c r="AV363" i="1" s="1"/>
  <c r="AT363" i="1"/>
  <c r="AS363" i="1"/>
  <c r="AQ363" i="1"/>
  <c r="AR363" i="1" s="1"/>
  <c r="AP363" i="1"/>
  <c r="AO363" i="1"/>
  <c r="AM363" i="1"/>
  <c r="AN363" i="1" s="1"/>
  <c r="AK363" i="1"/>
  <c r="AL363" i="1" s="1"/>
  <c r="BB363" i="1" s="1"/>
  <c r="AI363" i="1"/>
  <c r="AJ363" i="1" s="1"/>
  <c r="AG363" i="1"/>
  <c r="AH363" i="1" s="1"/>
  <c r="BA363" i="1" s="1"/>
  <c r="AD363" i="1"/>
  <c r="BP362" i="1"/>
  <c r="BM362" i="1"/>
  <c r="BH362" i="1"/>
  <c r="AY362" i="1"/>
  <c r="AZ362" i="1" s="1"/>
  <c r="AW362" i="1"/>
  <c r="AX362" i="1" s="1"/>
  <c r="BE362" i="1" s="1"/>
  <c r="AU362" i="1"/>
  <c r="AV362" i="1" s="1"/>
  <c r="AS362" i="1"/>
  <c r="AT362" i="1" s="1"/>
  <c r="AQ362" i="1"/>
  <c r="AR362" i="1" s="1"/>
  <c r="AO362" i="1"/>
  <c r="AP362" i="1" s="1"/>
  <c r="BC362" i="1" s="1"/>
  <c r="AN362" i="1"/>
  <c r="AM362" i="1"/>
  <c r="AK362" i="1"/>
  <c r="AL362" i="1" s="1"/>
  <c r="AI362" i="1"/>
  <c r="AJ362" i="1" s="1"/>
  <c r="AG362" i="1"/>
  <c r="AH362" i="1" s="1"/>
  <c r="AD362" i="1"/>
  <c r="BP361" i="1"/>
  <c r="BM361" i="1"/>
  <c r="BH361" i="1"/>
  <c r="AY361" i="1"/>
  <c r="AZ361" i="1" s="1"/>
  <c r="AX361" i="1"/>
  <c r="AW361" i="1"/>
  <c r="AV361" i="1"/>
  <c r="AU361" i="1"/>
  <c r="AS361" i="1"/>
  <c r="AT361" i="1" s="1"/>
  <c r="BD361" i="1" s="1"/>
  <c r="AQ361" i="1"/>
  <c r="AR361" i="1" s="1"/>
  <c r="AO361" i="1"/>
  <c r="AP361" i="1" s="1"/>
  <c r="BC361" i="1" s="1"/>
  <c r="AM361" i="1"/>
  <c r="AN361" i="1" s="1"/>
  <c r="AK361" i="1"/>
  <c r="AL361" i="1" s="1"/>
  <c r="AJ361" i="1"/>
  <c r="AI361" i="1"/>
  <c r="AG361" i="1"/>
  <c r="AH361" i="1" s="1"/>
  <c r="BA361" i="1" s="1"/>
  <c r="AD361" i="1"/>
  <c r="BH360" i="1"/>
  <c r="BC360" i="1"/>
  <c r="AY360" i="1"/>
  <c r="AZ360" i="1" s="1"/>
  <c r="AX360" i="1"/>
  <c r="BE360" i="1" s="1"/>
  <c r="AW360" i="1"/>
  <c r="AU360" i="1"/>
  <c r="AV360" i="1" s="1"/>
  <c r="AT360" i="1"/>
  <c r="BD360" i="1" s="1"/>
  <c r="AS360" i="1"/>
  <c r="AM360" i="1"/>
  <c r="AN360" i="1" s="1"/>
  <c r="AK360" i="1"/>
  <c r="AL360" i="1" s="1"/>
  <c r="AI360" i="1"/>
  <c r="AJ360" i="1" s="1"/>
  <c r="AH360" i="1"/>
  <c r="AG360" i="1"/>
  <c r="AD360" i="1"/>
  <c r="BH359" i="1"/>
  <c r="BC359" i="1"/>
  <c r="AY359" i="1"/>
  <c r="AZ359" i="1" s="1"/>
  <c r="AW359" i="1"/>
  <c r="AX359" i="1" s="1"/>
  <c r="AU359" i="1"/>
  <c r="AV359" i="1" s="1"/>
  <c r="AS359" i="1"/>
  <c r="AT359" i="1" s="1"/>
  <c r="AM359" i="1"/>
  <c r="AN359" i="1" s="1"/>
  <c r="AK359" i="1"/>
  <c r="AL359" i="1" s="1"/>
  <c r="AJ359" i="1"/>
  <c r="AI359" i="1"/>
  <c r="AG359" i="1"/>
  <c r="AH359" i="1" s="1"/>
  <c r="BP358" i="1"/>
  <c r="BM358" i="1"/>
  <c r="BH358" i="1"/>
  <c r="AY358" i="1"/>
  <c r="AZ358" i="1" s="1"/>
  <c r="AW358" i="1"/>
  <c r="AX358" i="1" s="1"/>
  <c r="BE358" i="1" s="1"/>
  <c r="AU358" i="1"/>
  <c r="AV358" i="1" s="1"/>
  <c r="AT358" i="1"/>
  <c r="AS358" i="1"/>
  <c r="AQ358" i="1"/>
  <c r="AR358" i="1" s="1"/>
  <c r="AO358" i="1"/>
  <c r="AP358" i="1" s="1"/>
  <c r="AM358" i="1"/>
  <c r="AN358" i="1" s="1"/>
  <c r="AK358" i="1"/>
  <c r="AL358" i="1" s="1"/>
  <c r="BB358" i="1" s="1"/>
  <c r="AI358" i="1"/>
  <c r="AJ358" i="1" s="1"/>
  <c r="AG358" i="1"/>
  <c r="AH358" i="1" s="1"/>
  <c r="AD358" i="1"/>
  <c r="BP357" i="1"/>
  <c r="BM357" i="1"/>
  <c r="BH357" i="1"/>
  <c r="AZ357" i="1"/>
  <c r="AY357" i="1"/>
  <c r="AW357" i="1"/>
  <c r="AU357" i="1"/>
  <c r="AV357" i="1" s="1"/>
  <c r="AS357" i="1"/>
  <c r="AT357" i="1" s="1"/>
  <c r="BD357" i="1" s="1"/>
  <c r="AR357" i="1"/>
  <c r="AQ357" i="1"/>
  <c r="AO357" i="1"/>
  <c r="AM357" i="1"/>
  <c r="AN357" i="1" s="1"/>
  <c r="AK357" i="1"/>
  <c r="AJ357" i="1"/>
  <c r="AI357" i="1"/>
  <c r="AG357" i="1"/>
  <c r="AH357" i="1" s="1"/>
  <c r="BA357" i="1" s="1"/>
  <c r="AF357" i="1"/>
  <c r="AD357" i="1"/>
  <c r="BH356" i="1"/>
  <c r="BC356" i="1"/>
  <c r="AZ356" i="1"/>
  <c r="AY356" i="1"/>
  <c r="AW356" i="1"/>
  <c r="AX356" i="1" s="1"/>
  <c r="AV356" i="1"/>
  <c r="AU356" i="1"/>
  <c r="AS356" i="1"/>
  <c r="AT356" i="1" s="1"/>
  <c r="BD356" i="1" s="1"/>
  <c r="AQ356" i="1"/>
  <c r="AO356" i="1"/>
  <c r="AM356" i="1"/>
  <c r="AN356" i="1" s="1"/>
  <c r="AK356" i="1"/>
  <c r="AL356" i="1" s="1"/>
  <c r="AI356" i="1"/>
  <c r="AJ356" i="1" s="1"/>
  <c r="AG356" i="1"/>
  <c r="AH356" i="1" s="1"/>
  <c r="BP355" i="1"/>
  <c r="BM355" i="1"/>
  <c r="BH355" i="1"/>
  <c r="AZ355" i="1"/>
  <c r="AY355" i="1"/>
  <c r="AW355" i="1"/>
  <c r="AX355" i="1" s="1"/>
  <c r="AU355" i="1"/>
  <c r="AV355" i="1" s="1"/>
  <c r="AS355" i="1"/>
  <c r="AT355" i="1" s="1"/>
  <c r="BD355" i="1" s="1"/>
  <c r="AR355" i="1"/>
  <c r="AQ355" i="1"/>
  <c r="AO355" i="1"/>
  <c r="AP355" i="1" s="1"/>
  <c r="BC355" i="1" s="1"/>
  <c r="AM355" i="1"/>
  <c r="AN355" i="1" s="1"/>
  <c r="AK355" i="1"/>
  <c r="AL355" i="1" s="1"/>
  <c r="AJ355" i="1"/>
  <c r="AI355" i="1"/>
  <c r="AG355" i="1"/>
  <c r="AH355" i="1" s="1"/>
  <c r="AD355" i="1"/>
  <c r="BP354" i="1"/>
  <c r="BM354" i="1"/>
  <c r="BH354" i="1"/>
  <c r="AY354" i="1"/>
  <c r="AZ354" i="1" s="1"/>
  <c r="AW354" i="1"/>
  <c r="AX354" i="1" s="1"/>
  <c r="BE354" i="1" s="1"/>
  <c r="AU354" i="1"/>
  <c r="AV354" i="1" s="1"/>
  <c r="AS354" i="1"/>
  <c r="AT354" i="1" s="1"/>
  <c r="AQ354" i="1"/>
  <c r="AR354" i="1" s="1"/>
  <c r="AO354" i="1"/>
  <c r="AP354" i="1" s="1"/>
  <c r="AM354" i="1"/>
  <c r="AN354" i="1" s="1"/>
  <c r="AK354" i="1"/>
  <c r="AL354" i="1" s="1"/>
  <c r="BB354" i="1" s="1"/>
  <c r="AI354" i="1"/>
  <c r="AJ354" i="1" s="1"/>
  <c r="AH354" i="1"/>
  <c r="BA354" i="1" s="1"/>
  <c r="AG354" i="1"/>
  <c r="AD354" i="1"/>
  <c r="BP353" i="1"/>
  <c r="BM353" i="1"/>
  <c r="BH353" i="1"/>
  <c r="BE353" i="1"/>
  <c r="AY353" i="1"/>
  <c r="AZ353" i="1" s="1"/>
  <c r="AW353" i="1"/>
  <c r="AX353" i="1" s="1"/>
  <c r="AU353" i="1"/>
  <c r="AV353" i="1" s="1"/>
  <c r="BD353" i="1" s="1"/>
  <c r="AS353" i="1"/>
  <c r="AT353" i="1" s="1"/>
  <c r="AQ353" i="1"/>
  <c r="AR353" i="1" s="1"/>
  <c r="AO353" i="1"/>
  <c r="AP353" i="1" s="1"/>
  <c r="AN353" i="1"/>
  <c r="AM353" i="1"/>
  <c r="AK353" i="1"/>
  <c r="AL353" i="1" s="1"/>
  <c r="AI353" i="1"/>
  <c r="AJ353" i="1" s="1"/>
  <c r="AG353" i="1"/>
  <c r="AH353" i="1" s="1"/>
  <c r="AD353" i="1"/>
  <c r="BP352" i="1"/>
  <c r="BM352" i="1"/>
  <c r="BH352" i="1"/>
  <c r="AY352" i="1"/>
  <c r="AZ352" i="1" s="1"/>
  <c r="BE352" i="1" s="1"/>
  <c r="AW352" i="1"/>
  <c r="AX352" i="1" s="1"/>
  <c r="AU352" i="1"/>
  <c r="AV352" i="1" s="1"/>
  <c r="AS352" i="1"/>
  <c r="AT352" i="1" s="1"/>
  <c r="BD352" i="1" s="1"/>
  <c r="AQ352" i="1"/>
  <c r="AR352" i="1" s="1"/>
  <c r="AO352" i="1"/>
  <c r="AP352" i="1" s="1"/>
  <c r="BC352" i="1" s="1"/>
  <c r="AM352" i="1"/>
  <c r="AN352" i="1" s="1"/>
  <c r="BB352" i="1" s="1"/>
  <c r="AL352" i="1"/>
  <c r="AK352" i="1"/>
  <c r="AI352" i="1"/>
  <c r="AJ352" i="1" s="1"/>
  <c r="AG352" i="1"/>
  <c r="AH352" i="1" s="1"/>
  <c r="BA352" i="1" s="1"/>
  <c r="AD352" i="1"/>
  <c r="BP351" i="1"/>
  <c r="BM351" i="1"/>
  <c r="BH351" i="1"/>
  <c r="AZ351" i="1"/>
  <c r="AY351" i="1"/>
  <c r="AW351" i="1"/>
  <c r="AX351" i="1" s="1"/>
  <c r="BE351" i="1" s="1"/>
  <c r="AU351" i="1"/>
  <c r="AV351" i="1" s="1"/>
  <c r="AS351" i="1"/>
  <c r="AT351" i="1" s="1"/>
  <c r="AR351" i="1"/>
  <c r="AQ351" i="1"/>
  <c r="AO351" i="1"/>
  <c r="AP351" i="1" s="1"/>
  <c r="BC351" i="1" s="1"/>
  <c r="AM351" i="1"/>
  <c r="AN351" i="1" s="1"/>
  <c r="AK351" i="1"/>
  <c r="AL351" i="1" s="1"/>
  <c r="AI351" i="1"/>
  <c r="AJ351" i="1" s="1"/>
  <c r="AG351" i="1"/>
  <c r="AH351" i="1" s="1"/>
  <c r="AD351" i="1"/>
  <c r="BP350" i="1"/>
  <c r="BM350" i="1"/>
  <c r="BH350" i="1"/>
  <c r="AY350" i="1"/>
  <c r="AZ350" i="1" s="1"/>
  <c r="AW350" i="1"/>
  <c r="AX350" i="1" s="1"/>
  <c r="AU350" i="1"/>
  <c r="AV350" i="1" s="1"/>
  <c r="AS350" i="1"/>
  <c r="AT350" i="1" s="1"/>
  <c r="AQ350" i="1"/>
  <c r="AR350" i="1" s="1"/>
  <c r="AO350" i="1"/>
  <c r="AP350" i="1" s="1"/>
  <c r="BC350" i="1" s="1"/>
  <c r="AM350" i="1"/>
  <c r="AN350" i="1" s="1"/>
  <c r="AK350" i="1"/>
  <c r="AL350" i="1" s="1"/>
  <c r="AI350" i="1"/>
  <c r="AJ350" i="1" s="1"/>
  <c r="BA350" i="1" s="1"/>
  <c r="AH350" i="1"/>
  <c r="AG350" i="1"/>
  <c r="AD350" i="1"/>
  <c r="BP349" i="1"/>
  <c r="BM349" i="1"/>
  <c r="BH349" i="1"/>
  <c r="AY349" i="1"/>
  <c r="AZ349" i="1" s="1"/>
  <c r="AW349" i="1"/>
  <c r="AX349" i="1" s="1"/>
  <c r="BE349" i="1" s="1"/>
  <c r="AU349" i="1"/>
  <c r="AV349" i="1" s="1"/>
  <c r="AS349" i="1"/>
  <c r="AT349" i="1" s="1"/>
  <c r="AQ349" i="1"/>
  <c r="AR349" i="1" s="1"/>
  <c r="AO349" i="1"/>
  <c r="AP349" i="1" s="1"/>
  <c r="AM349" i="1"/>
  <c r="AN349" i="1" s="1"/>
  <c r="AK349" i="1"/>
  <c r="AL349" i="1" s="1"/>
  <c r="AI349" i="1"/>
  <c r="AJ349" i="1" s="1"/>
  <c r="AG349" i="1"/>
  <c r="AH349" i="1" s="1"/>
  <c r="BA349" i="1" s="1"/>
  <c r="AD349" i="1"/>
  <c r="BP348" i="1"/>
  <c r="BM348" i="1"/>
  <c r="BH348" i="1"/>
  <c r="AY348" i="1"/>
  <c r="AZ348" i="1" s="1"/>
  <c r="AW348" i="1"/>
  <c r="AX348" i="1" s="1"/>
  <c r="AU348" i="1"/>
  <c r="AV348" i="1" s="1"/>
  <c r="AS348" i="1"/>
  <c r="AT348" i="1" s="1"/>
  <c r="AQ348" i="1"/>
  <c r="AR348" i="1" s="1"/>
  <c r="AO348" i="1"/>
  <c r="AP348" i="1" s="1"/>
  <c r="AM348" i="1"/>
  <c r="AN348" i="1" s="1"/>
  <c r="AK348" i="1"/>
  <c r="AL348" i="1" s="1"/>
  <c r="BB348" i="1" s="1"/>
  <c r="AI348" i="1"/>
  <c r="AJ348" i="1" s="1"/>
  <c r="AG348" i="1"/>
  <c r="AH348" i="1" s="1"/>
  <c r="AD348" i="1"/>
  <c r="BP347" i="1"/>
  <c r="BM347" i="1"/>
  <c r="BH347" i="1"/>
  <c r="AZ347" i="1"/>
  <c r="AY347" i="1"/>
  <c r="AW347" i="1"/>
  <c r="AX347" i="1" s="1"/>
  <c r="BE347" i="1" s="1"/>
  <c r="AU347" i="1"/>
  <c r="AV347" i="1" s="1"/>
  <c r="AS347" i="1"/>
  <c r="AT347" i="1" s="1"/>
  <c r="BD347" i="1" s="1"/>
  <c r="AQ347" i="1"/>
  <c r="AR347" i="1" s="1"/>
  <c r="BC347" i="1" s="1"/>
  <c r="AO347" i="1"/>
  <c r="AP347" i="1" s="1"/>
  <c r="AM347" i="1"/>
  <c r="AN347" i="1" s="1"/>
  <c r="AK347" i="1"/>
  <c r="AL347" i="1" s="1"/>
  <c r="AI347" i="1"/>
  <c r="AJ347" i="1" s="1"/>
  <c r="BA347" i="1" s="1"/>
  <c r="AG347" i="1"/>
  <c r="AH347" i="1" s="1"/>
  <c r="AD347" i="1"/>
  <c r="BP346" i="1"/>
  <c r="BM346" i="1"/>
  <c r="BH346" i="1"/>
  <c r="AY346" i="1"/>
  <c r="AZ346" i="1" s="1"/>
  <c r="AX346" i="1"/>
  <c r="BE346" i="1" s="1"/>
  <c r="AW346" i="1"/>
  <c r="AU346" i="1"/>
  <c r="AV346" i="1" s="1"/>
  <c r="AS346" i="1"/>
  <c r="AT346" i="1" s="1"/>
  <c r="AQ346" i="1"/>
  <c r="AR346" i="1" s="1"/>
  <c r="AP346" i="1"/>
  <c r="AO346" i="1"/>
  <c r="AM346" i="1"/>
  <c r="AN346" i="1" s="1"/>
  <c r="AK346" i="1"/>
  <c r="AL346" i="1" s="1"/>
  <c r="BB346" i="1" s="1"/>
  <c r="AI346" i="1"/>
  <c r="AJ346" i="1" s="1"/>
  <c r="AG346" i="1"/>
  <c r="AH346" i="1" s="1"/>
  <c r="BA346" i="1" s="1"/>
  <c r="AD346" i="1"/>
  <c r="BP345" i="1"/>
  <c r="BM345" i="1"/>
  <c r="BH345" i="1"/>
  <c r="AY345" i="1"/>
  <c r="AZ345" i="1" s="1"/>
  <c r="AW345" i="1"/>
  <c r="AX345" i="1" s="1"/>
  <c r="AU345" i="1"/>
  <c r="AV345" i="1" s="1"/>
  <c r="AS345" i="1"/>
  <c r="AT345" i="1" s="1"/>
  <c r="AQ345" i="1"/>
  <c r="AR345" i="1" s="1"/>
  <c r="AO345" i="1"/>
  <c r="AP345" i="1" s="1"/>
  <c r="BC345" i="1" s="1"/>
  <c r="AM345" i="1"/>
  <c r="AN345" i="1" s="1"/>
  <c r="AK345" i="1"/>
  <c r="AL345" i="1" s="1"/>
  <c r="AI345" i="1"/>
  <c r="AJ345" i="1" s="1"/>
  <c r="AG345" i="1"/>
  <c r="AH345" i="1" s="1"/>
  <c r="BA345" i="1" s="1"/>
  <c r="AD345" i="1"/>
  <c r="BP344" i="1"/>
  <c r="BM344" i="1"/>
  <c r="BH344" i="1"/>
  <c r="AY344" i="1"/>
  <c r="AZ344" i="1" s="1"/>
  <c r="AW344" i="1"/>
  <c r="AX344" i="1" s="1"/>
  <c r="BE344" i="1" s="1"/>
  <c r="AU344" i="1"/>
  <c r="AV344" i="1" s="1"/>
  <c r="AT344" i="1"/>
  <c r="BD344" i="1" s="1"/>
  <c r="AS344" i="1"/>
  <c r="AQ344" i="1"/>
  <c r="AR344" i="1" s="1"/>
  <c r="AO344" i="1"/>
  <c r="AP344" i="1" s="1"/>
  <c r="AM344" i="1"/>
  <c r="AN344" i="1" s="1"/>
  <c r="AK344" i="1"/>
  <c r="AL344" i="1" s="1"/>
  <c r="BB344" i="1" s="1"/>
  <c r="AI344" i="1"/>
  <c r="AJ344" i="1" s="1"/>
  <c r="AG344" i="1"/>
  <c r="AH344" i="1" s="1"/>
  <c r="BA344" i="1" s="1"/>
  <c r="AD344" i="1"/>
  <c r="BP343" i="1"/>
  <c r="BM343" i="1"/>
  <c r="BH343" i="1"/>
  <c r="AY343" i="1"/>
  <c r="AZ343" i="1" s="1"/>
  <c r="AW343" i="1"/>
  <c r="AX343" i="1" s="1"/>
  <c r="AU343" i="1"/>
  <c r="AV343" i="1" s="1"/>
  <c r="AS343" i="1"/>
  <c r="AT343" i="1" s="1"/>
  <c r="AQ343" i="1"/>
  <c r="AR343" i="1" s="1"/>
  <c r="AO343" i="1"/>
  <c r="AP343" i="1" s="1"/>
  <c r="AM343" i="1"/>
  <c r="AN343" i="1" s="1"/>
  <c r="AK343" i="1"/>
  <c r="AL343" i="1" s="1"/>
  <c r="AI343" i="1"/>
  <c r="AJ343" i="1" s="1"/>
  <c r="AG343" i="1"/>
  <c r="AH343" i="1" s="1"/>
  <c r="BA343" i="1" s="1"/>
  <c r="AD343" i="1"/>
  <c r="BP342" i="1"/>
  <c r="BM342" i="1"/>
  <c r="BH342" i="1"/>
  <c r="AY342" i="1"/>
  <c r="AZ342" i="1" s="1"/>
  <c r="AW342" i="1"/>
  <c r="AX342" i="1" s="1"/>
  <c r="BE342" i="1" s="1"/>
  <c r="AU342" i="1"/>
  <c r="AV342" i="1" s="1"/>
  <c r="AS342" i="1"/>
  <c r="AT342" i="1" s="1"/>
  <c r="BD342" i="1" s="1"/>
  <c r="AQ342" i="1"/>
  <c r="AR342" i="1" s="1"/>
  <c r="AO342" i="1"/>
  <c r="AP342" i="1" s="1"/>
  <c r="BC342" i="1" s="1"/>
  <c r="AM342" i="1"/>
  <c r="AN342" i="1" s="1"/>
  <c r="AK342" i="1"/>
  <c r="AL342" i="1" s="1"/>
  <c r="BB342" i="1" s="1"/>
  <c r="AI342" i="1"/>
  <c r="AJ342" i="1" s="1"/>
  <c r="AG342" i="1"/>
  <c r="AH342" i="1" s="1"/>
  <c r="AD342" i="1"/>
  <c r="BP341" i="1"/>
  <c r="BM341" i="1"/>
  <c r="BH341" i="1"/>
  <c r="AY341" i="1"/>
  <c r="AZ341" i="1" s="1"/>
  <c r="AW341" i="1"/>
  <c r="AX341" i="1" s="1"/>
  <c r="BE341" i="1" s="1"/>
  <c r="AU341" i="1"/>
  <c r="AV341" i="1" s="1"/>
  <c r="AS341" i="1"/>
  <c r="AT341" i="1" s="1"/>
  <c r="AQ341" i="1"/>
  <c r="AR341" i="1" s="1"/>
  <c r="BC341" i="1" s="1"/>
  <c r="AO341" i="1"/>
  <c r="AP341" i="1" s="1"/>
  <c r="AM341" i="1"/>
  <c r="AN341" i="1" s="1"/>
  <c r="AK341" i="1"/>
  <c r="AL341" i="1" s="1"/>
  <c r="AI341" i="1"/>
  <c r="AJ341" i="1" s="1"/>
  <c r="AG341" i="1"/>
  <c r="AH341" i="1" s="1"/>
  <c r="BA341" i="1" s="1"/>
  <c r="AD341" i="1"/>
  <c r="BP340" i="1"/>
  <c r="BM340" i="1"/>
  <c r="BH340" i="1"/>
  <c r="AY340" i="1"/>
  <c r="AZ340" i="1" s="1"/>
  <c r="AW340" i="1"/>
  <c r="AX340" i="1" s="1"/>
  <c r="BE340" i="1" s="1"/>
  <c r="AU340" i="1"/>
  <c r="AV340" i="1" s="1"/>
  <c r="AS340" i="1"/>
  <c r="AT340" i="1" s="1"/>
  <c r="BD340" i="1" s="1"/>
  <c r="AQ340" i="1"/>
  <c r="AR340" i="1" s="1"/>
  <c r="BC340" i="1" s="1"/>
  <c r="AO340" i="1"/>
  <c r="AP340" i="1" s="1"/>
  <c r="AM340" i="1"/>
  <c r="AN340" i="1" s="1"/>
  <c r="AK340" i="1"/>
  <c r="AL340" i="1" s="1"/>
  <c r="BB340" i="1" s="1"/>
  <c r="AI340" i="1"/>
  <c r="AJ340" i="1" s="1"/>
  <c r="AG340" i="1"/>
  <c r="AH340" i="1" s="1"/>
  <c r="BA340" i="1" s="1"/>
  <c r="AD340" i="1"/>
  <c r="BP339" i="1"/>
  <c r="BM339" i="1"/>
  <c r="BH339" i="1"/>
  <c r="AY339" i="1"/>
  <c r="AZ339" i="1" s="1"/>
  <c r="AW339" i="1"/>
  <c r="AX339" i="1" s="1"/>
  <c r="BE339" i="1" s="1"/>
  <c r="AU339" i="1"/>
  <c r="AV339" i="1" s="1"/>
  <c r="AS339" i="1"/>
  <c r="AT339" i="1" s="1"/>
  <c r="BD339" i="1" s="1"/>
  <c r="AQ339" i="1"/>
  <c r="AR339" i="1" s="1"/>
  <c r="AO339" i="1"/>
  <c r="AP339" i="1" s="1"/>
  <c r="AM339" i="1"/>
  <c r="AN339" i="1" s="1"/>
  <c r="AK339" i="1"/>
  <c r="AL339" i="1" s="1"/>
  <c r="AI339" i="1"/>
  <c r="AJ339" i="1" s="1"/>
  <c r="AG339" i="1"/>
  <c r="AH339" i="1" s="1"/>
  <c r="AD339" i="1"/>
  <c r="BH338" i="1"/>
  <c r="BC338" i="1"/>
  <c r="AY338" i="1"/>
  <c r="AZ338" i="1" s="1"/>
  <c r="AW338" i="1"/>
  <c r="AX338" i="1" s="1"/>
  <c r="AU338" i="1"/>
  <c r="AV338" i="1" s="1"/>
  <c r="AS338" i="1"/>
  <c r="AT338" i="1" s="1"/>
  <c r="AM338" i="1"/>
  <c r="AN338" i="1" s="1"/>
  <c r="AK338" i="1"/>
  <c r="AL338" i="1" s="1"/>
  <c r="AI338" i="1"/>
  <c r="AJ338" i="1" s="1"/>
  <c r="AG338" i="1"/>
  <c r="AH338" i="1" s="1"/>
  <c r="AD338" i="1"/>
  <c r="BH337" i="1"/>
  <c r="BC337" i="1"/>
  <c r="AY337" i="1"/>
  <c r="AZ337" i="1" s="1"/>
  <c r="AW337" i="1"/>
  <c r="AX337" i="1" s="1"/>
  <c r="AU337" i="1"/>
  <c r="AV337" i="1" s="1"/>
  <c r="AS337" i="1"/>
  <c r="AT337" i="1" s="1"/>
  <c r="BD337" i="1" s="1"/>
  <c r="AN337" i="1"/>
  <c r="AM337" i="1"/>
  <c r="AK337" i="1"/>
  <c r="AL337" i="1" s="1"/>
  <c r="AI337" i="1"/>
  <c r="AJ337" i="1" s="1"/>
  <c r="AG337" i="1"/>
  <c r="AH337" i="1" s="1"/>
  <c r="AD337" i="1"/>
  <c r="BH336" i="1"/>
  <c r="BC336" i="1"/>
  <c r="AY336" i="1"/>
  <c r="AZ336" i="1" s="1"/>
  <c r="AW336" i="1"/>
  <c r="AX336" i="1" s="1"/>
  <c r="BE336" i="1" s="1"/>
  <c r="AU336" i="1"/>
  <c r="AV336" i="1" s="1"/>
  <c r="AS336" i="1"/>
  <c r="AT336" i="1" s="1"/>
  <c r="BD336" i="1" s="1"/>
  <c r="AM336" i="1"/>
  <c r="AN336" i="1" s="1"/>
  <c r="AK336" i="1"/>
  <c r="AL336" i="1" s="1"/>
  <c r="BB336" i="1" s="1"/>
  <c r="AI336" i="1"/>
  <c r="AJ336" i="1" s="1"/>
  <c r="AG336" i="1"/>
  <c r="AH336" i="1" s="1"/>
  <c r="AD336" i="1"/>
  <c r="BH335" i="1"/>
  <c r="BC335" i="1"/>
  <c r="AY335" i="1"/>
  <c r="AZ335" i="1" s="1"/>
  <c r="AW335" i="1"/>
  <c r="AX335" i="1" s="1"/>
  <c r="BE335" i="1" s="1"/>
  <c r="AV335" i="1"/>
  <c r="AU335" i="1"/>
  <c r="AS335" i="1"/>
  <c r="AT335" i="1" s="1"/>
  <c r="AM335" i="1"/>
  <c r="AN335" i="1" s="1"/>
  <c r="AK335" i="1"/>
  <c r="AL335" i="1" s="1"/>
  <c r="BB335" i="1" s="1"/>
  <c r="AI335" i="1"/>
  <c r="AJ335" i="1" s="1"/>
  <c r="AG335" i="1"/>
  <c r="AH335" i="1" s="1"/>
  <c r="AD335" i="1"/>
  <c r="BH334" i="1"/>
  <c r="BC334" i="1"/>
  <c r="AY334" i="1"/>
  <c r="AZ334" i="1" s="1"/>
  <c r="AW334" i="1"/>
  <c r="AX334" i="1" s="1"/>
  <c r="BE334" i="1" s="1"/>
  <c r="AU334" i="1"/>
  <c r="AV334" i="1" s="1"/>
  <c r="AT334" i="1"/>
  <c r="BD334" i="1" s="1"/>
  <c r="AS334" i="1"/>
  <c r="AM334" i="1"/>
  <c r="AN334" i="1" s="1"/>
  <c r="AK334" i="1"/>
  <c r="AL334" i="1" s="1"/>
  <c r="BB334" i="1" s="1"/>
  <c r="AI334" i="1"/>
  <c r="AJ334" i="1" s="1"/>
  <c r="AG334" i="1"/>
  <c r="AH334" i="1" s="1"/>
  <c r="AD334" i="1"/>
  <c r="BH333" i="1"/>
  <c r="BC333" i="1"/>
  <c r="AY333" i="1"/>
  <c r="AZ333" i="1" s="1"/>
  <c r="AW333" i="1"/>
  <c r="AX333" i="1" s="1"/>
  <c r="AU333" i="1"/>
  <c r="AV333" i="1" s="1"/>
  <c r="AS333" i="1"/>
  <c r="AT333" i="1" s="1"/>
  <c r="AM333" i="1"/>
  <c r="AN333" i="1" s="1"/>
  <c r="AK333" i="1"/>
  <c r="AL333" i="1" s="1"/>
  <c r="BB333" i="1" s="1"/>
  <c r="AI333" i="1"/>
  <c r="AJ333" i="1" s="1"/>
  <c r="AG333" i="1"/>
  <c r="AH333" i="1" s="1"/>
  <c r="AD333" i="1"/>
  <c r="BH332" i="1"/>
  <c r="BC332" i="1"/>
  <c r="AY332" i="1"/>
  <c r="AZ332" i="1" s="1"/>
  <c r="AW332" i="1"/>
  <c r="AX332" i="1" s="1"/>
  <c r="BE332" i="1" s="1"/>
  <c r="AU332" i="1"/>
  <c r="AV332" i="1" s="1"/>
  <c r="AS332" i="1"/>
  <c r="AT332" i="1" s="1"/>
  <c r="BD332" i="1" s="1"/>
  <c r="AM332" i="1"/>
  <c r="AN332" i="1" s="1"/>
  <c r="AK332" i="1"/>
  <c r="AL332" i="1" s="1"/>
  <c r="BB332" i="1" s="1"/>
  <c r="AI332" i="1"/>
  <c r="AJ332" i="1" s="1"/>
  <c r="AG332" i="1"/>
  <c r="AH332" i="1" s="1"/>
  <c r="AD332" i="1"/>
  <c r="BH331" i="1"/>
  <c r="BC331" i="1"/>
  <c r="AY331" i="1"/>
  <c r="AZ331" i="1" s="1"/>
  <c r="AW331" i="1"/>
  <c r="AX331" i="1" s="1"/>
  <c r="AU331" i="1"/>
  <c r="AV331" i="1" s="1"/>
  <c r="BD331" i="1" s="1"/>
  <c r="AS331" i="1"/>
  <c r="AT331" i="1" s="1"/>
  <c r="AM331" i="1"/>
  <c r="AN331" i="1" s="1"/>
  <c r="BB331" i="1" s="1"/>
  <c r="AK331" i="1"/>
  <c r="AL331" i="1" s="1"/>
  <c r="AI331" i="1"/>
  <c r="AJ331" i="1" s="1"/>
  <c r="AG331" i="1"/>
  <c r="AH331" i="1" s="1"/>
  <c r="AD331" i="1"/>
  <c r="BH330" i="1"/>
  <c r="BC330" i="1"/>
  <c r="AY330" i="1"/>
  <c r="AZ330" i="1" s="1"/>
  <c r="AW330" i="1"/>
  <c r="AX330" i="1" s="1"/>
  <c r="AU330" i="1"/>
  <c r="AV330" i="1" s="1"/>
  <c r="AS330" i="1"/>
  <c r="AT330" i="1" s="1"/>
  <c r="AM330" i="1"/>
  <c r="AN330" i="1" s="1"/>
  <c r="AK330" i="1"/>
  <c r="AL330" i="1" s="1"/>
  <c r="AI330" i="1"/>
  <c r="AJ330" i="1" s="1"/>
  <c r="AG330" i="1"/>
  <c r="AH330" i="1" s="1"/>
  <c r="AD330" i="1"/>
  <c r="BH329" i="1"/>
  <c r="BC329" i="1"/>
  <c r="AY329" i="1"/>
  <c r="AZ329" i="1" s="1"/>
  <c r="AW329" i="1"/>
  <c r="AX329" i="1" s="1"/>
  <c r="AU329" i="1"/>
  <c r="AV329" i="1" s="1"/>
  <c r="BD329" i="1" s="1"/>
  <c r="AS329" i="1"/>
  <c r="AT329" i="1" s="1"/>
  <c r="AM329" i="1"/>
  <c r="AN329" i="1" s="1"/>
  <c r="AK329" i="1"/>
  <c r="AL329" i="1" s="1"/>
  <c r="AI329" i="1"/>
  <c r="AJ329" i="1" s="1"/>
  <c r="AG329" i="1"/>
  <c r="AH329" i="1" s="1"/>
  <c r="AD329" i="1"/>
  <c r="BP328" i="1"/>
  <c r="BM328" i="1"/>
  <c r="BH328" i="1"/>
  <c r="AY328" i="1"/>
  <c r="AZ328" i="1" s="1"/>
  <c r="AW328" i="1"/>
  <c r="AX328" i="1" s="1"/>
  <c r="AU328" i="1"/>
  <c r="AV328" i="1" s="1"/>
  <c r="AT328" i="1"/>
  <c r="BD328" i="1" s="1"/>
  <c r="AS328" i="1"/>
  <c r="AQ328" i="1"/>
  <c r="AR328" i="1" s="1"/>
  <c r="AO328" i="1"/>
  <c r="AP328" i="1" s="1"/>
  <c r="BC328" i="1" s="1"/>
  <c r="AM328" i="1"/>
  <c r="AN328" i="1" s="1"/>
  <c r="AL328" i="1"/>
  <c r="BB328" i="1" s="1"/>
  <c r="AK328" i="1"/>
  <c r="AI328" i="1"/>
  <c r="AJ328" i="1" s="1"/>
  <c r="AG328" i="1"/>
  <c r="AH328" i="1" s="1"/>
  <c r="AD328" i="1"/>
  <c r="BP327" i="1"/>
  <c r="BM327" i="1"/>
  <c r="BH327" i="1"/>
  <c r="AY327" i="1"/>
  <c r="AZ327" i="1" s="1"/>
  <c r="AW327" i="1"/>
  <c r="AX327" i="1" s="1"/>
  <c r="AV327" i="1"/>
  <c r="AU327" i="1"/>
  <c r="AS327" i="1"/>
  <c r="AT327" i="1" s="1"/>
  <c r="BD327" i="1" s="1"/>
  <c r="AQ327" i="1"/>
  <c r="AR327" i="1" s="1"/>
  <c r="AO327" i="1"/>
  <c r="AP327" i="1" s="1"/>
  <c r="AM327" i="1"/>
  <c r="AN327" i="1" s="1"/>
  <c r="AK327" i="1"/>
  <c r="AL327" i="1" s="1"/>
  <c r="AI327" i="1"/>
  <c r="AJ327" i="1" s="1"/>
  <c r="AG327" i="1"/>
  <c r="AH327" i="1" s="1"/>
  <c r="AD327" i="1"/>
  <c r="BP326" i="1"/>
  <c r="BM326" i="1"/>
  <c r="BH326" i="1"/>
  <c r="AY326" i="1"/>
  <c r="AZ326" i="1" s="1"/>
  <c r="AX326" i="1"/>
  <c r="BE326" i="1" s="1"/>
  <c r="AW326" i="1"/>
  <c r="AU326" i="1"/>
  <c r="AV326" i="1" s="1"/>
  <c r="AS326" i="1"/>
  <c r="AT326" i="1" s="1"/>
  <c r="BD326" i="1" s="1"/>
  <c r="AQ326" i="1"/>
  <c r="AR326" i="1" s="1"/>
  <c r="AP326" i="1"/>
  <c r="BC326" i="1" s="1"/>
  <c r="AO326" i="1"/>
  <c r="AM326" i="1"/>
  <c r="AN326" i="1" s="1"/>
  <c r="AK326" i="1"/>
  <c r="AL326" i="1" s="1"/>
  <c r="AI326" i="1"/>
  <c r="AJ326" i="1" s="1"/>
  <c r="AG326" i="1"/>
  <c r="AH326" i="1" s="1"/>
  <c r="BA326" i="1" s="1"/>
  <c r="AD326" i="1"/>
  <c r="BP325" i="1"/>
  <c r="BM325" i="1"/>
  <c r="BH325" i="1"/>
  <c r="AY325" i="1"/>
  <c r="AZ325" i="1" s="1"/>
  <c r="AW325" i="1"/>
  <c r="AX325" i="1" s="1"/>
  <c r="AU325" i="1"/>
  <c r="AV325" i="1" s="1"/>
  <c r="AS325" i="1"/>
  <c r="AT325" i="1" s="1"/>
  <c r="AR325" i="1"/>
  <c r="BC325" i="1" s="1"/>
  <c r="AQ325" i="1"/>
  <c r="AO325" i="1"/>
  <c r="AP325" i="1" s="1"/>
  <c r="AM325" i="1"/>
  <c r="AN325" i="1" s="1"/>
  <c r="AK325" i="1"/>
  <c r="AL325" i="1" s="1"/>
  <c r="AI325" i="1"/>
  <c r="AJ325" i="1" s="1"/>
  <c r="AG325" i="1"/>
  <c r="AH325" i="1" s="1"/>
  <c r="AD325" i="1"/>
  <c r="BP324" i="1"/>
  <c r="BM324" i="1"/>
  <c r="BH324" i="1"/>
  <c r="AY324" i="1"/>
  <c r="AZ324" i="1" s="1"/>
  <c r="BE324" i="1" s="1"/>
  <c r="AW324" i="1"/>
  <c r="AX324" i="1" s="1"/>
  <c r="AU324" i="1"/>
  <c r="AV324" i="1" s="1"/>
  <c r="AS324" i="1"/>
  <c r="AT324" i="1" s="1"/>
  <c r="BD324" i="1" s="1"/>
  <c r="AQ324" i="1"/>
  <c r="AR324" i="1" s="1"/>
  <c r="AO324" i="1"/>
  <c r="AP324" i="1" s="1"/>
  <c r="AM324" i="1"/>
  <c r="AN324" i="1" s="1"/>
  <c r="AK324" i="1"/>
  <c r="AL324" i="1" s="1"/>
  <c r="AI324" i="1"/>
  <c r="AJ324" i="1" s="1"/>
  <c r="BA324" i="1" s="1"/>
  <c r="AG324" i="1"/>
  <c r="AH324" i="1" s="1"/>
  <c r="AD324" i="1"/>
  <c r="BP323" i="1"/>
  <c r="BM323" i="1"/>
  <c r="BH323" i="1"/>
  <c r="AY323" i="1"/>
  <c r="AZ323" i="1" s="1"/>
  <c r="AW323" i="1"/>
  <c r="AX323" i="1" s="1"/>
  <c r="BE323" i="1" s="1"/>
  <c r="AU323" i="1"/>
  <c r="AV323" i="1" s="1"/>
  <c r="AS323" i="1"/>
  <c r="AT323" i="1" s="1"/>
  <c r="AQ323" i="1"/>
  <c r="AR323" i="1" s="1"/>
  <c r="AO323" i="1"/>
  <c r="AP323" i="1" s="1"/>
  <c r="BC323" i="1" s="1"/>
  <c r="AM323" i="1"/>
  <c r="AN323" i="1" s="1"/>
  <c r="AK323" i="1"/>
  <c r="AL323" i="1" s="1"/>
  <c r="BB323" i="1" s="1"/>
  <c r="AI323" i="1"/>
  <c r="AJ323" i="1" s="1"/>
  <c r="AG323" i="1"/>
  <c r="AH323" i="1" s="1"/>
  <c r="BA323" i="1" s="1"/>
  <c r="AD323" i="1"/>
  <c r="BP322" i="1"/>
  <c r="BM322" i="1"/>
  <c r="BH322" i="1"/>
  <c r="AY322" i="1"/>
  <c r="AZ322" i="1" s="1"/>
  <c r="AW322" i="1"/>
  <c r="AX322" i="1" s="1"/>
  <c r="AU322" i="1"/>
  <c r="AV322" i="1" s="1"/>
  <c r="AS322" i="1"/>
  <c r="AT322" i="1" s="1"/>
  <c r="BD322" i="1" s="1"/>
  <c r="AQ322" i="1"/>
  <c r="AR322" i="1" s="1"/>
  <c r="AO322" i="1"/>
  <c r="AP322" i="1" s="1"/>
  <c r="BC322" i="1" s="1"/>
  <c r="AM322" i="1"/>
  <c r="AN322" i="1" s="1"/>
  <c r="AK322" i="1"/>
  <c r="AL322" i="1" s="1"/>
  <c r="BB322" i="1" s="1"/>
  <c r="AI322" i="1"/>
  <c r="AJ322" i="1" s="1"/>
  <c r="AG322" i="1"/>
  <c r="AH322" i="1" s="1"/>
  <c r="BA322" i="1" s="1"/>
  <c r="AD322" i="1"/>
  <c r="BP321" i="1"/>
  <c r="BM321" i="1"/>
  <c r="BH321" i="1"/>
  <c r="AY321" i="1"/>
  <c r="AZ321" i="1" s="1"/>
  <c r="AW321" i="1"/>
  <c r="AX321" i="1" s="1"/>
  <c r="BE321" i="1" s="1"/>
  <c r="AU321" i="1"/>
  <c r="AV321" i="1" s="1"/>
  <c r="AS321" i="1"/>
  <c r="AT321" i="1" s="1"/>
  <c r="AQ321" i="1"/>
  <c r="AR321" i="1" s="1"/>
  <c r="AO321" i="1"/>
  <c r="AP321" i="1" s="1"/>
  <c r="BC321" i="1" s="1"/>
  <c r="AM321" i="1"/>
  <c r="AN321" i="1" s="1"/>
  <c r="AK321" i="1"/>
  <c r="AL321" i="1" s="1"/>
  <c r="AI321" i="1"/>
  <c r="AJ321" i="1" s="1"/>
  <c r="AG321" i="1"/>
  <c r="AH321" i="1" s="1"/>
  <c r="BA321" i="1" s="1"/>
  <c r="AD321" i="1"/>
  <c r="BP320" i="1"/>
  <c r="BM320" i="1"/>
  <c r="BH320" i="1"/>
  <c r="AY320" i="1"/>
  <c r="AZ320" i="1" s="1"/>
  <c r="AW320" i="1"/>
  <c r="AX320" i="1" s="1"/>
  <c r="BE320" i="1" s="1"/>
  <c r="AU320" i="1"/>
  <c r="AV320" i="1" s="1"/>
  <c r="AS320" i="1"/>
  <c r="AT320" i="1" s="1"/>
  <c r="AQ320" i="1"/>
  <c r="AR320" i="1" s="1"/>
  <c r="AO320" i="1"/>
  <c r="AP320" i="1" s="1"/>
  <c r="AM320" i="1"/>
  <c r="AN320" i="1" s="1"/>
  <c r="AK320" i="1"/>
  <c r="AL320" i="1" s="1"/>
  <c r="AI320" i="1"/>
  <c r="AJ320" i="1" s="1"/>
  <c r="AG320" i="1"/>
  <c r="AH320" i="1" s="1"/>
  <c r="AD320" i="1"/>
  <c r="BP319" i="1"/>
  <c r="BM319" i="1"/>
  <c r="BH319" i="1"/>
  <c r="AY319" i="1"/>
  <c r="AZ319" i="1" s="1"/>
  <c r="AW319" i="1"/>
  <c r="AX319" i="1" s="1"/>
  <c r="BE319" i="1" s="1"/>
  <c r="AU319" i="1"/>
  <c r="AV319" i="1" s="1"/>
  <c r="AS319" i="1"/>
  <c r="AT319" i="1" s="1"/>
  <c r="BD319" i="1" s="1"/>
  <c r="AQ319" i="1"/>
  <c r="AR319" i="1" s="1"/>
  <c r="AO319" i="1"/>
  <c r="AP319" i="1" s="1"/>
  <c r="BC319" i="1" s="1"/>
  <c r="AM319" i="1"/>
  <c r="AN319" i="1" s="1"/>
  <c r="AK319" i="1"/>
  <c r="AL319" i="1" s="1"/>
  <c r="BB319" i="1" s="1"/>
  <c r="AI319" i="1"/>
  <c r="AJ319" i="1" s="1"/>
  <c r="AG319" i="1"/>
  <c r="AH319" i="1" s="1"/>
  <c r="BA319" i="1" s="1"/>
  <c r="AD319" i="1"/>
  <c r="BP318" i="1"/>
  <c r="BM318" i="1"/>
  <c r="BH318" i="1"/>
  <c r="AY318" i="1"/>
  <c r="AZ318" i="1" s="1"/>
  <c r="AW318" i="1"/>
  <c r="AX318" i="1" s="1"/>
  <c r="AU318" i="1"/>
  <c r="AV318" i="1" s="1"/>
  <c r="AS318" i="1"/>
  <c r="AT318" i="1" s="1"/>
  <c r="BD318" i="1" s="1"/>
  <c r="AQ318" i="1"/>
  <c r="AR318" i="1" s="1"/>
  <c r="AO318" i="1"/>
  <c r="AP318" i="1" s="1"/>
  <c r="BC318" i="1" s="1"/>
  <c r="AM318" i="1"/>
  <c r="AN318" i="1" s="1"/>
  <c r="AK318" i="1"/>
  <c r="AL318" i="1" s="1"/>
  <c r="AI318" i="1"/>
  <c r="AJ318" i="1" s="1"/>
  <c r="AG318" i="1"/>
  <c r="AH318" i="1" s="1"/>
  <c r="BA318" i="1" s="1"/>
  <c r="AD318" i="1"/>
  <c r="BP317" i="1"/>
  <c r="BM317" i="1"/>
  <c r="BH317" i="1"/>
  <c r="AY317" i="1"/>
  <c r="AZ317" i="1" s="1"/>
  <c r="AW317" i="1"/>
  <c r="AX317" i="1" s="1"/>
  <c r="AU317" i="1"/>
  <c r="AV317" i="1" s="1"/>
  <c r="AS317" i="1"/>
  <c r="AT317" i="1" s="1"/>
  <c r="BD317" i="1" s="1"/>
  <c r="AQ317" i="1"/>
  <c r="AR317" i="1" s="1"/>
  <c r="BC317" i="1" s="1"/>
  <c r="AO317" i="1"/>
  <c r="AP317" i="1" s="1"/>
  <c r="AM317" i="1"/>
  <c r="AN317" i="1" s="1"/>
  <c r="AK317" i="1"/>
  <c r="AL317" i="1" s="1"/>
  <c r="BB317" i="1" s="1"/>
  <c r="AI317" i="1"/>
  <c r="AJ317" i="1" s="1"/>
  <c r="AG317" i="1"/>
  <c r="AH317" i="1" s="1"/>
  <c r="AD317" i="1"/>
  <c r="BP316" i="1"/>
  <c r="BM316" i="1"/>
  <c r="BH316" i="1"/>
  <c r="AY316" i="1"/>
  <c r="AZ316" i="1" s="1"/>
  <c r="AW316" i="1"/>
  <c r="AX316" i="1" s="1"/>
  <c r="BE316" i="1" s="1"/>
  <c r="AU316" i="1"/>
  <c r="AV316" i="1" s="1"/>
  <c r="AS316" i="1"/>
  <c r="AT316" i="1" s="1"/>
  <c r="BD316" i="1" s="1"/>
  <c r="AQ316" i="1"/>
  <c r="AR316" i="1" s="1"/>
  <c r="AO316" i="1"/>
  <c r="AP316" i="1" s="1"/>
  <c r="AM316" i="1"/>
  <c r="AN316" i="1" s="1"/>
  <c r="AK316" i="1"/>
  <c r="AL316" i="1" s="1"/>
  <c r="BB316" i="1" s="1"/>
  <c r="AI316" i="1"/>
  <c r="AJ316" i="1" s="1"/>
  <c r="BA316" i="1" s="1"/>
  <c r="AG316" i="1"/>
  <c r="AH316" i="1" s="1"/>
  <c r="AD316" i="1"/>
  <c r="BP315" i="1"/>
  <c r="BM315" i="1"/>
  <c r="BH315" i="1"/>
  <c r="AY315" i="1"/>
  <c r="AZ315" i="1" s="1"/>
  <c r="AW315" i="1"/>
  <c r="AX315" i="1" s="1"/>
  <c r="BE315" i="1" s="1"/>
  <c r="AU315" i="1"/>
  <c r="AV315" i="1" s="1"/>
  <c r="AS315" i="1"/>
  <c r="AT315" i="1" s="1"/>
  <c r="BD315" i="1" s="1"/>
  <c r="AQ315" i="1"/>
  <c r="AR315" i="1" s="1"/>
  <c r="AO315" i="1"/>
  <c r="AP315" i="1" s="1"/>
  <c r="BC315" i="1" s="1"/>
  <c r="AM315" i="1"/>
  <c r="AN315" i="1" s="1"/>
  <c r="AK315" i="1"/>
  <c r="AL315" i="1" s="1"/>
  <c r="AI315" i="1"/>
  <c r="AJ315" i="1" s="1"/>
  <c r="AG315" i="1"/>
  <c r="AH315" i="1" s="1"/>
  <c r="BA315" i="1" s="1"/>
  <c r="AD315" i="1"/>
  <c r="BP314" i="1"/>
  <c r="BM314" i="1"/>
  <c r="BH314" i="1"/>
  <c r="AY314" i="1"/>
  <c r="AZ314" i="1" s="1"/>
  <c r="AW314" i="1"/>
  <c r="AX314" i="1" s="1"/>
  <c r="BE314" i="1" s="1"/>
  <c r="AU314" i="1"/>
  <c r="AV314" i="1" s="1"/>
  <c r="AS314" i="1"/>
  <c r="AT314" i="1" s="1"/>
  <c r="BD314" i="1" s="1"/>
  <c r="AQ314" i="1"/>
  <c r="AR314" i="1" s="1"/>
  <c r="AO314" i="1"/>
  <c r="AP314" i="1" s="1"/>
  <c r="AM314" i="1"/>
  <c r="AN314" i="1" s="1"/>
  <c r="AK314" i="1"/>
  <c r="AL314" i="1" s="1"/>
  <c r="BB314" i="1" s="1"/>
  <c r="AI314" i="1"/>
  <c r="AJ314" i="1" s="1"/>
  <c r="AG314" i="1"/>
  <c r="AH314" i="1" s="1"/>
  <c r="BA314" i="1" s="1"/>
  <c r="AD314" i="1"/>
  <c r="BP313" i="1"/>
  <c r="BM313" i="1"/>
  <c r="BH313" i="1"/>
  <c r="AY313" i="1"/>
  <c r="AZ313" i="1" s="1"/>
  <c r="AW313" i="1"/>
  <c r="AX313" i="1" s="1"/>
  <c r="BE313" i="1" s="1"/>
  <c r="AU313" i="1"/>
  <c r="AV313" i="1" s="1"/>
  <c r="AS313" i="1"/>
  <c r="AT313" i="1" s="1"/>
  <c r="AQ313" i="1"/>
  <c r="AR313" i="1" s="1"/>
  <c r="AO313" i="1"/>
  <c r="AP313" i="1" s="1"/>
  <c r="BC313" i="1" s="1"/>
  <c r="AM313" i="1"/>
  <c r="AN313" i="1" s="1"/>
  <c r="AK313" i="1"/>
  <c r="AL313" i="1" s="1"/>
  <c r="AI313" i="1"/>
  <c r="AJ313" i="1" s="1"/>
  <c r="AG313" i="1"/>
  <c r="AH313" i="1" s="1"/>
  <c r="BA313" i="1" s="1"/>
  <c r="AD313" i="1"/>
  <c r="BP312" i="1"/>
  <c r="BM312" i="1"/>
  <c r="BH312" i="1"/>
  <c r="BE312" i="1"/>
  <c r="AY312" i="1"/>
  <c r="AZ312" i="1" s="1"/>
  <c r="AW312" i="1"/>
  <c r="AX312" i="1" s="1"/>
  <c r="AU312" i="1"/>
  <c r="AV312" i="1" s="1"/>
  <c r="AS312" i="1"/>
  <c r="AT312" i="1" s="1"/>
  <c r="AQ312" i="1"/>
  <c r="AR312" i="1" s="1"/>
  <c r="AO312" i="1"/>
  <c r="AP312" i="1" s="1"/>
  <c r="BC312" i="1" s="1"/>
  <c r="AM312" i="1"/>
  <c r="AN312" i="1" s="1"/>
  <c r="AK312" i="1"/>
  <c r="AL312" i="1" s="1"/>
  <c r="AI312" i="1"/>
  <c r="AJ312" i="1" s="1"/>
  <c r="AG312" i="1"/>
  <c r="AH312" i="1" s="1"/>
  <c r="BA312" i="1" s="1"/>
  <c r="AD312" i="1"/>
  <c r="BP311" i="1"/>
  <c r="BM311" i="1"/>
  <c r="BH311" i="1"/>
  <c r="AY311" i="1"/>
  <c r="AZ311" i="1" s="1"/>
  <c r="AW311" i="1"/>
  <c r="AX311" i="1" s="1"/>
  <c r="BE311" i="1" s="1"/>
  <c r="AU311" i="1"/>
  <c r="AV311" i="1" s="1"/>
  <c r="AS311" i="1"/>
  <c r="AT311" i="1" s="1"/>
  <c r="BD311" i="1" s="1"/>
  <c r="AQ311" i="1"/>
  <c r="AR311" i="1" s="1"/>
  <c r="AO311" i="1"/>
  <c r="AP311" i="1" s="1"/>
  <c r="BC311" i="1" s="1"/>
  <c r="AM311" i="1"/>
  <c r="AN311" i="1" s="1"/>
  <c r="AK311" i="1"/>
  <c r="AL311" i="1" s="1"/>
  <c r="AI311" i="1"/>
  <c r="AJ311" i="1" s="1"/>
  <c r="AG311" i="1"/>
  <c r="AH311" i="1" s="1"/>
  <c r="AD311" i="1"/>
  <c r="BP310" i="1"/>
  <c r="BM310" i="1"/>
  <c r="BH310" i="1"/>
  <c r="AY310" i="1"/>
  <c r="AZ310" i="1" s="1"/>
  <c r="AW310" i="1"/>
  <c r="AX310" i="1" s="1"/>
  <c r="BE310" i="1" s="1"/>
  <c r="AU310" i="1"/>
  <c r="AV310" i="1" s="1"/>
  <c r="AS310" i="1"/>
  <c r="AT310" i="1" s="1"/>
  <c r="BD310" i="1" s="1"/>
  <c r="AQ310" i="1"/>
  <c r="AR310" i="1" s="1"/>
  <c r="AO310" i="1"/>
  <c r="AP310" i="1" s="1"/>
  <c r="AM310" i="1"/>
  <c r="AN310" i="1" s="1"/>
  <c r="AK310" i="1"/>
  <c r="AL310" i="1" s="1"/>
  <c r="AI310" i="1"/>
  <c r="AJ310" i="1" s="1"/>
  <c r="AG310" i="1"/>
  <c r="AH310" i="1" s="1"/>
  <c r="BA310" i="1" s="1"/>
  <c r="AD310" i="1"/>
  <c r="BP309" i="1"/>
  <c r="BM309" i="1"/>
  <c r="BH309" i="1"/>
  <c r="AY309" i="1"/>
  <c r="AZ309" i="1" s="1"/>
  <c r="AW309" i="1"/>
  <c r="AX309" i="1" s="1"/>
  <c r="BE309" i="1" s="1"/>
  <c r="AU309" i="1"/>
  <c r="AV309" i="1" s="1"/>
  <c r="AS309" i="1"/>
  <c r="AT309" i="1" s="1"/>
  <c r="AQ309" i="1"/>
  <c r="AR309" i="1" s="1"/>
  <c r="AO309" i="1"/>
  <c r="AP309" i="1" s="1"/>
  <c r="BC309" i="1" s="1"/>
  <c r="AM309" i="1"/>
  <c r="AN309" i="1" s="1"/>
  <c r="AK309" i="1"/>
  <c r="AL309" i="1" s="1"/>
  <c r="BB309" i="1" s="1"/>
  <c r="AI309" i="1"/>
  <c r="AJ309" i="1" s="1"/>
  <c r="AG309" i="1"/>
  <c r="AH309" i="1" s="1"/>
  <c r="BA309" i="1" s="1"/>
  <c r="AD309" i="1"/>
  <c r="BP308" i="1"/>
  <c r="BM308" i="1"/>
  <c r="BH308" i="1"/>
  <c r="AY308" i="1"/>
  <c r="AZ308" i="1" s="1"/>
  <c r="AW308" i="1"/>
  <c r="AX308" i="1" s="1"/>
  <c r="BE308" i="1" s="1"/>
  <c r="AU308" i="1"/>
  <c r="AV308" i="1" s="1"/>
  <c r="AS308" i="1"/>
  <c r="AT308" i="1" s="1"/>
  <c r="AQ308" i="1"/>
  <c r="AR308" i="1" s="1"/>
  <c r="AO308" i="1"/>
  <c r="AP308" i="1" s="1"/>
  <c r="BC308" i="1" s="1"/>
  <c r="AM308" i="1"/>
  <c r="AN308" i="1" s="1"/>
  <c r="AK308" i="1"/>
  <c r="AL308" i="1" s="1"/>
  <c r="AI308" i="1"/>
  <c r="AJ308" i="1" s="1"/>
  <c r="AG308" i="1"/>
  <c r="AH308" i="1" s="1"/>
  <c r="BA308" i="1" s="1"/>
  <c r="AD308" i="1"/>
  <c r="BP307" i="1"/>
  <c r="BM307" i="1"/>
  <c r="BH307" i="1"/>
  <c r="AY307" i="1"/>
  <c r="AZ307" i="1" s="1"/>
  <c r="AW307" i="1"/>
  <c r="AX307" i="1" s="1"/>
  <c r="BE307" i="1" s="1"/>
  <c r="AU307" i="1"/>
  <c r="AV307" i="1" s="1"/>
  <c r="AS307" i="1"/>
  <c r="AT307" i="1" s="1"/>
  <c r="AQ307" i="1"/>
  <c r="AR307" i="1" s="1"/>
  <c r="AO307" i="1"/>
  <c r="AP307" i="1" s="1"/>
  <c r="BC307" i="1" s="1"/>
  <c r="AM307" i="1"/>
  <c r="AN307" i="1" s="1"/>
  <c r="AK307" i="1"/>
  <c r="AL307" i="1" s="1"/>
  <c r="AI307" i="1"/>
  <c r="AJ307" i="1" s="1"/>
  <c r="AG307" i="1"/>
  <c r="AH307" i="1" s="1"/>
  <c r="BA307" i="1" s="1"/>
  <c r="AD307" i="1"/>
  <c r="BP306" i="1"/>
  <c r="BM306" i="1"/>
  <c r="BH306" i="1"/>
  <c r="AY306" i="1"/>
  <c r="AZ306" i="1" s="1"/>
  <c r="AW306" i="1"/>
  <c r="AX306" i="1" s="1"/>
  <c r="BE306" i="1" s="1"/>
  <c r="AU306" i="1"/>
  <c r="AV306" i="1" s="1"/>
  <c r="AS306" i="1"/>
  <c r="AT306" i="1" s="1"/>
  <c r="AQ306" i="1"/>
  <c r="AR306" i="1" s="1"/>
  <c r="AO306" i="1"/>
  <c r="AP306" i="1" s="1"/>
  <c r="AM306" i="1"/>
  <c r="AN306" i="1" s="1"/>
  <c r="AK306" i="1"/>
  <c r="AL306" i="1" s="1"/>
  <c r="AI306" i="1"/>
  <c r="AJ306" i="1" s="1"/>
  <c r="AG306" i="1"/>
  <c r="AH306" i="1" s="1"/>
  <c r="BA306" i="1" s="1"/>
  <c r="AD306" i="1"/>
  <c r="BP305" i="1"/>
  <c r="BM305" i="1"/>
  <c r="BH305" i="1"/>
  <c r="AY305" i="1"/>
  <c r="AZ305" i="1" s="1"/>
  <c r="AW305" i="1"/>
  <c r="AX305" i="1" s="1"/>
  <c r="BE305" i="1" s="1"/>
  <c r="AU305" i="1"/>
  <c r="AV305" i="1" s="1"/>
  <c r="AS305" i="1"/>
  <c r="AT305" i="1" s="1"/>
  <c r="AQ305" i="1"/>
  <c r="AR305" i="1" s="1"/>
  <c r="AO305" i="1"/>
  <c r="AP305" i="1" s="1"/>
  <c r="AM305" i="1"/>
  <c r="AN305" i="1" s="1"/>
  <c r="AK305" i="1"/>
  <c r="AL305" i="1" s="1"/>
  <c r="AI305" i="1"/>
  <c r="AJ305" i="1" s="1"/>
  <c r="AG305" i="1"/>
  <c r="AH305" i="1" s="1"/>
  <c r="BA305" i="1" s="1"/>
  <c r="AD305" i="1"/>
  <c r="BP304" i="1"/>
  <c r="BM304" i="1"/>
  <c r="BH304" i="1"/>
  <c r="AY304" i="1"/>
  <c r="AZ304" i="1" s="1"/>
  <c r="AW304" i="1"/>
  <c r="AX304" i="1" s="1"/>
  <c r="BE304" i="1" s="1"/>
  <c r="AU304" i="1"/>
  <c r="AV304" i="1" s="1"/>
  <c r="AS304" i="1"/>
  <c r="AT304" i="1" s="1"/>
  <c r="BD304" i="1" s="1"/>
  <c r="AQ304" i="1"/>
  <c r="AR304" i="1" s="1"/>
  <c r="AO304" i="1"/>
  <c r="AP304" i="1" s="1"/>
  <c r="AM304" i="1"/>
  <c r="AN304" i="1" s="1"/>
  <c r="AK304" i="1"/>
  <c r="AL304" i="1" s="1"/>
  <c r="BB304" i="1" s="1"/>
  <c r="AI304" i="1"/>
  <c r="AJ304" i="1" s="1"/>
  <c r="AG304" i="1"/>
  <c r="AH304" i="1" s="1"/>
  <c r="BA304" i="1" s="1"/>
  <c r="AD304" i="1"/>
  <c r="BP303" i="1"/>
  <c r="BM303" i="1"/>
  <c r="BH303" i="1"/>
  <c r="AY303" i="1"/>
  <c r="AZ303" i="1" s="1"/>
  <c r="AW303" i="1"/>
  <c r="AX303" i="1" s="1"/>
  <c r="AU303" i="1"/>
  <c r="AV303" i="1" s="1"/>
  <c r="AS303" i="1"/>
  <c r="AT303" i="1" s="1"/>
  <c r="AQ303" i="1"/>
  <c r="AR303" i="1" s="1"/>
  <c r="AO303" i="1"/>
  <c r="AP303" i="1" s="1"/>
  <c r="AM303" i="1"/>
  <c r="AN303" i="1" s="1"/>
  <c r="AK303" i="1"/>
  <c r="AL303" i="1" s="1"/>
  <c r="BB303" i="1" s="1"/>
  <c r="AI303" i="1"/>
  <c r="AJ303" i="1" s="1"/>
  <c r="AG303" i="1"/>
  <c r="AH303" i="1" s="1"/>
  <c r="AD303" i="1"/>
  <c r="BP302" i="1"/>
  <c r="BM302" i="1"/>
  <c r="BH302" i="1"/>
  <c r="AY302" i="1"/>
  <c r="AZ302" i="1" s="1"/>
  <c r="AW302" i="1"/>
  <c r="AX302" i="1" s="1"/>
  <c r="BE302" i="1" s="1"/>
  <c r="AU302" i="1"/>
  <c r="AV302" i="1" s="1"/>
  <c r="AS302" i="1"/>
  <c r="AT302" i="1" s="1"/>
  <c r="AQ302" i="1"/>
  <c r="AR302" i="1" s="1"/>
  <c r="AO302" i="1"/>
  <c r="AP302" i="1" s="1"/>
  <c r="BC302" i="1" s="1"/>
  <c r="AM302" i="1"/>
  <c r="AN302" i="1" s="1"/>
  <c r="AK302" i="1"/>
  <c r="AL302" i="1" s="1"/>
  <c r="BB302" i="1" s="1"/>
  <c r="AI302" i="1"/>
  <c r="AJ302" i="1" s="1"/>
  <c r="AG302" i="1"/>
  <c r="AH302" i="1" s="1"/>
  <c r="BA302" i="1" s="1"/>
  <c r="AD302" i="1"/>
  <c r="BP301" i="1"/>
  <c r="BM301" i="1"/>
  <c r="BH301" i="1"/>
  <c r="BC301" i="1"/>
  <c r="AY301" i="1"/>
  <c r="AZ301" i="1" s="1"/>
  <c r="AW301" i="1"/>
  <c r="AX301" i="1" s="1"/>
  <c r="BE301" i="1" s="1"/>
  <c r="AU301" i="1"/>
  <c r="AV301" i="1" s="1"/>
  <c r="AS301" i="1"/>
  <c r="AT301" i="1" s="1"/>
  <c r="AQ301" i="1"/>
  <c r="AR301" i="1" s="1"/>
  <c r="AO301" i="1"/>
  <c r="AP301" i="1" s="1"/>
  <c r="AM301" i="1"/>
  <c r="AN301" i="1" s="1"/>
  <c r="AK301" i="1"/>
  <c r="AL301" i="1" s="1"/>
  <c r="AI301" i="1"/>
  <c r="AJ301" i="1" s="1"/>
  <c r="AG301" i="1"/>
  <c r="AH301" i="1" s="1"/>
  <c r="BA301" i="1" s="1"/>
  <c r="AD301" i="1"/>
  <c r="BP300" i="1"/>
  <c r="BM300" i="1"/>
  <c r="BH300" i="1"/>
  <c r="AY300" i="1"/>
  <c r="AZ300" i="1" s="1"/>
  <c r="AW300" i="1"/>
  <c r="AX300" i="1" s="1"/>
  <c r="BE300" i="1" s="1"/>
  <c r="AU300" i="1"/>
  <c r="AV300" i="1" s="1"/>
  <c r="AS300" i="1"/>
  <c r="AT300" i="1" s="1"/>
  <c r="BD300" i="1" s="1"/>
  <c r="AQ300" i="1"/>
  <c r="AR300" i="1" s="1"/>
  <c r="AO300" i="1"/>
  <c r="AP300" i="1" s="1"/>
  <c r="AM300" i="1"/>
  <c r="AN300" i="1" s="1"/>
  <c r="AK300" i="1"/>
  <c r="AL300" i="1" s="1"/>
  <c r="BB300" i="1" s="1"/>
  <c r="AI300" i="1"/>
  <c r="AJ300" i="1" s="1"/>
  <c r="AG300" i="1"/>
  <c r="AH300" i="1" s="1"/>
  <c r="BA300" i="1" s="1"/>
  <c r="AD300" i="1"/>
  <c r="BP299" i="1"/>
  <c r="BM299" i="1"/>
  <c r="BH299" i="1"/>
  <c r="AY299" i="1"/>
  <c r="AZ299" i="1" s="1"/>
  <c r="AW299" i="1"/>
  <c r="AX299" i="1" s="1"/>
  <c r="BE299" i="1" s="1"/>
  <c r="AU299" i="1"/>
  <c r="AV299" i="1" s="1"/>
  <c r="AS299" i="1"/>
  <c r="AT299" i="1" s="1"/>
  <c r="BD299" i="1" s="1"/>
  <c r="AQ299" i="1"/>
  <c r="AR299" i="1" s="1"/>
  <c r="AO299" i="1"/>
  <c r="AP299" i="1" s="1"/>
  <c r="AM299" i="1"/>
  <c r="AN299" i="1" s="1"/>
  <c r="AK299" i="1"/>
  <c r="AL299" i="1" s="1"/>
  <c r="BB299" i="1" s="1"/>
  <c r="AI299" i="1"/>
  <c r="AJ299" i="1" s="1"/>
  <c r="AG299" i="1"/>
  <c r="AH299" i="1" s="1"/>
  <c r="AD299" i="1"/>
  <c r="BP298" i="1"/>
  <c r="BM298" i="1"/>
  <c r="BH298" i="1"/>
  <c r="AY298" i="1"/>
  <c r="AZ298" i="1" s="1"/>
  <c r="AW298" i="1"/>
  <c r="AX298" i="1" s="1"/>
  <c r="BE298" i="1" s="1"/>
  <c r="AU298" i="1"/>
  <c r="AV298" i="1" s="1"/>
  <c r="AS298" i="1"/>
  <c r="AT298" i="1" s="1"/>
  <c r="BD298" i="1" s="1"/>
  <c r="AQ298" i="1"/>
  <c r="AR298" i="1" s="1"/>
  <c r="AO298" i="1"/>
  <c r="AP298" i="1" s="1"/>
  <c r="BC298" i="1" s="1"/>
  <c r="AM298" i="1"/>
  <c r="AN298" i="1" s="1"/>
  <c r="AK298" i="1"/>
  <c r="AL298" i="1" s="1"/>
  <c r="BB298" i="1" s="1"/>
  <c r="AI298" i="1"/>
  <c r="AJ298" i="1" s="1"/>
  <c r="AG298" i="1"/>
  <c r="AH298" i="1" s="1"/>
  <c r="BA298" i="1" s="1"/>
  <c r="AD298" i="1"/>
  <c r="BP297" i="1"/>
  <c r="BM297" i="1"/>
  <c r="BH297" i="1"/>
  <c r="AY297" i="1"/>
  <c r="AZ297" i="1" s="1"/>
  <c r="AW297" i="1"/>
  <c r="AX297" i="1" s="1"/>
  <c r="AU297" i="1"/>
  <c r="AV297" i="1" s="1"/>
  <c r="AS297" i="1"/>
  <c r="AT297" i="1" s="1"/>
  <c r="AQ297" i="1"/>
  <c r="AR297" i="1" s="1"/>
  <c r="AO297" i="1"/>
  <c r="AP297" i="1" s="1"/>
  <c r="BC297" i="1" s="1"/>
  <c r="AM297" i="1"/>
  <c r="AN297" i="1" s="1"/>
  <c r="AK297" i="1"/>
  <c r="AL297" i="1" s="1"/>
  <c r="AI297" i="1"/>
  <c r="AJ297" i="1" s="1"/>
  <c r="AG297" i="1"/>
  <c r="AH297" i="1" s="1"/>
  <c r="BA297" i="1" s="1"/>
  <c r="AD297" i="1"/>
  <c r="BP296" i="1"/>
  <c r="BM296" i="1"/>
  <c r="BH296" i="1"/>
  <c r="BE296" i="1"/>
  <c r="AY296" i="1"/>
  <c r="AZ296" i="1" s="1"/>
  <c r="AW296" i="1"/>
  <c r="AX296" i="1" s="1"/>
  <c r="AU296" i="1"/>
  <c r="AV296" i="1" s="1"/>
  <c r="AS296" i="1"/>
  <c r="AT296" i="1" s="1"/>
  <c r="BD296" i="1" s="1"/>
  <c r="AQ296" i="1"/>
  <c r="AR296" i="1" s="1"/>
  <c r="AO296" i="1"/>
  <c r="AP296" i="1" s="1"/>
  <c r="BC296" i="1" s="1"/>
  <c r="AM296" i="1"/>
  <c r="AN296" i="1" s="1"/>
  <c r="AK296" i="1"/>
  <c r="AL296" i="1" s="1"/>
  <c r="BB296" i="1" s="1"/>
  <c r="AI296" i="1"/>
  <c r="AJ296" i="1" s="1"/>
  <c r="AG296" i="1"/>
  <c r="AH296" i="1" s="1"/>
  <c r="BA296" i="1" s="1"/>
  <c r="AD296" i="1"/>
  <c r="BP295" i="1"/>
  <c r="BM295" i="1"/>
  <c r="BH295" i="1"/>
  <c r="AY295" i="1"/>
  <c r="AZ295" i="1" s="1"/>
  <c r="AW295" i="1"/>
  <c r="AX295" i="1" s="1"/>
  <c r="BE295" i="1" s="1"/>
  <c r="AU295" i="1"/>
  <c r="AV295" i="1" s="1"/>
  <c r="AS295" i="1"/>
  <c r="AT295" i="1" s="1"/>
  <c r="BD295" i="1" s="1"/>
  <c r="AQ295" i="1"/>
  <c r="AR295" i="1" s="1"/>
  <c r="AO295" i="1"/>
  <c r="AP295" i="1" s="1"/>
  <c r="AM295" i="1"/>
  <c r="AN295" i="1" s="1"/>
  <c r="AK295" i="1"/>
  <c r="AL295" i="1" s="1"/>
  <c r="BB295" i="1" s="1"/>
  <c r="AI295" i="1"/>
  <c r="AJ295" i="1" s="1"/>
  <c r="AG295" i="1"/>
  <c r="AH295" i="1" s="1"/>
  <c r="AD295" i="1"/>
  <c r="BP294" i="1"/>
  <c r="BM294" i="1"/>
  <c r="BH294" i="1"/>
  <c r="AY294" i="1"/>
  <c r="AZ294" i="1" s="1"/>
  <c r="AW294" i="1"/>
  <c r="AX294" i="1" s="1"/>
  <c r="BE294" i="1" s="1"/>
  <c r="AU294" i="1"/>
  <c r="AV294" i="1" s="1"/>
  <c r="AS294" i="1"/>
  <c r="AT294" i="1" s="1"/>
  <c r="AQ294" i="1"/>
  <c r="AR294" i="1" s="1"/>
  <c r="BC294" i="1" s="1"/>
  <c r="AO294" i="1"/>
  <c r="AP294" i="1" s="1"/>
  <c r="AM294" i="1"/>
  <c r="AN294" i="1" s="1"/>
  <c r="AK294" i="1"/>
  <c r="AL294" i="1" s="1"/>
  <c r="AI294" i="1"/>
  <c r="AJ294" i="1" s="1"/>
  <c r="BA294" i="1" s="1"/>
  <c r="AG294" i="1"/>
  <c r="AH294" i="1" s="1"/>
  <c r="AD294" i="1"/>
  <c r="BP293" i="1"/>
  <c r="BM293" i="1"/>
  <c r="BH293" i="1"/>
  <c r="AY293" i="1"/>
  <c r="AZ293" i="1" s="1"/>
  <c r="BE293" i="1" s="1"/>
  <c r="AW293" i="1"/>
  <c r="AX293" i="1" s="1"/>
  <c r="AU293" i="1"/>
  <c r="AV293" i="1" s="1"/>
  <c r="AS293" i="1"/>
  <c r="AT293" i="1" s="1"/>
  <c r="AQ293" i="1"/>
  <c r="AR293" i="1" s="1"/>
  <c r="BC293" i="1" s="1"/>
  <c r="AO293" i="1"/>
  <c r="AP293" i="1" s="1"/>
  <c r="AM293" i="1"/>
  <c r="AN293" i="1" s="1"/>
  <c r="AK293" i="1"/>
  <c r="AL293" i="1" s="1"/>
  <c r="AI293" i="1"/>
  <c r="AJ293" i="1" s="1"/>
  <c r="AG293" i="1"/>
  <c r="AH293" i="1" s="1"/>
  <c r="BA293" i="1" s="1"/>
  <c r="AD293" i="1"/>
  <c r="BP292" i="1"/>
  <c r="BM292" i="1"/>
  <c r="BH292" i="1"/>
  <c r="AY292" i="1"/>
  <c r="AZ292" i="1" s="1"/>
  <c r="AW292" i="1"/>
  <c r="AX292" i="1" s="1"/>
  <c r="AU292" i="1"/>
  <c r="AV292" i="1" s="1"/>
  <c r="AS292" i="1"/>
  <c r="AT292" i="1" s="1"/>
  <c r="AQ292" i="1"/>
  <c r="AR292" i="1" s="1"/>
  <c r="AO292" i="1"/>
  <c r="AP292" i="1" s="1"/>
  <c r="BC292" i="1" s="1"/>
  <c r="AM292" i="1"/>
  <c r="AN292" i="1" s="1"/>
  <c r="AK292" i="1"/>
  <c r="AL292" i="1" s="1"/>
  <c r="BB292" i="1" s="1"/>
  <c r="AI292" i="1"/>
  <c r="AJ292" i="1" s="1"/>
  <c r="AG292" i="1"/>
  <c r="AH292" i="1" s="1"/>
  <c r="AD292" i="1"/>
  <c r="BP291" i="1"/>
  <c r="BM291" i="1"/>
  <c r="BH291" i="1"/>
  <c r="AY291" i="1"/>
  <c r="AZ291" i="1" s="1"/>
  <c r="AW291" i="1"/>
  <c r="AX291" i="1" s="1"/>
  <c r="AU291" i="1"/>
  <c r="AV291" i="1" s="1"/>
  <c r="AS291" i="1"/>
  <c r="AT291" i="1" s="1"/>
  <c r="BD291" i="1" s="1"/>
  <c r="AQ291" i="1"/>
  <c r="AR291" i="1" s="1"/>
  <c r="AO291" i="1"/>
  <c r="AP291" i="1" s="1"/>
  <c r="AM291" i="1"/>
  <c r="AN291" i="1" s="1"/>
  <c r="AK291" i="1"/>
  <c r="AL291" i="1" s="1"/>
  <c r="AI291" i="1"/>
  <c r="AJ291" i="1" s="1"/>
  <c r="BA291" i="1" s="1"/>
  <c r="AG291" i="1"/>
  <c r="AH291" i="1" s="1"/>
  <c r="AD291" i="1"/>
  <c r="BH290" i="1"/>
  <c r="BC290" i="1"/>
  <c r="AY290" i="1"/>
  <c r="AZ290" i="1" s="1"/>
  <c r="AW290" i="1"/>
  <c r="AX290" i="1" s="1"/>
  <c r="BE290" i="1" s="1"/>
  <c r="AU290" i="1"/>
  <c r="AV290" i="1" s="1"/>
  <c r="AS290" i="1"/>
  <c r="AT290" i="1" s="1"/>
  <c r="BD290" i="1" s="1"/>
  <c r="AQ290" i="1"/>
  <c r="AO290" i="1"/>
  <c r="AM290" i="1"/>
  <c r="AN290" i="1" s="1"/>
  <c r="AK290" i="1"/>
  <c r="AL290" i="1" s="1"/>
  <c r="BB290" i="1" s="1"/>
  <c r="AI290" i="1"/>
  <c r="AJ290" i="1" s="1"/>
  <c r="AG290" i="1"/>
  <c r="AH290" i="1" s="1"/>
  <c r="BA290" i="1" s="1"/>
  <c r="AD290" i="1"/>
  <c r="BP289" i="1"/>
  <c r="BM289" i="1"/>
  <c r="BH289" i="1"/>
  <c r="AY289" i="1"/>
  <c r="AZ289" i="1" s="1"/>
  <c r="AW289" i="1"/>
  <c r="AX289" i="1" s="1"/>
  <c r="BE289" i="1" s="1"/>
  <c r="AU289" i="1"/>
  <c r="AV289" i="1" s="1"/>
  <c r="AS289" i="1"/>
  <c r="AT289" i="1" s="1"/>
  <c r="BD289" i="1" s="1"/>
  <c r="AQ289" i="1"/>
  <c r="AR289" i="1" s="1"/>
  <c r="AO289" i="1"/>
  <c r="AP289" i="1" s="1"/>
  <c r="AM289" i="1"/>
  <c r="AN289" i="1" s="1"/>
  <c r="AK289" i="1"/>
  <c r="AL289" i="1" s="1"/>
  <c r="BB289" i="1" s="1"/>
  <c r="AI289" i="1"/>
  <c r="AJ289" i="1" s="1"/>
  <c r="BA289" i="1" s="1"/>
  <c r="AG289" i="1"/>
  <c r="AH289" i="1" s="1"/>
  <c r="AD289" i="1"/>
  <c r="BP288" i="1"/>
  <c r="BM288" i="1"/>
  <c r="BH288" i="1"/>
  <c r="AY288" i="1"/>
  <c r="AZ288" i="1" s="1"/>
  <c r="AW288" i="1"/>
  <c r="AX288" i="1" s="1"/>
  <c r="BE288" i="1" s="1"/>
  <c r="AU288" i="1"/>
  <c r="AV288" i="1" s="1"/>
  <c r="AT288" i="1"/>
  <c r="BD288" i="1" s="1"/>
  <c r="AS288" i="1"/>
  <c r="AQ288" i="1"/>
  <c r="AR288" i="1" s="1"/>
  <c r="AO288" i="1"/>
  <c r="AP288" i="1" s="1"/>
  <c r="BC288" i="1" s="1"/>
  <c r="AM288" i="1"/>
  <c r="AN288" i="1" s="1"/>
  <c r="AK288" i="1"/>
  <c r="AL288" i="1" s="1"/>
  <c r="AI288" i="1"/>
  <c r="AJ288" i="1" s="1"/>
  <c r="AG288" i="1"/>
  <c r="AH288" i="1" s="1"/>
  <c r="BA288" i="1" s="1"/>
  <c r="AD288" i="1"/>
  <c r="BP287" i="1"/>
  <c r="BM287" i="1"/>
  <c r="BH287" i="1"/>
  <c r="AY287" i="1"/>
  <c r="AZ287" i="1" s="1"/>
  <c r="AW287" i="1"/>
  <c r="AX287" i="1" s="1"/>
  <c r="AV287" i="1"/>
  <c r="AU287" i="1"/>
  <c r="AS287" i="1"/>
  <c r="AT287" i="1" s="1"/>
  <c r="BD287" i="1" s="1"/>
  <c r="AQ287" i="1"/>
  <c r="AR287" i="1" s="1"/>
  <c r="AO287" i="1"/>
  <c r="AP287" i="1" s="1"/>
  <c r="AN287" i="1"/>
  <c r="AM287" i="1"/>
  <c r="AK287" i="1"/>
  <c r="AL287" i="1" s="1"/>
  <c r="AJ287" i="1"/>
  <c r="AI287" i="1"/>
  <c r="AG287" i="1"/>
  <c r="AH287" i="1" s="1"/>
  <c r="AD287" i="1"/>
  <c r="BP286" i="1"/>
  <c r="BM286" i="1"/>
  <c r="BH286" i="1"/>
  <c r="AY286" i="1"/>
  <c r="AZ286" i="1" s="1"/>
  <c r="AW286" i="1"/>
  <c r="AX286" i="1" s="1"/>
  <c r="AU286" i="1"/>
  <c r="AV286" i="1" s="1"/>
  <c r="AT286" i="1"/>
  <c r="BD286" i="1" s="1"/>
  <c r="AS286" i="1"/>
  <c r="AQ286" i="1"/>
  <c r="AR286" i="1" s="1"/>
  <c r="AO286" i="1"/>
  <c r="AP286" i="1" s="1"/>
  <c r="BC286" i="1" s="1"/>
  <c r="AM286" i="1"/>
  <c r="AN286" i="1" s="1"/>
  <c r="AK286" i="1"/>
  <c r="AL286" i="1" s="1"/>
  <c r="AI286" i="1"/>
  <c r="AJ286" i="1" s="1"/>
  <c r="AG286" i="1"/>
  <c r="AH286" i="1" s="1"/>
  <c r="AD286" i="1"/>
  <c r="BP285" i="1"/>
  <c r="BM285" i="1"/>
  <c r="BH285" i="1"/>
  <c r="AY285" i="1"/>
  <c r="AZ285" i="1" s="1"/>
  <c r="AW285" i="1"/>
  <c r="AX285" i="1" s="1"/>
  <c r="AV285" i="1"/>
  <c r="AU285" i="1"/>
  <c r="AS285" i="1"/>
  <c r="AT285" i="1" s="1"/>
  <c r="BD285" i="1" s="1"/>
  <c r="AQ285" i="1"/>
  <c r="AR285" i="1" s="1"/>
  <c r="AO285" i="1"/>
  <c r="AP285" i="1" s="1"/>
  <c r="AM285" i="1"/>
  <c r="AN285" i="1" s="1"/>
  <c r="AK285" i="1"/>
  <c r="AL285" i="1" s="1"/>
  <c r="AI285" i="1"/>
  <c r="AJ285" i="1" s="1"/>
  <c r="AG285" i="1"/>
  <c r="AH285" i="1" s="1"/>
  <c r="AD285" i="1"/>
  <c r="BP284" i="1"/>
  <c r="BM284" i="1"/>
  <c r="BH284" i="1"/>
  <c r="AY284" i="1"/>
  <c r="AZ284" i="1" s="1"/>
  <c r="AX284" i="1"/>
  <c r="AW284" i="1"/>
  <c r="AU284" i="1"/>
  <c r="AV284" i="1" s="1"/>
  <c r="AT284" i="1"/>
  <c r="AS284" i="1"/>
  <c r="AQ284" i="1"/>
  <c r="AR284" i="1" s="1"/>
  <c r="AP284" i="1"/>
  <c r="AO284" i="1"/>
  <c r="AM284" i="1"/>
  <c r="AN284" i="1" s="1"/>
  <c r="AL284" i="1"/>
  <c r="AK284" i="1"/>
  <c r="AI284" i="1"/>
  <c r="AJ284" i="1" s="1"/>
  <c r="AH284" i="1"/>
  <c r="AG284" i="1"/>
  <c r="AD284" i="1"/>
  <c r="BP283" i="1"/>
  <c r="BM283" i="1"/>
  <c r="BH283" i="1"/>
  <c r="AZ283" i="1"/>
  <c r="AY283" i="1"/>
  <c r="AW283" i="1"/>
  <c r="AX283" i="1" s="1"/>
  <c r="BE283" i="1" s="1"/>
  <c r="AV283" i="1"/>
  <c r="AU283" i="1"/>
  <c r="AS283" i="1"/>
  <c r="AT283" i="1" s="1"/>
  <c r="AR283" i="1"/>
  <c r="AQ283" i="1"/>
  <c r="AO283" i="1"/>
  <c r="AP283" i="1" s="1"/>
  <c r="AN283" i="1"/>
  <c r="AM283" i="1"/>
  <c r="AK283" i="1"/>
  <c r="AL283" i="1" s="1"/>
  <c r="BB283" i="1" s="1"/>
  <c r="AJ283" i="1"/>
  <c r="AI283" i="1"/>
  <c r="AG283" i="1"/>
  <c r="AH283" i="1" s="1"/>
  <c r="BA283" i="1" s="1"/>
  <c r="AD283" i="1"/>
  <c r="BP282" i="1"/>
  <c r="BM282" i="1"/>
  <c r="BH282" i="1"/>
  <c r="AY282" i="1"/>
  <c r="AZ282" i="1" s="1"/>
  <c r="AX282" i="1"/>
  <c r="AW282" i="1"/>
  <c r="AU282" i="1"/>
  <c r="AV282" i="1" s="1"/>
  <c r="AT282" i="1"/>
  <c r="AS282" i="1"/>
  <c r="AQ282" i="1"/>
  <c r="AR282" i="1" s="1"/>
  <c r="AO282" i="1"/>
  <c r="AP282" i="1" s="1"/>
  <c r="BC282" i="1" s="1"/>
  <c r="AM282" i="1"/>
  <c r="AN282" i="1" s="1"/>
  <c r="AL282" i="1"/>
  <c r="BB282" i="1" s="1"/>
  <c r="AK282" i="1"/>
  <c r="AI282" i="1"/>
  <c r="AJ282" i="1" s="1"/>
  <c r="AG282" i="1"/>
  <c r="AH282" i="1" s="1"/>
  <c r="BA282" i="1" s="1"/>
  <c r="AD282" i="1"/>
  <c r="BP281" i="1"/>
  <c r="BM281" i="1"/>
  <c r="BH281" i="1"/>
  <c r="AY281" i="1"/>
  <c r="AZ281" i="1" s="1"/>
  <c r="AW281" i="1"/>
  <c r="AX281" i="1" s="1"/>
  <c r="AV281" i="1"/>
  <c r="AU281" i="1"/>
  <c r="AS281" i="1"/>
  <c r="AT281" i="1" s="1"/>
  <c r="AQ281" i="1"/>
  <c r="AR281" i="1" s="1"/>
  <c r="AO281" i="1"/>
  <c r="AP281" i="1" s="1"/>
  <c r="AN281" i="1"/>
  <c r="AM281" i="1"/>
  <c r="AK281" i="1"/>
  <c r="AL281" i="1" s="1"/>
  <c r="BB281" i="1" s="1"/>
  <c r="AI281" i="1"/>
  <c r="AJ281" i="1" s="1"/>
  <c r="AG281" i="1"/>
  <c r="AH281" i="1" s="1"/>
  <c r="AD281" i="1"/>
  <c r="BP280" i="1"/>
  <c r="BM280" i="1"/>
  <c r="BH280" i="1"/>
  <c r="AY280" i="1"/>
  <c r="AZ280" i="1" s="1"/>
  <c r="AW280" i="1"/>
  <c r="AX280" i="1" s="1"/>
  <c r="BE280" i="1" s="1"/>
  <c r="AU280" i="1"/>
  <c r="AV280" i="1" s="1"/>
  <c r="AT280" i="1"/>
  <c r="BD280" i="1" s="1"/>
  <c r="AS280" i="1"/>
  <c r="AQ280" i="1"/>
  <c r="AR280" i="1" s="1"/>
  <c r="AO280" i="1"/>
  <c r="AP280" i="1" s="1"/>
  <c r="BC280" i="1" s="1"/>
  <c r="AM280" i="1"/>
  <c r="AN280" i="1" s="1"/>
  <c r="AK280" i="1"/>
  <c r="AL280" i="1" s="1"/>
  <c r="BB280" i="1" s="1"/>
  <c r="AI280" i="1"/>
  <c r="AJ280" i="1" s="1"/>
  <c r="AH280" i="1"/>
  <c r="AG280" i="1"/>
  <c r="AD280" i="1"/>
  <c r="BP279" i="1"/>
  <c r="BM279" i="1"/>
  <c r="BH279" i="1"/>
  <c r="AY279" i="1"/>
  <c r="AZ279" i="1" s="1"/>
  <c r="AW279" i="1"/>
  <c r="AX279" i="1" s="1"/>
  <c r="AU279" i="1"/>
  <c r="AV279" i="1" s="1"/>
  <c r="AS279" i="1"/>
  <c r="AT279" i="1" s="1"/>
  <c r="AQ279" i="1"/>
  <c r="AR279" i="1" s="1"/>
  <c r="AO279" i="1"/>
  <c r="AP279" i="1" s="1"/>
  <c r="AM279" i="1"/>
  <c r="AN279" i="1" s="1"/>
  <c r="AK279" i="1"/>
  <c r="AL279" i="1" s="1"/>
  <c r="AI279" i="1"/>
  <c r="AJ279" i="1" s="1"/>
  <c r="AG279" i="1"/>
  <c r="AH279" i="1" s="1"/>
  <c r="AD279" i="1"/>
  <c r="BP278" i="1"/>
  <c r="BM278" i="1"/>
  <c r="BH278" i="1"/>
  <c r="AY278" i="1"/>
  <c r="AZ278" i="1" s="1"/>
  <c r="AW278" i="1"/>
  <c r="AX278" i="1" s="1"/>
  <c r="BE278" i="1" s="1"/>
  <c r="AU278" i="1"/>
  <c r="AV278" i="1" s="1"/>
  <c r="AS278" i="1"/>
  <c r="AT278" i="1" s="1"/>
  <c r="BD278" i="1" s="1"/>
  <c r="AQ278" i="1"/>
  <c r="AR278" i="1" s="1"/>
  <c r="AP278" i="1"/>
  <c r="BC278" i="1" s="1"/>
  <c r="AO278" i="1"/>
  <c r="AM278" i="1"/>
  <c r="AN278" i="1" s="1"/>
  <c r="AK278" i="1"/>
  <c r="AL278" i="1" s="1"/>
  <c r="AI278" i="1"/>
  <c r="AJ278" i="1" s="1"/>
  <c r="AG278" i="1"/>
  <c r="AH278" i="1" s="1"/>
  <c r="AD278" i="1"/>
  <c r="BP277" i="1"/>
  <c r="BM277" i="1"/>
  <c r="BH277" i="1"/>
  <c r="AZ277" i="1"/>
  <c r="AY277" i="1"/>
  <c r="AW277" i="1"/>
  <c r="AX277" i="1" s="1"/>
  <c r="AU277" i="1"/>
  <c r="AV277" i="1" s="1"/>
  <c r="AS277" i="1"/>
  <c r="AT277" i="1" s="1"/>
  <c r="AQ277" i="1"/>
  <c r="AR277" i="1" s="1"/>
  <c r="AO277" i="1"/>
  <c r="AP277" i="1" s="1"/>
  <c r="AM277" i="1"/>
  <c r="AN277" i="1" s="1"/>
  <c r="AK277" i="1"/>
  <c r="AL277" i="1" s="1"/>
  <c r="AJ277" i="1"/>
  <c r="AI277" i="1"/>
  <c r="AG277" i="1"/>
  <c r="AH277" i="1" s="1"/>
  <c r="AD277" i="1"/>
  <c r="BH276" i="1"/>
  <c r="BC276" i="1"/>
  <c r="AY276" i="1"/>
  <c r="AZ276" i="1" s="1"/>
  <c r="AW276" i="1"/>
  <c r="AX276" i="1" s="1"/>
  <c r="AU276" i="1"/>
  <c r="AV276" i="1" s="1"/>
  <c r="AS276" i="1"/>
  <c r="AT276" i="1" s="1"/>
  <c r="AQ276" i="1"/>
  <c r="AO276" i="1"/>
  <c r="AM276" i="1"/>
  <c r="AN276" i="1" s="1"/>
  <c r="AK276" i="1"/>
  <c r="AL276" i="1" s="1"/>
  <c r="BB276" i="1" s="1"/>
  <c r="AI276" i="1"/>
  <c r="AJ276" i="1" s="1"/>
  <c r="AG276" i="1"/>
  <c r="AH276" i="1" s="1"/>
  <c r="BA276" i="1" s="1"/>
  <c r="BH275" i="1"/>
  <c r="BC275" i="1"/>
  <c r="AY275" i="1"/>
  <c r="AZ275" i="1" s="1"/>
  <c r="AW275" i="1"/>
  <c r="AX275" i="1" s="1"/>
  <c r="AU275" i="1"/>
  <c r="AV275" i="1" s="1"/>
  <c r="AS275" i="1"/>
  <c r="AT275" i="1" s="1"/>
  <c r="BD275" i="1" s="1"/>
  <c r="AQ275" i="1"/>
  <c r="AO275" i="1"/>
  <c r="AM275" i="1"/>
  <c r="AN275" i="1" s="1"/>
  <c r="AK275" i="1"/>
  <c r="AL275" i="1" s="1"/>
  <c r="AI275" i="1"/>
  <c r="AJ275" i="1" s="1"/>
  <c r="BA275" i="1" s="1"/>
  <c r="AH275" i="1"/>
  <c r="AG275" i="1"/>
  <c r="BH274" i="1"/>
  <c r="BC274" i="1"/>
  <c r="AY274" i="1"/>
  <c r="AZ274" i="1" s="1"/>
  <c r="AW274" i="1"/>
  <c r="AX274" i="1" s="1"/>
  <c r="BE274" i="1" s="1"/>
  <c r="AU274" i="1"/>
  <c r="AV274" i="1" s="1"/>
  <c r="AS274" i="1"/>
  <c r="AT274" i="1" s="1"/>
  <c r="BD274" i="1" s="1"/>
  <c r="AQ274" i="1"/>
  <c r="AO274" i="1"/>
  <c r="AN274" i="1"/>
  <c r="AM274" i="1"/>
  <c r="AK274" i="1"/>
  <c r="AL274" i="1" s="1"/>
  <c r="BB274" i="1" s="1"/>
  <c r="AI274" i="1"/>
  <c r="AJ274" i="1" s="1"/>
  <c r="AG274" i="1"/>
  <c r="AH274" i="1" s="1"/>
  <c r="BH273" i="1"/>
  <c r="BC273" i="1"/>
  <c r="AY273" i="1"/>
  <c r="AZ273" i="1" s="1"/>
  <c r="AW273" i="1"/>
  <c r="AX273" i="1" s="1"/>
  <c r="BE273" i="1" s="1"/>
  <c r="AU273" i="1"/>
  <c r="AV273" i="1" s="1"/>
  <c r="AT273" i="1"/>
  <c r="AS273" i="1"/>
  <c r="AQ273" i="1"/>
  <c r="AO273" i="1"/>
  <c r="AM273" i="1"/>
  <c r="AN273" i="1" s="1"/>
  <c r="AK273" i="1"/>
  <c r="AL273" i="1" s="1"/>
  <c r="BB273" i="1" s="1"/>
  <c r="AJ273" i="1"/>
  <c r="AI273" i="1"/>
  <c r="AG273" i="1"/>
  <c r="AH273" i="1" s="1"/>
  <c r="BA273" i="1" s="1"/>
  <c r="BH272" i="1"/>
  <c r="BC272" i="1"/>
  <c r="AY272" i="1"/>
  <c r="AZ272" i="1" s="1"/>
  <c r="AX272" i="1"/>
  <c r="AW272" i="1"/>
  <c r="AU272" i="1"/>
  <c r="AV272" i="1" s="1"/>
  <c r="AT272" i="1"/>
  <c r="AS272" i="1"/>
  <c r="AM272" i="1"/>
  <c r="AN272" i="1" s="1"/>
  <c r="AK272" i="1"/>
  <c r="AL272" i="1" s="1"/>
  <c r="AI272" i="1"/>
  <c r="AJ272" i="1" s="1"/>
  <c r="AG272" i="1"/>
  <c r="AH272" i="1" s="1"/>
  <c r="BH271" i="1"/>
  <c r="BC271" i="1"/>
  <c r="AY271" i="1"/>
  <c r="AZ271" i="1" s="1"/>
  <c r="AW271" i="1"/>
  <c r="AX271" i="1" s="1"/>
  <c r="AU271" i="1"/>
  <c r="AV271" i="1" s="1"/>
  <c r="AS271" i="1"/>
  <c r="AT271" i="1" s="1"/>
  <c r="AQ271" i="1"/>
  <c r="AO271" i="1"/>
  <c r="AM271" i="1"/>
  <c r="AN271" i="1" s="1"/>
  <c r="AK271" i="1"/>
  <c r="AL271" i="1" s="1"/>
  <c r="BB271" i="1" s="1"/>
  <c r="AI271" i="1"/>
  <c r="AJ271" i="1" s="1"/>
  <c r="AG271" i="1"/>
  <c r="AH271" i="1" s="1"/>
  <c r="BP270" i="1"/>
  <c r="BM270" i="1"/>
  <c r="BH270" i="1"/>
  <c r="AY270" i="1"/>
  <c r="AZ270" i="1" s="1"/>
  <c r="AW270" i="1"/>
  <c r="AX270" i="1" s="1"/>
  <c r="AV270" i="1"/>
  <c r="AU270" i="1"/>
  <c r="AS270" i="1"/>
  <c r="AT270" i="1" s="1"/>
  <c r="AQ270" i="1"/>
  <c r="AR270" i="1" s="1"/>
  <c r="AO270" i="1"/>
  <c r="AP270" i="1" s="1"/>
  <c r="AM270" i="1"/>
  <c r="AN270" i="1" s="1"/>
  <c r="AK270" i="1"/>
  <c r="AL270" i="1" s="1"/>
  <c r="AI270" i="1"/>
  <c r="AJ270" i="1" s="1"/>
  <c r="AG270" i="1"/>
  <c r="AH270" i="1" s="1"/>
  <c r="AD270" i="1"/>
  <c r="BP269" i="1"/>
  <c r="BM269" i="1"/>
  <c r="BH269" i="1"/>
  <c r="AY269" i="1"/>
  <c r="AZ269" i="1" s="1"/>
  <c r="AW269" i="1"/>
  <c r="AX269" i="1" s="1"/>
  <c r="AU269" i="1"/>
  <c r="AV269" i="1" s="1"/>
  <c r="AT269" i="1"/>
  <c r="AS269" i="1"/>
  <c r="AQ269" i="1"/>
  <c r="AR269" i="1" s="1"/>
  <c r="AO269" i="1"/>
  <c r="AP269" i="1" s="1"/>
  <c r="BC269" i="1" s="1"/>
  <c r="AM269" i="1"/>
  <c r="AN269" i="1" s="1"/>
  <c r="AK269" i="1"/>
  <c r="AL269" i="1" s="1"/>
  <c r="BB269" i="1" s="1"/>
  <c r="AI269" i="1"/>
  <c r="AJ269" i="1" s="1"/>
  <c r="AG269" i="1"/>
  <c r="AH269" i="1" s="1"/>
  <c r="BA269" i="1" s="1"/>
  <c r="AD269" i="1"/>
  <c r="BP268" i="1"/>
  <c r="BM268" i="1"/>
  <c r="BH268" i="1"/>
  <c r="AY268" i="1"/>
  <c r="AZ268" i="1" s="1"/>
  <c r="AW268" i="1"/>
  <c r="AX268" i="1" s="1"/>
  <c r="AU268" i="1"/>
  <c r="AV268" i="1" s="1"/>
  <c r="AS268" i="1"/>
  <c r="AT268" i="1" s="1"/>
  <c r="AQ268" i="1"/>
  <c r="AR268" i="1" s="1"/>
  <c r="AO268" i="1"/>
  <c r="AP268" i="1" s="1"/>
  <c r="AN268" i="1"/>
  <c r="AM268" i="1"/>
  <c r="AK268" i="1"/>
  <c r="AL268" i="1" s="1"/>
  <c r="AI268" i="1"/>
  <c r="AJ268" i="1" s="1"/>
  <c r="AG268" i="1"/>
  <c r="AH268" i="1" s="1"/>
  <c r="AD268" i="1"/>
  <c r="BP267" i="1"/>
  <c r="BM267" i="1"/>
  <c r="BH267" i="1"/>
  <c r="AY267" i="1"/>
  <c r="AZ267" i="1" s="1"/>
  <c r="AX267" i="1"/>
  <c r="AW267" i="1"/>
  <c r="AU267" i="1"/>
  <c r="AV267" i="1" s="1"/>
  <c r="AT267" i="1"/>
  <c r="BD267" i="1" s="1"/>
  <c r="AS267" i="1"/>
  <c r="AQ267" i="1"/>
  <c r="AR267" i="1" s="1"/>
  <c r="AP267" i="1"/>
  <c r="AO267" i="1"/>
  <c r="AM267" i="1"/>
  <c r="AN267" i="1" s="1"/>
  <c r="AK267" i="1"/>
  <c r="AL267" i="1" s="1"/>
  <c r="BB267" i="1" s="1"/>
  <c r="BF267" i="1" s="1"/>
  <c r="AI267" i="1"/>
  <c r="AJ267" i="1" s="1"/>
  <c r="AH267" i="1"/>
  <c r="BA267" i="1" s="1"/>
  <c r="AG267" i="1"/>
  <c r="AD267" i="1"/>
  <c r="BP266" i="1"/>
  <c r="BM266" i="1"/>
  <c r="BH266" i="1"/>
  <c r="AZ266" i="1"/>
  <c r="AY266" i="1"/>
  <c r="AW266" i="1"/>
  <c r="AX266" i="1" s="1"/>
  <c r="AU266" i="1"/>
  <c r="AV266" i="1" s="1"/>
  <c r="BD266" i="1" s="1"/>
  <c r="AS266" i="1"/>
  <c r="AT266" i="1" s="1"/>
  <c r="AR266" i="1"/>
  <c r="AQ266" i="1"/>
  <c r="AO266" i="1"/>
  <c r="AP266" i="1" s="1"/>
  <c r="AN266" i="1"/>
  <c r="AM266" i="1"/>
  <c r="AK266" i="1"/>
  <c r="AL266" i="1" s="1"/>
  <c r="AJ266" i="1"/>
  <c r="AI266" i="1"/>
  <c r="AG266" i="1"/>
  <c r="AH266" i="1" s="1"/>
  <c r="BA266" i="1" s="1"/>
  <c r="AD266" i="1"/>
  <c r="BP265" i="1"/>
  <c r="BM265" i="1"/>
  <c r="BH265" i="1"/>
  <c r="AY265" i="1"/>
  <c r="AZ265" i="1" s="1"/>
  <c r="AW265" i="1"/>
  <c r="AX265" i="1" s="1"/>
  <c r="BE265" i="1" s="1"/>
  <c r="AU265" i="1"/>
  <c r="AV265" i="1" s="1"/>
  <c r="AT265" i="1"/>
  <c r="BD265" i="1" s="1"/>
  <c r="AS265" i="1"/>
  <c r="AQ265" i="1"/>
  <c r="AR265" i="1" s="1"/>
  <c r="AP265" i="1"/>
  <c r="BC265" i="1" s="1"/>
  <c r="AO265" i="1"/>
  <c r="AM265" i="1"/>
  <c r="AN265" i="1" s="1"/>
  <c r="AK265" i="1"/>
  <c r="AL265" i="1" s="1"/>
  <c r="AI265" i="1"/>
  <c r="AJ265" i="1" s="1"/>
  <c r="AG265" i="1"/>
  <c r="AH265" i="1" s="1"/>
  <c r="AD265" i="1"/>
  <c r="BP264" i="1"/>
  <c r="BM264" i="1"/>
  <c r="BH264" i="1"/>
  <c r="AZ264" i="1"/>
  <c r="AY264" i="1"/>
  <c r="AW264" i="1"/>
  <c r="AX264" i="1" s="1"/>
  <c r="AU264" i="1"/>
  <c r="AV264" i="1" s="1"/>
  <c r="AS264" i="1"/>
  <c r="AT264" i="1" s="1"/>
  <c r="AQ264" i="1"/>
  <c r="AR264" i="1" s="1"/>
  <c r="AO264" i="1"/>
  <c r="AP264" i="1" s="1"/>
  <c r="AN264" i="1"/>
  <c r="AM264" i="1"/>
  <c r="AK264" i="1"/>
  <c r="AL264" i="1" s="1"/>
  <c r="AJ264" i="1"/>
  <c r="AI264" i="1"/>
  <c r="AG264" i="1"/>
  <c r="AH264" i="1" s="1"/>
  <c r="BA264" i="1" s="1"/>
  <c r="AD264" i="1"/>
  <c r="BP263" i="1"/>
  <c r="BM263" i="1"/>
  <c r="BH263" i="1"/>
  <c r="AY263" i="1"/>
  <c r="AZ263" i="1" s="1"/>
  <c r="AW263" i="1"/>
  <c r="AX263" i="1" s="1"/>
  <c r="AU263" i="1"/>
  <c r="AV263" i="1" s="1"/>
  <c r="AT263" i="1"/>
  <c r="AS263" i="1"/>
  <c r="AQ263" i="1"/>
  <c r="AR263" i="1" s="1"/>
  <c r="AO263" i="1"/>
  <c r="AP263" i="1" s="1"/>
  <c r="AM263" i="1"/>
  <c r="AN263" i="1" s="1"/>
  <c r="AK263" i="1"/>
  <c r="AL263" i="1" s="1"/>
  <c r="BB263" i="1" s="1"/>
  <c r="AI263" i="1"/>
  <c r="AJ263" i="1" s="1"/>
  <c r="AG263" i="1"/>
  <c r="AH263" i="1" s="1"/>
  <c r="BA263" i="1" s="1"/>
  <c r="AD263" i="1"/>
  <c r="BP262" i="1"/>
  <c r="BM262" i="1"/>
  <c r="BH262" i="1"/>
  <c r="AY262" i="1"/>
  <c r="AZ262" i="1" s="1"/>
  <c r="AW262" i="1"/>
  <c r="AX262" i="1" s="1"/>
  <c r="AU262" i="1"/>
  <c r="AV262" i="1" s="1"/>
  <c r="BD262" i="1" s="1"/>
  <c r="AS262" i="1"/>
  <c r="AT262" i="1" s="1"/>
  <c r="AR262" i="1"/>
  <c r="AQ262" i="1"/>
  <c r="AO262" i="1"/>
  <c r="AP262" i="1" s="1"/>
  <c r="AM262" i="1"/>
  <c r="AN262" i="1" s="1"/>
  <c r="AK262" i="1"/>
  <c r="AL262" i="1" s="1"/>
  <c r="AI262" i="1"/>
  <c r="AJ262" i="1" s="1"/>
  <c r="AG262" i="1"/>
  <c r="AH262" i="1" s="1"/>
  <c r="AD262" i="1"/>
  <c r="BP261" i="1"/>
  <c r="BM261" i="1"/>
  <c r="BH261" i="1"/>
  <c r="AY261" i="1"/>
  <c r="AZ261" i="1" s="1"/>
  <c r="AW261" i="1"/>
  <c r="AX261" i="1" s="1"/>
  <c r="BE261" i="1" s="1"/>
  <c r="AU261" i="1"/>
  <c r="AV261" i="1" s="1"/>
  <c r="AS261" i="1"/>
  <c r="AT261" i="1" s="1"/>
  <c r="BD261" i="1" s="1"/>
  <c r="AQ261" i="1"/>
  <c r="AR261" i="1" s="1"/>
  <c r="AO261" i="1"/>
  <c r="AP261" i="1" s="1"/>
  <c r="BC261" i="1" s="1"/>
  <c r="AM261" i="1"/>
  <c r="AN261" i="1" s="1"/>
  <c r="AL261" i="1"/>
  <c r="BB261" i="1" s="1"/>
  <c r="AK261" i="1"/>
  <c r="AI261" i="1"/>
  <c r="AJ261" i="1" s="1"/>
  <c r="AG261" i="1"/>
  <c r="AH261" i="1" s="1"/>
  <c r="BA261" i="1" s="1"/>
  <c r="AD261" i="1"/>
  <c r="BP260" i="1"/>
  <c r="BM260" i="1"/>
  <c r="BH260" i="1"/>
  <c r="AY260" i="1"/>
  <c r="AZ260" i="1" s="1"/>
  <c r="AW260" i="1"/>
  <c r="AX260" i="1" s="1"/>
  <c r="AV260" i="1"/>
  <c r="AU260" i="1"/>
  <c r="AS260" i="1"/>
  <c r="AT260" i="1" s="1"/>
  <c r="AQ260" i="1"/>
  <c r="AR260" i="1" s="1"/>
  <c r="AO260" i="1"/>
  <c r="AP260" i="1" s="1"/>
  <c r="AM260" i="1"/>
  <c r="AN260" i="1" s="1"/>
  <c r="AK260" i="1"/>
  <c r="AL260" i="1" s="1"/>
  <c r="AI260" i="1"/>
  <c r="AJ260" i="1" s="1"/>
  <c r="AG260" i="1"/>
  <c r="AH260" i="1" s="1"/>
  <c r="AD260" i="1"/>
  <c r="BP259" i="1"/>
  <c r="BM259" i="1"/>
  <c r="BH259" i="1"/>
  <c r="AY259" i="1"/>
  <c r="AZ259" i="1" s="1"/>
  <c r="AW259" i="1"/>
  <c r="AX259" i="1" s="1"/>
  <c r="BE259" i="1" s="1"/>
  <c r="AU259" i="1"/>
  <c r="AV259" i="1" s="1"/>
  <c r="AT259" i="1"/>
  <c r="AS259" i="1"/>
  <c r="AQ259" i="1"/>
  <c r="AR259" i="1" s="1"/>
  <c r="AO259" i="1"/>
  <c r="AP259" i="1" s="1"/>
  <c r="AM259" i="1"/>
  <c r="AN259" i="1" s="1"/>
  <c r="AK259" i="1"/>
  <c r="AL259" i="1" s="1"/>
  <c r="BB259" i="1" s="1"/>
  <c r="AI259" i="1"/>
  <c r="AJ259" i="1" s="1"/>
  <c r="AG259" i="1"/>
  <c r="AH259" i="1" s="1"/>
  <c r="AD259" i="1"/>
  <c r="BP258" i="1"/>
  <c r="BM258" i="1"/>
  <c r="BH258" i="1"/>
  <c r="AY258" i="1"/>
  <c r="AZ258" i="1" s="1"/>
  <c r="AW258" i="1"/>
  <c r="AX258" i="1" s="1"/>
  <c r="AU258" i="1"/>
  <c r="AV258" i="1" s="1"/>
  <c r="AS258" i="1"/>
  <c r="AT258" i="1" s="1"/>
  <c r="AQ258" i="1"/>
  <c r="AR258" i="1" s="1"/>
  <c r="AO258" i="1"/>
  <c r="AP258" i="1" s="1"/>
  <c r="AN258" i="1"/>
  <c r="AM258" i="1"/>
  <c r="AK258" i="1"/>
  <c r="AL258" i="1" s="1"/>
  <c r="BB258" i="1" s="1"/>
  <c r="AI258" i="1"/>
  <c r="AJ258" i="1" s="1"/>
  <c r="AG258" i="1"/>
  <c r="AH258" i="1" s="1"/>
  <c r="AD258" i="1"/>
  <c r="BP257" i="1"/>
  <c r="BM257" i="1"/>
  <c r="BH257" i="1"/>
  <c r="AY257" i="1"/>
  <c r="AZ257" i="1" s="1"/>
  <c r="AX257" i="1"/>
  <c r="AW257" i="1"/>
  <c r="AU257" i="1"/>
  <c r="AV257" i="1" s="1"/>
  <c r="AS257" i="1"/>
  <c r="AT257" i="1" s="1"/>
  <c r="BD257" i="1" s="1"/>
  <c r="AQ257" i="1"/>
  <c r="AR257" i="1" s="1"/>
  <c r="AO257" i="1"/>
  <c r="AP257" i="1" s="1"/>
  <c r="BC257" i="1" s="1"/>
  <c r="AM257" i="1"/>
  <c r="AN257" i="1" s="1"/>
  <c r="AL257" i="1"/>
  <c r="BB257" i="1" s="1"/>
  <c r="AK257" i="1"/>
  <c r="AI257" i="1"/>
  <c r="AJ257" i="1" s="1"/>
  <c r="AH257" i="1"/>
  <c r="AG257" i="1"/>
  <c r="AD257" i="1"/>
  <c r="BP256" i="1"/>
  <c r="BM256" i="1"/>
  <c r="BH256" i="1"/>
  <c r="AY256" i="1"/>
  <c r="AZ256" i="1" s="1"/>
  <c r="AW256" i="1"/>
  <c r="AX256" i="1" s="1"/>
  <c r="AU256" i="1"/>
  <c r="AV256" i="1" s="1"/>
  <c r="AS256" i="1"/>
  <c r="AT256" i="1" s="1"/>
  <c r="AQ256" i="1"/>
  <c r="AR256" i="1" s="1"/>
  <c r="AO256" i="1"/>
  <c r="AP256" i="1" s="1"/>
  <c r="AN256" i="1"/>
  <c r="AM256" i="1"/>
  <c r="AK256" i="1"/>
  <c r="AL256" i="1" s="1"/>
  <c r="AI256" i="1"/>
  <c r="AJ256" i="1" s="1"/>
  <c r="AG256" i="1"/>
  <c r="AH256" i="1" s="1"/>
  <c r="AD256" i="1"/>
  <c r="BP255" i="1"/>
  <c r="BM255" i="1"/>
  <c r="BH255" i="1"/>
  <c r="AY255" i="1"/>
  <c r="AZ255" i="1" s="1"/>
  <c r="AW255" i="1"/>
  <c r="AX255" i="1" s="1"/>
  <c r="AU255" i="1"/>
  <c r="AV255" i="1" s="1"/>
  <c r="AT255" i="1"/>
  <c r="AS255" i="1"/>
  <c r="AQ255" i="1"/>
  <c r="AR255" i="1" s="1"/>
  <c r="AP255" i="1"/>
  <c r="AO255" i="1"/>
  <c r="AM255" i="1"/>
  <c r="AN255" i="1" s="1"/>
  <c r="AK255" i="1"/>
  <c r="AL255" i="1" s="1"/>
  <c r="BB255" i="1" s="1"/>
  <c r="AI255" i="1"/>
  <c r="AJ255" i="1" s="1"/>
  <c r="AG255" i="1"/>
  <c r="AH255" i="1" s="1"/>
  <c r="BA255" i="1" s="1"/>
  <c r="AD255" i="1"/>
  <c r="BP254" i="1"/>
  <c r="BM254" i="1"/>
  <c r="BH254" i="1"/>
  <c r="AY254" i="1"/>
  <c r="AZ254" i="1" s="1"/>
  <c r="AW254" i="1"/>
  <c r="AX254" i="1" s="1"/>
  <c r="AU254" i="1"/>
  <c r="AV254" i="1" s="1"/>
  <c r="AS254" i="1"/>
  <c r="AT254" i="1" s="1"/>
  <c r="AR254" i="1"/>
  <c r="AQ254" i="1"/>
  <c r="AO254" i="1"/>
  <c r="AP254" i="1" s="1"/>
  <c r="AM254" i="1"/>
  <c r="AN254" i="1" s="1"/>
  <c r="AK254" i="1"/>
  <c r="AL254" i="1" s="1"/>
  <c r="AI254" i="1"/>
  <c r="AJ254" i="1" s="1"/>
  <c r="AG254" i="1"/>
  <c r="AH254" i="1" s="1"/>
  <c r="BA254" i="1" s="1"/>
  <c r="AD254" i="1"/>
  <c r="BP253" i="1"/>
  <c r="BM253" i="1"/>
  <c r="BH253" i="1"/>
  <c r="AY253" i="1"/>
  <c r="AZ253" i="1" s="1"/>
  <c r="AW253" i="1"/>
  <c r="AX253" i="1" s="1"/>
  <c r="BE253" i="1" s="1"/>
  <c r="AU253" i="1"/>
  <c r="AV253" i="1" s="1"/>
  <c r="AS253" i="1"/>
  <c r="AT253" i="1" s="1"/>
  <c r="BD253" i="1" s="1"/>
  <c r="AQ253" i="1"/>
  <c r="AR253" i="1" s="1"/>
  <c r="AO253" i="1"/>
  <c r="AP253" i="1" s="1"/>
  <c r="BC253" i="1" s="1"/>
  <c r="AM253" i="1"/>
  <c r="AN253" i="1" s="1"/>
  <c r="AL253" i="1"/>
  <c r="BB253" i="1" s="1"/>
  <c r="AK253" i="1"/>
  <c r="AI253" i="1"/>
  <c r="AJ253" i="1" s="1"/>
  <c r="AG253" i="1"/>
  <c r="AH253" i="1" s="1"/>
  <c r="AD253" i="1"/>
  <c r="BP252" i="1"/>
  <c r="BM252" i="1"/>
  <c r="BH252" i="1"/>
  <c r="AY252" i="1"/>
  <c r="AZ252" i="1" s="1"/>
  <c r="AW252" i="1"/>
  <c r="AX252" i="1" s="1"/>
  <c r="AU252" i="1"/>
  <c r="AV252" i="1" s="1"/>
  <c r="AS252" i="1"/>
  <c r="AT252" i="1" s="1"/>
  <c r="BD252" i="1" s="1"/>
  <c r="AR252" i="1"/>
  <c r="AQ252" i="1"/>
  <c r="AO252" i="1"/>
  <c r="AP252" i="1" s="1"/>
  <c r="AN252" i="1"/>
  <c r="AM252" i="1"/>
  <c r="AK252" i="1"/>
  <c r="AL252" i="1" s="1"/>
  <c r="AI252" i="1"/>
  <c r="AJ252" i="1" s="1"/>
  <c r="AG252" i="1"/>
  <c r="AH252" i="1" s="1"/>
  <c r="AD252" i="1"/>
  <c r="BP251" i="1"/>
  <c r="BM251" i="1"/>
  <c r="BH251" i="1"/>
  <c r="AY251" i="1"/>
  <c r="AZ251" i="1" s="1"/>
  <c r="AW251" i="1"/>
  <c r="AX251" i="1" s="1"/>
  <c r="AU251" i="1"/>
  <c r="AV251" i="1" s="1"/>
  <c r="AS251" i="1"/>
  <c r="AT251" i="1" s="1"/>
  <c r="AQ251" i="1"/>
  <c r="AR251" i="1" s="1"/>
  <c r="AP251" i="1"/>
  <c r="AO251" i="1"/>
  <c r="AM251" i="1"/>
  <c r="AN251" i="1" s="1"/>
  <c r="AK251" i="1"/>
  <c r="AL251" i="1" s="1"/>
  <c r="BB251" i="1" s="1"/>
  <c r="AI251" i="1"/>
  <c r="AJ251" i="1" s="1"/>
  <c r="AG251" i="1"/>
  <c r="AH251" i="1" s="1"/>
  <c r="BA251" i="1" s="1"/>
  <c r="AD251" i="1"/>
  <c r="BP250" i="1"/>
  <c r="BM250" i="1"/>
  <c r="BH250" i="1"/>
  <c r="AY250" i="1"/>
  <c r="AZ250" i="1" s="1"/>
  <c r="AW250" i="1"/>
  <c r="AX250" i="1" s="1"/>
  <c r="AV250" i="1"/>
  <c r="AU250" i="1"/>
  <c r="AS250" i="1"/>
  <c r="AT250" i="1" s="1"/>
  <c r="AR250" i="1"/>
  <c r="AQ250" i="1"/>
  <c r="AO250" i="1"/>
  <c r="AP250" i="1" s="1"/>
  <c r="AM250" i="1"/>
  <c r="AN250" i="1" s="1"/>
  <c r="AK250" i="1"/>
  <c r="AL250" i="1" s="1"/>
  <c r="AI250" i="1"/>
  <c r="AJ250" i="1" s="1"/>
  <c r="BA250" i="1" s="1"/>
  <c r="AG250" i="1"/>
  <c r="AH250" i="1" s="1"/>
  <c r="AD250" i="1"/>
  <c r="BP249" i="1"/>
  <c r="BM249" i="1"/>
  <c r="BH249" i="1"/>
  <c r="AY249" i="1"/>
  <c r="AZ249" i="1" s="1"/>
  <c r="AW249" i="1"/>
  <c r="AX249" i="1" s="1"/>
  <c r="BE249" i="1" s="1"/>
  <c r="AU249" i="1"/>
  <c r="AV249" i="1" s="1"/>
  <c r="AS249" i="1"/>
  <c r="AT249" i="1" s="1"/>
  <c r="BD249" i="1" s="1"/>
  <c r="AQ249" i="1"/>
  <c r="AR249" i="1" s="1"/>
  <c r="AP249" i="1"/>
  <c r="BC249" i="1" s="1"/>
  <c r="AO249" i="1"/>
  <c r="AM249" i="1"/>
  <c r="AN249" i="1" s="1"/>
  <c r="AL249" i="1"/>
  <c r="BB249" i="1" s="1"/>
  <c r="AK249" i="1"/>
  <c r="AI249" i="1"/>
  <c r="AJ249" i="1" s="1"/>
  <c r="AG249" i="1"/>
  <c r="AH249" i="1" s="1"/>
  <c r="AD249" i="1"/>
  <c r="BP248" i="1"/>
  <c r="BM248" i="1"/>
  <c r="BH248" i="1"/>
  <c r="AY248" i="1"/>
  <c r="AZ248" i="1" s="1"/>
  <c r="AW248" i="1"/>
  <c r="AX248" i="1" s="1"/>
  <c r="AU248" i="1"/>
  <c r="AV248" i="1" s="1"/>
  <c r="AS248" i="1"/>
  <c r="AT248" i="1" s="1"/>
  <c r="AQ248" i="1"/>
  <c r="AR248" i="1" s="1"/>
  <c r="AO248" i="1"/>
  <c r="AP248" i="1" s="1"/>
  <c r="AM248" i="1"/>
  <c r="AN248" i="1" s="1"/>
  <c r="AK248" i="1"/>
  <c r="AL248" i="1" s="1"/>
  <c r="AI248" i="1"/>
  <c r="AJ248" i="1" s="1"/>
  <c r="AG248" i="1"/>
  <c r="AH248" i="1" s="1"/>
  <c r="AD248" i="1"/>
  <c r="BP247" i="1"/>
  <c r="BM247" i="1"/>
  <c r="BH247" i="1"/>
  <c r="AY247" i="1"/>
  <c r="AZ247" i="1" s="1"/>
  <c r="AW247" i="1"/>
  <c r="AX247" i="1" s="1"/>
  <c r="AU247" i="1"/>
  <c r="AS247" i="1"/>
  <c r="AQ247" i="1"/>
  <c r="AP247" i="1"/>
  <c r="AO247" i="1"/>
  <c r="AM247" i="1"/>
  <c r="AK247" i="1"/>
  <c r="AL247" i="1" s="1"/>
  <c r="AI247" i="1"/>
  <c r="AJ247" i="1" s="1"/>
  <c r="AG247" i="1"/>
  <c r="AH247" i="1" s="1"/>
  <c r="BA247" i="1" s="1"/>
  <c r="AF247" i="1"/>
  <c r="AT247" i="1" s="1"/>
  <c r="AD247" i="1"/>
  <c r="BP246" i="1"/>
  <c r="BM246" i="1"/>
  <c r="BH246" i="1"/>
  <c r="AY246" i="1"/>
  <c r="AW246" i="1"/>
  <c r="AX246" i="1" s="1"/>
  <c r="BE246" i="1" s="1"/>
  <c r="AU246" i="1"/>
  <c r="AS246" i="1"/>
  <c r="AT246" i="1" s="1"/>
  <c r="AQ246" i="1"/>
  <c r="AO246" i="1"/>
  <c r="AM246" i="1"/>
  <c r="AK246" i="1"/>
  <c r="AL246" i="1" s="1"/>
  <c r="AI246" i="1"/>
  <c r="AG246" i="1"/>
  <c r="AF246" i="1"/>
  <c r="AZ246" i="1" s="1"/>
  <c r="AD246" i="1"/>
  <c r="BH245" i="1"/>
  <c r="BC245" i="1"/>
  <c r="AY245" i="1"/>
  <c r="AZ245" i="1" s="1"/>
  <c r="AW245" i="1"/>
  <c r="AX245" i="1" s="1"/>
  <c r="BE245" i="1" s="1"/>
  <c r="AU245" i="1"/>
  <c r="AV245" i="1" s="1"/>
  <c r="AS245" i="1"/>
  <c r="AT245" i="1" s="1"/>
  <c r="AQ245" i="1"/>
  <c r="AO245" i="1"/>
  <c r="AM245" i="1"/>
  <c r="AN245" i="1" s="1"/>
  <c r="BB245" i="1" s="1"/>
  <c r="AK245" i="1"/>
  <c r="AL245" i="1" s="1"/>
  <c r="AJ245" i="1"/>
  <c r="AI245" i="1"/>
  <c r="AG245" i="1"/>
  <c r="AH245" i="1" s="1"/>
  <c r="AD245" i="1"/>
  <c r="BH244" i="1"/>
  <c r="BC244" i="1"/>
  <c r="AY244" i="1"/>
  <c r="AZ244" i="1" s="1"/>
  <c r="AW244" i="1"/>
  <c r="AX244" i="1" s="1"/>
  <c r="BE244" i="1" s="1"/>
  <c r="AU244" i="1"/>
  <c r="AV244" i="1" s="1"/>
  <c r="AT244" i="1"/>
  <c r="BD244" i="1" s="1"/>
  <c r="AS244" i="1"/>
  <c r="AM244" i="1"/>
  <c r="AN244" i="1" s="1"/>
  <c r="AK244" i="1"/>
  <c r="AL244" i="1" s="1"/>
  <c r="BB244" i="1" s="1"/>
  <c r="AI244" i="1"/>
  <c r="AJ244" i="1" s="1"/>
  <c r="AH244" i="1"/>
  <c r="AG244" i="1"/>
  <c r="BH243" i="1"/>
  <c r="BC243" i="1"/>
  <c r="AY243" i="1"/>
  <c r="AZ243" i="1" s="1"/>
  <c r="AW243" i="1"/>
  <c r="AX243" i="1" s="1"/>
  <c r="AU243" i="1"/>
  <c r="AV243" i="1" s="1"/>
  <c r="AS243" i="1"/>
  <c r="AT243" i="1" s="1"/>
  <c r="AM243" i="1"/>
  <c r="AN243" i="1" s="1"/>
  <c r="AL243" i="1"/>
  <c r="AK243" i="1"/>
  <c r="AJ243" i="1"/>
  <c r="AI243" i="1"/>
  <c r="AG243" i="1"/>
  <c r="AH243" i="1" s="1"/>
  <c r="AD243" i="1"/>
  <c r="BH242" i="1"/>
  <c r="BC242" i="1"/>
  <c r="AY242" i="1"/>
  <c r="AZ242" i="1" s="1"/>
  <c r="AX242" i="1"/>
  <c r="AW242" i="1"/>
  <c r="AU242" i="1"/>
  <c r="AV242" i="1" s="1"/>
  <c r="AT242" i="1"/>
  <c r="AS242" i="1"/>
  <c r="AQ242" i="1"/>
  <c r="AO242" i="1"/>
  <c r="AM242" i="1"/>
  <c r="AN242" i="1" s="1"/>
  <c r="AK242" i="1"/>
  <c r="AL242" i="1" s="1"/>
  <c r="AI242" i="1"/>
  <c r="AJ242" i="1" s="1"/>
  <c r="AG242" i="1"/>
  <c r="AH242" i="1" s="1"/>
  <c r="BA242" i="1" s="1"/>
  <c r="AD242" i="1"/>
  <c r="BP241" i="1"/>
  <c r="BM241" i="1"/>
  <c r="BH241" i="1"/>
  <c r="AY241" i="1"/>
  <c r="AZ241" i="1" s="1"/>
  <c r="AW241" i="1"/>
  <c r="AX241" i="1" s="1"/>
  <c r="AU241" i="1"/>
  <c r="AV241" i="1" s="1"/>
  <c r="AS241" i="1"/>
  <c r="AT241" i="1" s="1"/>
  <c r="BD241" i="1" s="1"/>
  <c r="AR241" i="1"/>
  <c r="AQ241" i="1"/>
  <c r="AO241" i="1"/>
  <c r="AP241" i="1" s="1"/>
  <c r="AN241" i="1"/>
  <c r="AM241" i="1"/>
  <c r="AK241" i="1"/>
  <c r="AL241" i="1" s="1"/>
  <c r="AJ241" i="1"/>
  <c r="AI241" i="1"/>
  <c r="AG241" i="1"/>
  <c r="AH241" i="1" s="1"/>
  <c r="AD241" i="1"/>
  <c r="BP240" i="1"/>
  <c r="BM240" i="1"/>
  <c r="BH240" i="1"/>
  <c r="AY240" i="1"/>
  <c r="AZ240" i="1" s="1"/>
  <c r="AW240" i="1"/>
  <c r="AX240" i="1" s="1"/>
  <c r="BE240" i="1" s="1"/>
  <c r="AU240" i="1"/>
  <c r="AV240" i="1" s="1"/>
  <c r="AS240" i="1"/>
  <c r="AT240" i="1" s="1"/>
  <c r="BD240" i="1" s="1"/>
  <c r="AQ240" i="1"/>
  <c r="AR240" i="1" s="1"/>
  <c r="AO240" i="1"/>
  <c r="AP240" i="1" s="1"/>
  <c r="BC240" i="1" s="1"/>
  <c r="AM240" i="1"/>
  <c r="AN240" i="1" s="1"/>
  <c r="AK240" i="1"/>
  <c r="AL240" i="1" s="1"/>
  <c r="BB240" i="1" s="1"/>
  <c r="AI240" i="1"/>
  <c r="AJ240" i="1" s="1"/>
  <c r="AG240" i="1"/>
  <c r="AH240" i="1" s="1"/>
  <c r="BA240" i="1" s="1"/>
  <c r="AD240" i="1"/>
  <c r="BP239" i="1"/>
  <c r="BM239" i="1"/>
  <c r="BH239" i="1"/>
  <c r="AY239" i="1"/>
  <c r="AZ239" i="1" s="1"/>
  <c r="AW239" i="1"/>
  <c r="AX239" i="1" s="1"/>
  <c r="AU239" i="1"/>
  <c r="AV239" i="1" s="1"/>
  <c r="AS239" i="1"/>
  <c r="AT239" i="1" s="1"/>
  <c r="AQ239" i="1"/>
  <c r="AR239" i="1" s="1"/>
  <c r="AO239" i="1"/>
  <c r="AP239" i="1" s="1"/>
  <c r="AM239" i="1"/>
  <c r="AN239" i="1" s="1"/>
  <c r="AK239" i="1"/>
  <c r="AL239" i="1" s="1"/>
  <c r="AI239" i="1"/>
  <c r="AJ239" i="1" s="1"/>
  <c r="AG239" i="1"/>
  <c r="AH239" i="1" s="1"/>
  <c r="AD239" i="1"/>
  <c r="BP238" i="1"/>
  <c r="BM238" i="1"/>
  <c r="BH238" i="1"/>
  <c r="AY238" i="1"/>
  <c r="AZ238" i="1" s="1"/>
  <c r="AW238" i="1"/>
  <c r="AX238" i="1" s="1"/>
  <c r="BE238" i="1" s="1"/>
  <c r="AU238" i="1"/>
  <c r="AV238" i="1" s="1"/>
  <c r="AS238" i="1"/>
  <c r="AT238" i="1" s="1"/>
  <c r="AQ238" i="1"/>
  <c r="AR238" i="1" s="1"/>
  <c r="AO238" i="1"/>
  <c r="AP238" i="1" s="1"/>
  <c r="BC238" i="1" s="1"/>
  <c r="AM238" i="1"/>
  <c r="AN238" i="1" s="1"/>
  <c r="AK238" i="1"/>
  <c r="AL238" i="1" s="1"/>
  <c r="BB238" i="1" s="1"/>
  <c r="AI238" i="1"/>
  <c r="AJ238" i="1" s="1"/>
  <c r="AG238" i="1"/>
  <c r="AH238" i="1" s="1"/>
  <c r="BA238" i="1" s="1"/>
  <c r="AD238" i="1"/>
  <c r="BP237" i="1"/>
  <c r="BM237" i="1"/>
  <c r="BH237" i="1"/>
  <c r="AY237" i="1"/>
  <c r="AZ237" i="1" s="1"/>
  <c r="AW237" i="1"/>
  <c r="AX237" i="1" s="1"/>
  <c r="AU237" i="1"/>
  <c r="AV237" i="1" s="1"/>
  <c r="AS237" i="1"/>
  <c r="AT237" i="1" s="1"/>
  <c r="AQ237" i="1"/>
  <c r="AR237" i="1" s="1"/>
  <c r="AO237" i="1"/>
  <c r="AP237" i="1" s="1"/>
  <c r="AM237" i="1"/>
  <c r="AN237" i="1" s="1"/>
  <c r="AK237" i="1"/>
  <c r="AL237" i="1" s="1"/>
  <c r="AI237" i="1"/>
  <c r="AJ237" i="1" s="1"/>
  <c r="AG237" i="1"/>
  <c r="AH237" i="1" s="1"/>
  <c r="AD237" i="1"/>
  <c r="BP236" i="1"/>
  <c r="BM236" i="1"/>
  <c r="BH236" i="1"/>
  <c r="AY236" i="1"/>
  <c r="AZ236" i="1" s="1"/>
  <c r="AW236" i="1"/>
  <c r="AX236" i="1" s="1"/>
  <c r="BE236" i="1" s="1"/>
  <c r="AU236" i="1"/>
  <c r="AV236" i="1" s="1"/>
  <c r="AS236" i="1"/>
  <c r="AT236" i="1" s="1"/>
  <c r="BD236" i="1" s="1"/>
  <c r="AQ236" i="1"/>
  <c r="AR236" i="1" s="1"/>
  <c r="AO236" i="1"/>
  <c r="AP236" i="1" s="1"/>
  <c r="AM236" i="1"/>
  <c r="AN236" i="1" s="1"/>
  <c r="AK236" i="1"/>
  <c r="AL236" i="1" s="1"/>
  <c r="BB236" i="1" s="1"/>
  <c r="AJ236" i="1"/>
  <c r="AI236" i="1"/>
  <c r="AG236" i="1"/>
  <c r="AH236" i="1" s="1"/>
  <c r="BA236" i="1" s="1"/>
  <c r="AD236" i="1"/>
  <c r="BP235" i="1"/>
  <c r="BM235" i="1"/>
  <c r="BH235" i="1"/>
  <c r="AY235" i="1"/>
  <c r="AZ235" i="1" s="1"/>
  <c r="AW235" i="1"/>
  <c r="AX235" i="1" s="1"/>
  <c r="BE235" i="1" s="1"/>
  <c r="AU235" i="1"/>
  <c r="AV235" i="1" s="1"/>
  <c r="AS235" i="1"/>
  <c r="AT235" i="1" s="1"/>
  <c r="AQ235" i="1"/>
  <c r="AR235" i="1" s="1"/>
  <c r="AO235" i="1"/>
  <c r="AP235" i="1" s="1"/>
  <c r="BC235" i="1" s="1"/>
  <c r="AN235" i="1"/>
  <c r="AM235" i="1"/>
  <c r="AK235" i="1"/>
  <c r="AL235" i="1" s="1"/>
  <c r="AI235" i="1"/>
  <c r="AJ235" i="1" s="1"/>
  <c r="AG235" i="1"/>
  <c r="AH235" i="1" s="1"/>
  <c r="AD235" i="1"/>
  <c r="BP234" i="1"/>
  <c r="BM234" i="1"/>
  <c r="BH234" i="1"/>
  <c r="AY234" i="1"/>
  <c r="AZ234" i="1" s="1"/>
  <c r="AW234" i="1"/>
  <c r="AX234" i="1" s="1"/>
  <c r="AU234" i="1"/>
  <c r="AV234" i="1" s="1"/>
  <c r="AT234" i="1"/>
  <c r="AS234" i="1"/>
  <c r="AQ234" i="1"/>
  <c r="AR234" i="1" s="1"/>
  <c r="AO234" i="1"/>
  <c r="AP234" i="1" s="1"/>
  <c r="AM234" i="1"/>
  <c r="AN234" i="1" s="1"/>
  <c r="AL234" i="1"/>
  <c r="BB234" i="1" s="1"/>
  <c r="AK234" i="1"/>
  <c r="AI234" i="1"/>
  <c r="AJ234" i="1" s="1"/>
  <c r="AG234" i="1"/>
  <c r="AH234" i="1" s="1"/>
  <c r="BA234" i="1" s="1"/>
  <c r="AD234" i="1"/>
  <c r="BP233" i="1"/>
  <c r="BM233" i="1"/>
  <c r="BH233" i="1"/>
  <c r="AZ233" i="1"/>
  <c r="AY233" i="1"/>
  <c r="AW233" i="1"/>
  <c r="AX233" i="1" s="1"/>
  <c r="BE233" i="1" s="1"/>
  <c r="AU233" i="1"/>
  <c r="AV233" i="1" s="1"/>
  <c r="AT233" i="1"/>
  <c r="AS233" i="1"/>
  <c r="AQ233" i="1"/>
  <c r="AR233" i="1" s="1"/>
  <c r="AO233" i="1"/>
  <c r="AP233" i="1" s="1"/>
  <c r="AM233" i="1"/>
  <c r="AN233" i="1" s="1"/>
  <c r="AK233" i="1"/>
  <c r="AL233" i="1" s="1"/>
  <c r="AJ233" i="1"/>
  <c r="AI233" i="1"/>
  <c r="AG233" i="1"/>
  <c r="AH233" i="1" s="1"/>
  <c r="AD233" i="1"/>
  <c r="BH232" i="1"/>
  <c r="BC232" i="1"/>
  <c r="AY232" i="1"/>
  <c r="AW232" i="1"/>
  <c r="AU232" i="1"/>
  <c r="AV232" i="1" s="1"/>
  <c r="AS232" i="1"/>
  <c r="AT232" i="1" s="1"/>
  <c r="BD232" i="1" s="1"/>
  <c r="AM232" i="1"/>
  <c r="AN232" i="1" s="1"/>
  <c r="AK232" i="1"/>
  <c r="AJ232" i="1"/>
  <c r="AI232" i="1"/>
  <c r="AH232" i="1"/>
  <c r="AG232" i="1"/>
  <c r="AF232" i="1"/>
  <c r="AD232" i="1"/>
  <c r="BH231" i="1"/>
  <c r="BC231" i="1"/>
  <c r="AY231" i="1"/>
  <c r="AW231" i="1"/>
  <c r="AX231" i="1" s="1"/>
  <c r="AU231" i="1"/>
  <c r="AV231" i="1" s="1"/>
  <c r="AS231" i="1"/>
  <c r="AT231" i="1" s="1"/>
  <c r="BD231" i="1" s="1"/>
  <c r="AM231" i="1"/>
  <c r="AN231" i="1" s="1"/>
  <c r="AL231" i="1"/>
  <c r="BB231" i="1" s="1"/>
  <c r="AK231" i="1"/>
  <c r="AI231" i="1"/>
  <c r="AJ231" i="1" s="1"/>
  <c r="AG231" i="1"/>
  <c r="AH231" i="1" s="1"/>
  <c r="AF231" i="1"/>
  <c r="BH230" i="1"/>
  <c r="BC230" i="1"/>
  <c r="AY230" i="1"/>
  <c r="AW230" i="1"/>
  <c r="AV230" i="1"/>
  <c r="AU230" i="1"/>
  <c r="AS230" i="1"/>
  <c r="AT230" i="1" s="1"/>
  <c r="AM230" i="1"/>
  <c r="AK230" i="1"/>
  <c r="AI230" i="1"/>
  <c r="AG230" i="1"/>
  <c r="AH230" i="1" s="1"/>
  <c r="AF230" i="1"/>
  <c r="AJ230" i="1" s="1"/>
  <c r="AD230" i="1"/>
  <c r="BH229" i="1"/>
  <c r="BC229" i="1"/>
  <c r="AY229" i="1"/>
  <c r="AW229" i="1"/>
  <c r="AX229" i="1" s="1"/>
  <c r="BE229" i="1" s="1"/>
  <c r="AU229" i="1"/>
  <c r="AS229" i="1"/>
  <c r="AM229" i="1"/>
  <c r="AK229" i="1"/>
  <c r="AL229" i="1" s="1"/>
  <c r="AI229" i="1"/>
  <c r="AG229" i="1"/>
  <c r="AF229" i="1"/>
  <c r="AZ229" i="1" s="1"/>
  <c r="AD229" i="1"/>
  <c r="BP228" i="1"/>
  <c r="BM228" i="1"/>
  <c r="BH228" i="1"/>
  <c r="AY228" i="1"/>
  <c r="AZ228" i="1" s="1"/>
  <c r="AW228" i="1"/>
  <c r="AX228" i="1" s="1"/>
  <c r="AU228" i="1"/>
  <c r="AV228" i="1" s="1"/>
  <c r="AS228" i="1"/>
  <c r="AT228" i="1" s="1"/>
  <c r="AQ228" i="1"/>
  <c r="AR228" i="1" s="1"/>
  <c r="AO228" i="1"/>
  <c r="AP228" i="1" s="1"/>
  <c r="BC228" i="1" s="1"/>
  <c r="AM228" i="1"/>
  <c r="AN228" i="1" s="1"/>
  <c r="AK228" i="1"/>
  <c r="AL228" i="1" s="1"/>
  <c r="AI228" i="1"/>
  <c r="AJ228" i="1" s="1"/>
  <c r="AH228" i="1"/>
  <c r="BA228" i="1" s="1"/>
  <c r="AG228" i="1"/>
  <c r="AD228" i="1"/>
  <c r="BP227" i="1"/>
  <c r="BM227" i="1"/>
  <c r="BH227" i="1"/>
  <c r="AY227" i="1"/>
  <c r="AZ227" i="1" s="1"/>
  <c r="AW227" i="1"/>
  <c r="AX227" i="1" s="1"/>
  <c r="AV227" i="1"/>
  <c r="AU227" i="1"/>
  <c r="AS227" i="1"/>
  <c r="AT227" i="1" s="1"/>
  <c r="AQ227" i="1"/>
  <c r="AR227" i="1" s="1"/>
  <c r="AO227" i="1"/>
  <c r="AP227" i="1" s="1"/>
  <c r="BC227" i="1" s="1"/>
  <c r="AM227" i="1"/>
  <c r="AN227" i="1" s="1"/>
  <c r="AK227" i="1"/>
  <c r="AL227" i="1" s="1"/>
  <c r="AI227" i="1"/>
  <c r="AJ227" i="1" s="1"/>
  <c r="AG227" i="1"/>
  <c r="AH227" i="1" s="1"/>
  <c r="AD227" i="1"/>
  <c r="BP226" i="1"/>
  <c r="BM226" i="1"/>
  <c r="BH226" i="1"/>
  <c r="AY226" i="1"/>
  <c r="AZ226" i="1" s="1"/>
  <c r="AW226" i="1"/>
  <c r="AX226" i="1" s="1"/>
  <c r="BE226" i="1" s="1"/>
  <c r="AU226" i="1"/>
  <c r="AV226" i="1" s="1"/>
  <c r="AS226" i="1"/>
  <c r="AT226" i="1" s="1"/>
  <c r="AQ226" i="1"/>
  <c r="AR226" i="1" s="1"/>
  <c r="AO226" i="1"/>
  <c r="AP226" i="1" s="1"/>
  <c r="BC226" i="1" s="1"/>
  <c r="AM226" i="1"/>
  <c r="AN226" i="1" s="1"/>
  <c r="AK226" i="1"/>
  <c r="AL226" i="1" s="1"/>
  <c r="AI226" i="1"/>
  <c r="AJ226" i="1" s="1"/>
  <c r="AG226" i="1"/>
  <c r="AH226" i="1" s="1"/>
  <c r="AD226" i="1"/>
  <c r="BP225" i="1"/>
  <c r="BM225" i="1"/>
  <c r="BH225" i="1"/>
  <c r="AZ225" i="1"/>
  <c r="AY225" i="1"/>
  <c r="AW225" i="1"/>
  <c r="AX225" i="1" s="1"/>
  <c r="AU225" i="1"/>
  <c r="AV225" i="1" s="1"/>
  <c r="AS225" i="1"/>
  <c r="AT225" i="1" s="1"/>
  <c r="AR225" i="1"/>
  <c r="AQ225" i="1"/>
  <c r="AO225" i="1"/>
  <c r="AP225" i="1" s="1"/>
  <c r="BC225" i="1" s="1"/>
  <c r="AM225" i="1"/>
  <c r="AN225" i="1" s="1"/>
  <c r="AK225" i="1"/>
  <c r="AL225" i="1" s="1"/>
  <c r="BB225" i="1" s="1"/>
  <c r="AI225" i="1"/>
  <c r="AJ225" i="1" s="1"/>
  <c r="AG225" i="1"/>
  <c r="AH225" i="1" s="1"/>
  <c r="AD225" i="1"/>
  <c r="BP224" i="1"/>
  <c r="BM224" i="1"/>
  <c r="BH224" i="1"/>
  <c r="AY224" i="1"/>
  <c r="AZ224" i="1" s="1"/>
  <c r="AW224" i="1"/>
  <c r="AX224" i="1" s="1"/>
  <c r="AU224" i="1"/>
  <c r="AV224" i="1" s="1"/>
  <c r="AS224" i="1"/>
  <c r="AT224" i="1" s="1"/>
  <c r="AQ224" i="1"/>
  <c r="AR224" i="1" s="1"/>
  <c r="AO224" i="1"/>
  <c r="AP224" i="1" s="1"/>
  <c r="BC224" i="1" s="1"/>
  <c r="AM224" i="1"/>
  <c r="AN224" i="1" s="1"/>
  <c r="AK224" i="1"/>
  <c r="AL224" i="1" s="1"/>
  <c r="AI224" i="1"/>
  <c r="AJ224" i="1" s="1"/>
  <c r="AH224" i="1"/>
  <c r="BA224" i="1" s="1"/>
  <c r="AG224" i="1"/>
  <c r="AD224" i="1"/>
  <c r="BP223" i="1"/>
  <c r="BM223" i="1"/>
  <c r="BH223" i="1"/>
  <c r="AY223" i="1"/>
  <c r="AZ223" i="1" s="1"/>
  <c r="AW223" i="1"/>
  <c r="AX223" i="1" s="1"/>
  <c r="BE223" i="1" s="1"/>
  <c r="AV223" i="1"/>
  <c r="AU223" i="1"/>
  <c r="AS223" i="1"/>
  <c r="AT223" i="1" s="1"/>
  <c r="BD223" i="1" s="1"/>
  <c r="AQ223" i="1"/>
  <c r="AR223" i="1" s="1"/>
  <c r="AO223" i="1"/>
  <c r="AP223" i="1" s="1"/>
  <c r="BC223" i="1" s="1"/>
  <c r="AN223" i="1"/>
  <c r="AM223" i="1"/>
  <c r="AK223" i="1"/>
  <c r="AL223" i="1" s="1"/>
  <c r="BB223" i="1" s="1"/>
  <c r="AI223" i="1"/>
  <c r="AJ223" i="1" s="1"/>
  <c r="AG223" i="1"/>
  <c r="AH223" i="1" s="1"/>
  <c r="AD223" i="1"/>
  <c r="BP222" i="1"/>
  <c r="BM222" i="1"/>
  <c r="BH222" i="1"/>
  <c r="BE222" i="1"/>
  <c r="AY222" i="1"/>
  <c r="AZ222" i="1" s="1"/>
  <c r="AW222" i="1"/>
  <c r="AX222" i="1" s="1"/>
  <c r="AU222" i="1"/>
  <c r="AV222" i="1" s="1"/>
  <c r="AS222" i="1"/>
  <c r="AT222" i="1" s="1"/>
  <c r="AQ222" i="1"/>
  <c r="AR222" i="1" s="1"/>
  <c r="AO222" i="1"/>
  <c r="AP222" i="1" s="1"/>
  <c r="BC222" i="1" s="1"/>
  <c r="AM222" i="1"/>
  <c r="AN222" i="1" s="1"/>
  <c r="BB222" i="1" s="1"/>
  <c r="AL222" i="1"/>
  <c r="AK222" i="1"/>
  <c r="AI222" i="1"/>
  <c r="AJ222" i="1" s="1"/>
  <c r="AG222" i="1"/>
  <c r="AH222" i="1" s="1"/>
  <c r="AD222" i="1"/>
  <c r="BP221" i="1"/>
  <c r="BM221" i="1"/>
  <c r="BH221" i="1"/>
  <c r="AZ221" i="1"/>
  <c r="AY221" i="1"/>
  <c r="AW221" i="1"/>
  <c r="AX221" i="1" s="1"/>
  <c r="BE221" i="1" s="1"/>
  <c r="AU221" i="1"/>
  <c r="AV221" i="1" s="1"/>
  <c r="AS221" i="1"/>
  <c r="AT221" i="1" s="1"/>
  <c r="AQ221" i="1"/>
  <c r="AR221" i="1" s="1"/>
  <c r="AO221" i="1"/>
  <c r="AP221" i="1" s="1"/>
  <c r="AM221" i="1"/>
  <c r="AN221" i="1" s="1"/>
  <c r="AK221" i="1"/>
  <c r="AL221" i="1" s="1"/>
  <c r="BB221" i="1" s="1"/>
  <c r="AI221" i="1"/>
  <c r="AJ221" i="1" s="1"/>
  <c r="AG221" i="1"/>
  <c r="AH221" i="1" s="1"/>
  <c r="AD221" i="1"/>
  <c r="BP220" i="1"/>
  <c r="BM220" i="1"/>
  <c r="BH220" i="1"/>
  <c r="AY220" i="1"/>
  <c r="AZ220" i="1" s="1"/>
  <c r="AW220" i="1"/>
  <c r="AX220" i="1" s="1"/>
  <c r="AU220" i="1"/>
  <c r="AV220" i="1" s="1"/>
  <c r="AS220" i="1"/>
  <c r="AT220" i="1" s="1"/>
  <c r="AQ220" i="1"/>
  <c r="AR220" i="1" s="1"/>
  <c r="AO220" i="1"/>
  <c r="AP220" i="1" s="1"/>
  <c r="BC220" i="1" s="1"/>
  <c r="AM220" i="1"/>
  <c r="AN220" i="1" s="1"/>
  <c r="AK220" i="1"/>
  <c r="AL220" i="1" s="1"/>
  <c r="AI220" i="1"/>
  <c r="AJ220" i="1" s="1"/>
  <c r="AG220" i="1"/>
  <c r="AH220" i="1" s="1"/>
  <c r="BA220" i="1" s="1"/>
  <c r="AD220" i="1"/>
  <c r="BP219" i="1"/>
  <c r="BM219" i="1"/>
  <c r="BH219" i="1"/>
  <c r="AY219" i="1"/>
  <c r="AZ219" i="1" s="1"/>
  <c r="AW219" i="1"/>
  <c r="AX219" i="1" s="1"/>
  <c r="BE219" i="1" s="1"/>
  <c r="AU219" i="1"/>
  <c r="AV219" i="1" s="1"/>
  <c r="AS219" i="1"/>
  <c r="AT219" i="1" s="1"/>
  <c r="AQ219" i="1"/>
  <c r="AR219" i="1" s="1"/>
  <c r="AO219" i="1"/>
  <c r="AP219" i="1" s="1"/>
  <c r="BC219" i="1" s="1"/>
  <c r="AM219" i="1"/>
  <c r="AN219" i="1" s="1"/>
  <c r="AK219" i="1"/>
  <c r="AL219" i="1" s="1"/>
  <c r="AI219" i="1"/>
  <c r="AJ219" i="1" s="1"/>
  <c r="AG219" i="1"/>
  <c r="AH219" i="1" s="1"/>
  <c r="AD219" i="1"/>
  <c r="BP218" i="1"/>
  <c r="BM218" i="1"/>
  <c r="BH218" i="1"/>
  <c r="AZ218" i="1"/>
  <c r="AY218" i="1"/>
  <c r="AW218" i="1"/>
  <c r="AX218" i="1" s="1"/>
  <c r="AU218" i="1"/>
  <c r="AV218" i="1" s="1"/>
  <c r="AS218" i="1"/>
  <c r="AT218" i="1" s="1"/>
  <c r="BD218" i="1" s="1"/>
  <c r="AQ218" i="1"/>
  <c r="AR218" i="1" s="1"/>
  <c r="AO218" i="1"/>
  <c r="AP218" i="1" s="1"/>
  <c r="AM218" i="1"/>
  <c r="AN218" i="1" s="1"/>
  <c r="AK218" i="1"/>
  <c r="AL218" i="1" s="1"/>
  <c r="BB218" i="1" s="1"/>
  <c r="AJ218" i="1"/>
  <c r="AI218" i="1"/>
  <c r="AG218" i="1"/>
  <c r="AH218" i="1" s="1"/>
  <c r="AD218" i="1"/>
  <c r="BP217" i="1"/>
  <c r="BM217" i="1"/>
  <c r="BH217" i="1"/>
  <c r="AY217" i="1"/>
  <c r="AZ217" i="1" s="1"/>
  <c r="AW217" i="1"/>
  <c r="AX217" i="1" s="1"/>
  <c r="BE217" i="1" s="1"/>
  <c r="AU217" i="1"/>
  <c r="AV217" i="1" s="1"/>
  <c r="AS217" i="1"/>
  <c r="AT217" i="1" s="1"/>
  <c r="AR217" i="1"/>
  <c r="AQ217" i="1"/>
  <c r="AO217" i="1"/>
  <c r="AP217" i="1" s="1"/>
  <c r="BC217" i="1" s="1"/>
  <c r="AM217" i="1"/>
  <c r="AN217" i="1" s="1"/>
  <c r="AK217" i="1"/>
  <c r="AL217" i="1" s="1"/>
  <c r="AI217" i="1"/>
  <c r="AJ217" i="1" s="1"/>
  <c r="AG217" i="1"/>
  <c r="AH217" i="1" s="1"/>
  <c r="AD217" i="1"/>
  <c r="BP216" i="1"/>
  <c r="BM216" i="1"/>
  <c r="BH216" i="1"/>
  <c r="AY216" i="1"/>
  <c r="AZ216" i="1" s="1"/>
  <c r="AX216" i="1"/>
  <c r="AW216" i="1"/>
  <c r="AV216" i="1"/>
  <c r="BD216" i="1" s="1"/>
  <c r="AU216" i="1"/>
  <c r="AS216" i="1"/>
  <c r="AT216" i="1" s="1"/>
  <c r="AQ216" i="1"/>
  <c r="AR216" i="1" s="1"/>
  <c r="AO216" i="1"/>
  <c r="AP216" i="1" s="1"/>
  <c r="AM216" i="1"/>
  <c r="AN216" i="1" s="1"/>
  <c r="AK216" i="1"/>
  <c r="AL216" i="1" s="1"/>
  <c r="AI216" i="1"/>
  <c r="AJ216" i="1" s="1"/>
  <c r="AG216" i="1"/>
  <c r="AH216" i="1" s="1"/>
  <c r="BA216" i="1" s="1"/>
  <c r="AD216" i="1"/>
  <c r="BH215" i="1"/>
  <c r="BC215" i="1"/>
  <c r="AY215" i="1"/>
  <c r="AZ215" i="1" s="1"/>
  <c r="AW215" i="1"/>
  <c r="AX215" i="1" s="1"/>
  <c r="AU215" i="1"/>
  <c r="AV215" i="1" s="1"/>
  <c r="AT215" i="1"/>
  <c r="BD215" i="1" s="1"/>
  <c r="AS215" i="1"/>
  <c r="AQ215" i="1"/>
  <c r="AO215" i="1"/>
  <c r="AM215" i="1"/>
  <c r="AN215" i="1" s="1"/>
  <c r="AK215" i="1"/>
  <c r="AL215" i="1" s="1"/>
  <c r="BB215" i="1" s="1"/>
  <c r="AI215" i="1"/>
  <c r="AJ215" i="1" s="1"/>
  <c r="AG215" i="1"/>
  <c r="AH215" i="1" s="1"/>
  <c r="BP214" i="1"/>
  <c r="BM214" i="1"/>
  <c r="BH214" i="1"/>
  <c r="AZ214" i="1"/>
  <c r="AY214" i="1"/>
  <c r="AW214" i="1"/>
  <c r="AX214" i="1" s="1"/>
  <c r="BE214" i="1" s="1"/>
  <c r="AU214" i="1"/>
  <c r="AV214" i="1" s="1"/>
  <c r="AS214" i="1"/>
  <c r="AT214" i="1" s="1"/>
  <c r="BD214" i="1" s="1"/>
  <c r="AQ214" i="1"/>
  <c r="AR214" i="1" s="1"/>
  <c r="AO214" i="1"/>
  <c r="AP214" i="1" s="1"/>
  <c r="AM214" i="1"/>
  <c r="AN214" i="1" s="1"/>
  <c r="AL214" i="1"/>
  <c r="AK214" i="1"/>
  <c r="AI214" i="1"/>
  <c r="AJ214" i="1" s="1"/>
  <c r="AG214" i="1"/>
  <c r="AH214" i="1" s="1"/>
  <c r="AD214" i="1"/>
  <c r="BP213" i="1"/>
  <c r="BM213" i="1"/>
  <c r="BH213" i="1"/>
  <c r="AY213" i="1"/>
  <c r="AZ213" i="1" s="1"/>
  <c r="AX213" i="1"/>
  <c r="AW213" i="1"/>
  <c r="AU213" i="1"/>
  <c r="AV213" i="1" s="1"/>
  <c r="AS213" i="1"/>
  <c r="AT213" i="1" s="1"/>
  <c r="AR213" i="1"/>
  <c r="AQ213" i="1"/>
  <c r="AO213" i="1"/>
  <c r="AP213" i="1" s="1"/>
  <c r="BC213" i="1" s="1"/>
  <c r="AM213" i="1"/>
  <c r="AN213" i="1" s="1"/>
  <c r="AK213" i="1"/>
  <c r="AL213" i="1" s="1"/>
  <c r="BB213" i="1" s="1"/>
  <c r="AI213" i="1"/>
  <c r="AJ213" i="1" s="1"/>
  <c r="AH213" i="1"/>
  <c r="AG213" i="1"/>
  <c r="AD213" i="1"/>
  <c r="BP212" i="1"/>
  <c r="BM212" i="1"/>
  <c r="BH212" i="1"/>
  <c r="AY212" i="1"/>
  <c r="AZ212" i="1" s="1"/>
  <c r="AW212" i="1"/>
  <c r="AX212" i="1" s="1"/>
  <c r="AU212" i="1"/>
  <c r="AV212" i="1" s="1"/>
  <c r="AS212" i="1"/>
  <c r="AT212" i="1" s="1"/>
  <c r="AQ212" i="1"/>
  <c r="AR212" i="1" s="1"/>
  <c r="AO212" i="1"/>
  <c r="AP212" i="1" s="1"/>
  <c r="AM212" i="1"/>
  <c r="AN212" i="1" s="1"/>
  <c r="AK212" i="1"/>
  <c r="AL212" i="1" s="1"/>
  <c r="AI212" i="1"/>
  <c r="AJ212" i="1" s="1"/>
  <c r="AG212" i="1"/>
  <c r="AH212" i="1" s="1"/>
  <c r="BA212" i="1" s="1"/>
  <c r="AD212" i="1"/>
  <c r="BP211" i="1"/>
  <c r="BM211" i="1"/>
  <c r="BH211" i="1"/>
  <c r="AY211" i="1"/>
  <c r="AZ211" i="1" s="1"/>
  <c r="AW211" i="1"/>
  <c r="AX211" i="1" s="1"/>
  <c r="BE211" i="1" s="1"/>
  <c r="AV211" i="1"/>
  <c r="AU211" i="1"/>
  <c r="AT211" i="1"/>
  <c r="AS211" i="1"/>
  <c r="AQ211" i="1"/>
  <c r="AR211" i="1" s="1"/>
  <c r="AO211" i="1"/>
  <c r="AP211" i="1" s="1"/>
  <c r="AM211" i="1"/>
  <c r="AN211" i="1" s="1"/>
  <c r="AK211" i="1"/>
  <c r="AL211" i="1" s="1"/>
  <c r="BB211" i="1" s="1"/>
  <c r="AI211" i="1"/>
  <c r="AJ211" i="1" s="1"/>
  <c r="AG211" i="1"/>
  <c r="AH211" i="1" s="1"/>
  <c r="BA211" i="1" s="1"/>
  <c r="AD211" i="1"/>
  <c r="BP210" i="1"/>
  <c r="BM210" i="1"/>
  <c r="BH210" i="1"/>
  <c r="AY210" i="1"/>
  <c r="AZ210" i="1" s="1"/>
  <c r="BE210" i="1" s="1"/>
  <c r="AW210" i="1"/>
  <c r="AX210" i="1" s="1"/>
  <c r="AU210" i="1"/>
  <c r="AV210" i="1" s="1"/>
  <c r="AT210" i="1"/>
  <c r="AS210" i="1"/>
  <c r="AQ210" i="1"/>
  <c r="AR210" i="1" s="1"/>
  <c r="AO210" i="1"/>
  <c r="AP210" i="1" s="1"/>
  <c r="AM210" i="1"/>
  <c r="AN210" i="1" s="1"/>
  <c r="AL210" i="1"/>
  <c r="BB210" i="1" s="1"/>
  <c r="AK210" i="1"/>
  <c r="AI210" i="1"/>
  <c r="AJ210" i="1" s="1"/>
  <c r="AG210" i="1"/>
  <c r="AH210" i="1" s="1"/>
  <c r="AD210" i="1"/>
  <c r="BP209" i="1"/>
  <c r="BM209" i="1"/>
  <c r="BH209" i="1"/>
  <c r="AZ209" i="1"/>
  <c r="AY209" i="1"/>
  <c r="AX209" i="1"/>
  <c r="AW209" i="1"/>
  <c r="AU209" i="1"/>
  <c r="AV209" i="1" s="1"/>
  <c r="AS209" i="1"/>
  <c r="AT209" i="1" s="1"/>
  <c r="AQ209" i="1"/>
  <c r="AR209" i="1" s="1"/>
  <c r="AO209" i="1"/>
  <c r="AP209" i="1" s="1"/>
  <c r="AM209" i="1"/>
  <c r="AN209" i="1" s="1"/>
  <c r="AK209" i="1"/>
  <c r="AL209" i="1" s="1"/>
  <c r="AJ209" i="1"/>
  <c r="AI209" i="1"/>
  <c r="AH209" i="1"/>
  <c r="BA209" i="1" s="1"/>
  <c r="AG209" i="1"/>
  <c r="AD209" i="1"/>
  <c r="BP208" i="1"/>
  <c r="BM208" i="1"/>
  <c r="BH208" i="1"/>
  <c r="AY208" i="1"/>
  <c r="AZ208" i="1" s="1"/>
  <c r="AW208" i="1"/>
  <c r="AX208" i="1" s="1"/>
  <c r="AV208" i="1"/>
  <c r="AU208" i="1"/>
  <c r="AS208" i="1"/>
  <c r="AT208" i="1" s="1"/>
  <c r="AQ208" i="1"/>
  <c r="AR208" i="1" s="1"/>
  <c r="AO208" i="1"/>
  <c r="AP208" i="1" s="1"/>
  <c r="AN208" i="1"/>
  <c r="AM208" i="1"/>
  <c r="AK208" i="1"/>
  <c r="AL208" i="1" s="1"/>
  <c r="BB208" i="1" s="1"/>
  <c r="AI208" i="1"/>
  <c r="AJ208" i="1" s="1"/>
  <c r="AG208" i="1"/>
  <c r="AH208" i="1" s="1"/>
  <c r="BA208" i="1" s="1"/>
  <c r="AD208" i="1"/>
  <c r="BP207" i="1"/>
  <c r="BM207" i="1"/>
  <c r="BH207" i="1"/>
  <c r="AY207" i="1"/>
  <c r="AZ207" i="1" s="1"/>
  <c r="AW207" i="1"/>
  <c r="AX207" i="1" s="1"/>
  <c r="BE207" i="1" s="1"/>
  <c r="AU207" i="1"/>
  <c r="AV207" i="1" s="1"/>
  <c r="BD207" i="1" s="1"/>
  <c r="AT207" i="1"/>
  <c r="AS207" i="1"/>
  <c r="AQ207" i="1"/>
  <c r="AR207" i="1" s="1"/>
  <c r="AO207" i="1"/>
  <c r="AP207" i="1" s="1"/>
  <c r="BC207" i="1" s="1"/>
  <c r="AM207" i="1"/>
  <c r="AN207" i="1" s="1"/>
  <c r="AL207" i="1"/>
  <c r="AK207" i="1"/>
  <c r="AI207" i="1"/>
  <c r="AJ207" i="1" s="1"/>
  <c r="AG207" i="1"/>
  <c r="AH207" i="1" s="1"/>
  <c r="BA207" i="1" s="1"/>
  <c r="AD207" i="1"/>
  <c r="BP206" i="1"/>
  <c r="BM206" i="1"/>
  <c r="BH206" i="1"/>
  <c r="AY206" i="1"/>
  <c r="AZ206" i="1" s="1"/>
  <c r="BE206" i="1" s="1"/>
  <c r="AW206" i="1"/>
  <c r="AX206" i="1" s="1"/>
  <c r="AU206" i="1"/>
  <c r="AV206" i="1" s="1"/>
  <c r="AT206" i="1"/>
  <c r="AS206" i="1"/>
  <c r="AQ206" i="1"/>
  <c r="AR206" i="1" s="1"/>
  <c r="AO206" i="1"/>
  <c r="AP206" i="1" s="1"/>
  <c r="AM206" i="1"/>
  <c r="AN206" i="1" s="1"/>
  <c r="AK206" i="1"/>
  <c r="AL206" i="1" s="1"/>
  <c r="BB206" i="1" s="1"/>
  <c r="AI206" i="1"/>
  <c r="AJ206" i="1" s="1"/>
  <c r="AG206" i="1"/>
  <c r="AH206" i="1" s="1"/>
  <c r="AD206" i="1"/>
  <c r="BP205" i="1"/>
  <c r="BM205" i="1"/>
  <c r="BH205" i="1"/>
  <c r="AY205" i="1"/>
  <c r="AZ205" i="1" s="1"/>
  <c r="AW205" i="1"/>
  <c r="AX205" i="1" s="1"/>
  <c r="AU205" i="1"/>
  <c r="AV205" i="1" s="1"/>
  <c r="AS205" i="1"/>
  <c r="AT205" i="1" s="1"/>
  <c r="AR205" i="1"/>
  <c r="BC205" i="1" s="1"/>
  <c r="AQ205" i="1"/>
  <c r="AP205" i="1"/>
  <c r="AO205" i="1"/>
  <c r="AM205" i="1"/>
  <c r="AN205" i="1" s="1"/>
  <c r="AK205" i="1"/>
  <c r="AL205" i="1" s="1"/>
  <c r="AI205" i="1"/>
  <c r="AJ205" i="1" s="1"/>
  <c r="AG205" i="1"/>
  <c r="AH205" i="1" s="1"/>
  <c r="AD205" i="1"/>
  <c r="BP204" i="1"/>
  <c r="BM204" i="1"/>
  <c r="BH204" i="1"/>
  <c r="AY204" i="1"/>
  <c r="AZ204" i="1" s="1"/>
  <c r="AW204" i="1"/>
  <c r="AX204" i="1" s="1"/>
  <c r="AV204" i="1"/>
  <c r="AU204" i="1"/>
  <c r="AS204" i="1"/>
  <c r="AT204" i="1" s="1"/>
  <c r="BD204" i="1" s="1"/>
  <c r="AQ204" i="1"/>
  <c r="AR204" i="1" s="1"/>
  <c r="AO204" i="1"/>
  <c r="AP204" i="1" s="1"/>
  <c r="AM204" i="1"/>
  <c r="AN204" i="1" s="1"/>
  <c r="AK204" i="1"/>
  <c r="AL204" i="1" s="1"/>
  <c r="AI204" i="1"/>
  <c r="AJ204" i="1" s="1"/>
  <c r="AG204" i="1"/>
  <c r="AH204" i="1" s="1"/>
  <c r="BA204" i="1" s="1"/>
  <c r="AD204" i="1"/>
  <c r="BP203" i="1"/>
  <c r="BM203" i="1"/>
  <c r="BH203" i="1"/>
  <c r="AY203" i="1"/>
  <c r="AZ203" i="1" s="1"/>
  <c r="AW203" i="1"/>
  <c r="AX203" i="1" s="1"/>
  <c r="BE203" i="1" s="1"/>
  <c r="AU203" i="1"/>
  <c r="AV203" i="1" s="1"/>
  <c r="BD203" i="1" s="1"/>
  <c r="AT203" i="1"/>
  <c r="AS203" i="1"/>
  <c r="AQ203" i="1"/>
  <c r="AR203" i="1" s="1"/>
  <c r="AO203" i="1"/>
  <c r="AP203" i="1" s="1"/>
  <c r="BC203" i="1" s="1"/>
  <c r="AM203" i="1"/>
  <c r="AN203" i="1" s="1"/>
  <c r="AL203" i="1"/>
  <c r="AK203" i="1"/>
  <c r="AI203" i="1"/>
  <c r="AJ203" i="1" s="1"/>
  <c r="AG203" i="1"/>
  <c r="AH203" i="1" s="1"/>
  <c r="BA203" i="1" s="1"/>
  <c r="AD203" i="1"/>
  <c r="BP202" i="1"/>
  <c r="BM202" i="1"/>
  <c r="BH202" i="1"/>
  <c r="AY202" i="1"/>
  <c r="AZ202" i="1" s="1"/>
  <c r="BE202" i="1" s="1"/>
  <c r="AW202" i="1"/>
  <c r="AX202" i="1" s="1"/>
  <c r="AU202" i="1"/>
  <c r="AV202" i="1" s="1"/>
  <c r="AT202" i="1"/>
  <c r="AS202" i="1"/>
  <c r="AQ202" i="1"/>
  <c r="AR202" i="1" s="1"/>
  <c r="AO202" i="1"/>
  <c r="AP202" i="1" s="1"/>
  <c r="AM202" i="1"/>
  <c r="AN202" i="1" s="1"/>
  <c r="AK202" i="1"/>
  <c r="AL202" i="1" s="1"/>
  <c r="BB202" i="1" s="1"/>
  <c r="AI202" i="1"/>
  <c r="AJ202" i="1" s="1"/>
  <c r="AG202" i="1"/>
  <c r="AH202" i="1" s="1"/>
  <c r="AD202" i="1"/>
  <c r="BP201" i="1"/>
  <c r="BM201" i="1"/>
  <c r="BH201" i="1"/>
  <c r="AY201" i="1"/>
  <c r="AZ201" i="1" s="1"/>
  <c r="AW201" i="1"/>
  <c r="AX201" i="1" s="1"/>
  <c r="AU201" i="1"/>
  <c r="AV201" i="1" s="1"/>
  <c r="AS201" i="1"/>
  <c r="AT201" i="1" s="1"/>
  <c r="AQ201" i="1"/>
  <c r="AR201" i="1" s="1"/>
  <c r="BC201" i="1" s="1"/>
  <c r="AO201" i="1"/>
  <c r="AP201" i="1" s="1"/>
  <c r="AM201" i="1"/>
  <c r="AN201" i="1" s="1"/>
  <c r="AK201" i="1"/>
  <c r="AL201" i="1" s="1"/>
  <c r="AI201" i="1"/>
  <c r="AJ201" i="1" s="1"/>
  <c r="AG201" i="1"/>
  <c r="AH201" i="1" s="1"/>
  <c r="AD201" i="1"/>
  <c r="BP200" i="1"/>
  <c r="BM200" i="1"/>
  <c r="BH200" i="1"/>
  <c r="AY200" i="1"/>
  <c r="AZ200" i="1" s="1"/>
  <c r="AW200" i="1"/>
  <c r="AX200" i="1" s="1"/>
  <c r="AU200" i="1"/>
  <c r="AV200" i="1" s="1"/>
  <c r="AS200" i="1"/>
  <c r="AT200" i="1" s="1"/>
  <c r="AQ200" i="1"/>
  <c r="AR200" i="1" s="1"/>
  <c r="AO200" i="1"/>
  <c r="AP200" i="1" s="1"/>
  <c r="AM200" i="1"/>
  <c r="AN200" i="1" s="1"/>
  <c r="AK200" i="1"/>
  <c r="AL200" i="1" s="1"/>
  <c r="AI200" i="1"/>
  <c r="AJ200" i="1" s="1"/>
  <c r="AG200" i="1"/>
  <c r="AH200" i="1" s="1"/>
  <c r="BA200" i="1" s="1"/>
  <c r="AD200" i="1"/>
  <c r="BP199" i="1"/>
  <c r="BM199" i="1"/>
  <c r="BH199" i="1"/>
  <c r="AY199" i="1"/>
  <c r="AZ199" i="1" s="1"/>
  <c r="AW199" i="1"/>
  <c r="AX199" i="1" s="1"/>
  <c r="BE199" i="1" s="1"/>
  <c r="AU199" i="1"/>
  <c r="AV199" i="1" s="1"/>
  <c r="BD199" i="1" s="1"/>
  <c r="AS199" i="1"/>
  <c r="AT199" i="1" s="1"/>
  <c r="AQ199" i="1"/>
  <c r="AR199" i="1" s="1"/>
  <c r="AO199" i="1"/>
  <c r="AP199" i="1" s="1"/>
  <c r="BC199" i="1" s="1"/>
  <c r="AM199" i="1"/>
  <c r="AN199" i="1" s="1"/>
  <c r="AL199" i="1"/>
  <c r="AK199" i="1"/>
  <c r="AI199" i="1"/>
  <c r="AJ199" i="1" s="1"/>
  <c r="AG199" i="1"/>
  <c r="AH199" i="1" s="1"/>
  <c r="BA199" i="1" s="1"/>
  <c r="AD199" i="1"/>
  <c r="BP198" i="1"/>
  <c r="BM198" i="1"/>
  <c r="BH198" i="1"/>
  <c r="AY198" i="1"/>
  <c r="AZ198" i="1" s="1"/>
  <c r="BE198" i="1" s="1"/>
  <c r="AW198" i="1"/>
  <c r="AX198" i="1" s="1"/>
  <c r="AU198" i="1"/>
  <c r="AV198" i="1" s="1"/>
  <c r="AT198" i="1"/>
  <c r="AS198" i="1"/>
  <c r="AQ198" i="1"/>
  <c r="AR198" i="1" s="1"/>
  <c r="AO198" i="1"/>
  <c r="AP198" i="1" s="1"/>
  <c r="AM198" i="1"/>
  <c r="AN198" i="1" s="1"/>
  <c r="AK198" i="1"/>
  <c r="AL198" i="1" s="1"/>
  <c r="BB198" i="1" s="1"/>
  <c r="AI198" i="1"/>
  <c r="AJ198" i="1" s="1"/>
  <c r="AG198" i="1"/>
  <c r="AH198" i="1" s="1"/>
  <c r="AD198" i="1"/>
  <c r="BP197" i="1"/>
  <c r="BM197" i="1"/>
  <c r="BH197" i="1"/>
  <c r="AZ197" i="1"/>
  <c r="AY197" i="1"/>
  <c r="AW197" i="1"/>
  <c r="AX197" i="1" s="1"/>
  <c r="BE197" i="1" s="1"/>
  <c r="AU197" i="1"/>
  <c r="AV197" i="1" s="1"/>
  <c r="AS197" i="1"/>
  <c r="AT197" i="1" s="1"/>
  <c r="AR197" i="1"/>
  <c r="AQ197" i="1"/>
  <c r="AO197" i="1"/>
  <c r="AP197" i="1" s="1"/>
  <c r="AM197" i="1"/>
  <c r="AN197" i="1" s="1"/>
  <c r="AK197" i="1"/>
  <c r="AL197" i="1" s="1"/>
  <c r="AJ197" i="1"/>
  <c r="AI197" i="1"/>
  <c r="AG197" i="1"/>
  <c r="AH197" i="1" s="1"/>
  <c r="BA197" i="1" s="1"/>
  <c r="AD197" i="1"/>
  <c r="BP196" i="1"/>
  <c r="BM196" i="1"/>
  <c r="BH196" i="1"/>
  <c r="AY196" i="1"/>
  <c r="AZ196" i="1" s="1"/>
  <c r="AW196" i="1"/>
  <c r="AX196" i="1" s="1"/>
  <c r="AV196" i="1"/>
  <c r="AU196" i="1"/>
  <c r="AS196" i="1"/>
  <c r="AT196" i="1" s="1"/>
  <c r="AQ196" i="1"/>
  <c r="AR196" i="1" s="1"/>
  <c r="AP196" i="1"/>
  <c r="AO196" i="1"/>
  <c r="AM196" i="1"/>
  <c r="AN196" i="1" s="1"/>
  <c r="AK196" i="1"/>
  <c r="AL196" i="1" s="1"/>
  <c r="AI196" i="1"/>
  <c r="AJ196" i="1" s="1"/>
  <c r="AG196" i="1"/>
  <c r="AH196" i="1" s="1"/>
  <c r="BA196" i="1" s="1"/>
  <c r="AD196" i="1"/>
  <c r="BP195" i="1"/>
  <c r="BM195" i="1"/>
  <c r="BH195" i="1"/>
  <c r="AY195" i="1"/>
  <c r="AZ195" i="1" s="1"/>
  <c r="AW195" i="1"/>
  <c r="AX195" i="1" s="1"/>
  <c r="BE195" i="1" s="1"/>
  <c r="AU195" i="1"/>
  <c r="AV195" i="1" s="1"/>
  <c r="BD195" i="1" s="1"/>
  <c r="AT195" i="1"/>
  <c r="AS195" i="1"/>
  <c r="AQ195" i="1"/>
  <c r="AR195" i="1" s="1"/>
  <c r="AO195" i="1"/>
  <c r="AP195" i="1" s="1"/>
  <c r="BC195" i="1" s="1"/>
  <c r="AM195" i="1"/>
  <c r="AN195" i="1" s="1"/>
  <c r="AL195" i="1"/>
  <c r="AK195" i="1"/>
  <c r="AI195" i="1"/>
  <c r="AJ195" i="1" s="1"/>
  <c r="AG195" i="1"/>
  <c r="AH195" i="1" s="1"/>
  <c r="BA195" i="1" s="1"/>
  <c r="AD195" i="1"/>
  <c r="BP194" i="1"/>
  <c r="BM194" i="1"/>
  <c r="BH194" i="1"/>
  <c r="AY194" i="1"/>
  <c r="AZ194" i="1" s="1"/>
  <c r="BE194" i="1" s="1"/>
  <c r="AW194" i="1"/>
  <c r="AX194" i="1" s="1"/>
  <c r="AU194" i="1"/>
  <c r="AV194" i="1" s="1"/>
  <c r="AT194" i="1"/>
  <c r="AS194" i="1"/>
  <c r="AQ194" i="1"/>
  <c r="AR194" i="1" s="1"/>
  <c r="AO194" i="1"/>
  <c r="AP194" i="1" s="1"/>
  <c r="AM194" i="1"/>
  <c r="AN194" i="1" s="1"/>
  <c r="AK194" i="1"/>
  <c r="AL194" i="1" s="1"/>
  <c r="BB194" i="1" s="1"/>
  <c r="AI194" i="1"/>
  <c r="AJ194" i="1" s="1"/>
  <c r="AG194" i="1"/>
  <c r="AH194" i="1" s="1"/>
  <c r="AD194" i="1"/>
  <c r="BP193" i="1"/>
  <c r="BM193" i="1"/>
  <c r="BH193" i="1"/>
  <c r="AY193" i="1"/>
  <c r="AZ193" i="1" s="1"/>
  <c r="AW193" i="1"/>
  <c r="AX193" i="1" s="1"/>
  <c r="BE193" i="1" s="1"/>
  <c r="AU193" i="1"/>
  <c r="AV193" i="1" s="1"/>
  <c r="AS193" i="1"/>
  <c r="AT193" i="1" s="1"/>
  <c r="AR193" i="1"/>
  <c r="BC193" i="1" s="1"/>
  <c r="AQ193" i="1"/>
  <c r="AP193" i="1"/>
  <c r="AO193" i="1"/>
  <c r="AM193" i="1"/>
  <c r="AN193" i="1" s="1"/>
  <c r="AK193" i="1"/>
  <c r="AL193" i="1" s="1"/>
  <c r="AI193" i="1"/>
  <c r="AJ193" i="1" s="1"/>
  <c r="AG193" i="1"/>
  <c r="AH193" i="1" s="1"/>
  <c r="AD193" i="1"/>
  <c r="BP192" i="1"/>
  <c r="BM192" i="1"/>
  <c r="BH192" i="1"/>
  <c r="AY192" i="1"/>
  <c r="AZ192" i="1" s="1"/>
  <c r="AW192" i="1"/>
  <c r="AX192" i="1" s="1"/>
  <c r="AV192" i="1"/>
  <c r="AU192" i="1"/>
  <c r="AS192" i="1"/>
  <c r="AT192" i="1" s="1"/>
  <c r="BD192" i="1" s="1"/>
  <c r="AQ192" i="1"/>
  <c r="AR192" i="1" s="1"/>
  <c r="AP192" i="1"/>
  <c r="AO192" i="1"/>
  <c r="AM192" i="1"/>
  <c r="AN192" i="1" s="1"/>
  <c r="AK192" i="1"/>
  <c r="AL192" i="1" s="1"/>
  <c r="AI192" i="1"/>
  <c r="AJ192" i="1" s="1"/>
  <c r="AG192" i="1"/>
  <c r="AH192" i="1" s="1"/>
  <c r="BA192" i="1" s="1"/>
  <c r="AD192" i="1"/>
  <c r="BP191" i="1"/>
  <c r="BM191" i="1"/>
  <c r="BH191" i="1"/>
  <c r="AY191" i="1"/>
  <c r="AZ191" i="1" s="1"/>
  <c r="AW191" i="1"/>
  <c r="AX191" i="1" s="1"/>
  <c r="BE191" i="1" s="1"/>
  <c r="AU191" i="1"/>
  <c r="AV191" i="1" s="1"/>
  <c r="BD191" i="1" s="1"/>
  <c r="AT191" i="1"/>
  <c r="AS191" i="1"/>
  <c r="AQ191" i="1"/>
  <c r="AR191" i="1" s="1"/>
  <c r="AO191" i="1"/>
  <c r="AP191" i="1" s="1"/>
  <c r="AM191" i="1"/>
  <c r="AN191" i="1" s="1"/>
  <c r="AL191" i="1"/>
  <c r="AK191" i="1"/>
  <c r="AI191" i="1"/>
  <c r="AJ191" i="1" s="1"/>
  <c r="AG191" i="1"/>
  <c r="AH191" i="1" s="1"/>
  <c r="BA191" i="1" s="1"/>
  <c r="AD191" i="1"/>
  <c r="BP190" i="1"/>
  <c r="BM190" i="1"/>
  <c r="BH190" i="1"/>
  <c r="AZ190" i="1"/>
  <c r="BE190" i="1" s="1"/>
  <c r="AY190" i="1"/>
  <c r="AW190" i="1"/>
  <c r="AX190" i="1" s="1"/>
  <c r="AU190" i="1"/>
  <c r="AV190" i="1" s="1"/>
  <c r="AT190" i="1"/>
  <c r="AS190" i="1"/>
  <c r="AQ190" i="1"/>
  <c r="AR190" i="1" s="1"/>
  <c r="AO190" i="1"/>
  <c r="AP190" i="1" s="1"/>
  <c r="AM190" i="1"/>
  <c r="AN190" i="1" s="1"/>
  <c r="AK190" i="1"/>
  <c r="AL190" i="1" s="1"/>
  <c r="BB190" i="1" s="1"/>
  <c r="AJ190" i="1"/>
  <c r="AI190" i="1"/>
  <c r="AG190" i="1"/>
  <c r="AH190" i="1" s="1"/>
  <c r="AD190" i="1"/>
  <c r="BP189" i="1"/>
  <c r="BM189" i="1"/>
  <c r="BH189" i="1"/>
  <c r="AY189" i="1"/>
  <c r="AZ189" i="1" s="1"/>
  <c r="AW189" i="1"/>
  <c r="AX189" i="1" s="1"/>
  <c r="BE189" i="1" s="1"/>
  <c r="AU189" i="1"/>
  <c r="AV189" i="1" s="1"/>
  <c r="AS189" i="1"/>
  <c r="AT189" i="1" s="1"/>
  <c r="AQ189" i="1"/>
  <c r="AR189" i="1" s="1"/>
  <c r="AO189" i="1"/>
  <c r="AP189" i="1" s="1"/>
  <c r="AM189" i="1"/>
  <c r="AN189" i="1" s="1"/>
  <c r="AK189" i="1"/>
  <c r="AL189" i="1" s="1"/>
  <c r="AI189" i="1"/>
  <c r="AJ189" i="1" s="1"/>
  <c r="AG189" i="1"/>
  <c r="AH189" i="1" s="1"/>
  <c r="AD189" i="1"/>
  <c r="BP188" i="1"/>
  <c r="BM188" i="1"/>
  <c r="BH188" i="1"/>
  <c r="AY188" i="1"/>
  <c r="AZ188" i="1" s="1"/>
  <c r="AW188" i="1"/>
  <c r="AX188" i="1" s="1"/>
  <c r="AV188" i="1"/>
  <c r="AU188" i="1"/>
  <c r="AS188" i="1"/>
  <c r="AT188" i="1" s="1"/>
  <c r="BD188" i="1" s="1"/>
  <c r="AQ188" i="1"/>
  <c r="AR188" i="1" s="1"/>
  <c r="AO188" i="1"/>
  <c r="AP188" i="1" s="1"/>
  <c r="AN188" i="1"/>
  <c r="AM188" i="1"/>
  <c r="AK188" i="1"/>
  <c r="AL188" i="1" s="1"/>
  <c r="BB188" i="1" s="1"/>
  <c r="AI188" i="1"/>
  <c r="AJ188" i="1" s="1"/>
  <c r="AG188" i="1"/>
  <c r="AH188" i="1" s="1"/>
  <c r="BA188" i="1" s="1"/>
  <c r="AD188" i="1"/>
  <c r="BP187" i="1"/>
  <c r="BM187" i="1"/>
  <c r="BH187" i="1"/>
  <c r="AY187" i="1"/>
  <c r="AZ187" i="1" s="1"/>
  <c r="AW187" i="1"/>
  <c r="AX187" i="1" s="1"/>
  <c r="BE187" i="1" s="1"/>
  <c r="AU187" i="1"/>
  <c r="AV187" i="1" s="1"/>
  <c r="BD187" i="1" s="1"/>
  <c r="AT187" i="1"/>
  <c r="AS187" i="1"/>
  <c r="AQ187" i="1"/>
  <c r="AR187" i="1" s="1"/>
  <c r="AO187" i="1"/>
  <c r="AP187" i="1" s="1"/>
  <c r="BC187" i="1" s="1"/>
  <c r="AM187" i="1"/>
  <c r="AN187" i="1" s="1"/>
  <c r="AK187" i="1"/>
  <c r="AL187" i="1" s="1"/>
  <c r="AI187" i="1"/>
  <c r="AJ187" i="1" s="1"/>
  <c r="AG187" i="1"/>
  <c r="AH187" i="1" s="1"/>
  <c r="BA187" i="1" s="1"/>
  <c r="AD187" i="1"/>
  <c r="BP186" i="1"/>
  <c r="BM186" i="1"/>
  <c r="BH186" i="1"/>
  <c r="AZ186" i="1"/>
  <c r="BE186" i="1" s="1"/>
  <c r="AY186" i="1"/>
  <c r="AW186" i="1"/>
  <c r="AX186" i="1" s="1"/>
  <c r="AU186" i="1"/>
  <c r="AV186" i="1" s="1"/>
  <c r="AS186" i="1"/>
  <c r="AT186" i="1" s="1"/>
  <c r="AQ186" i="1"/>
  <c r="AR186" i="1" s="1"/>
  <c r="AO186" i="1"/>
  <c r="AP186" i="1" s="1"/>
  <c r="AM186" i="1"/>
  <c r="AN186" i="1" s="1"/>
  <c r="AK186" i="1"/>
  <c r="AL186" i="1" s="1"/>
  <c r="BB186" i="1" s="1"/>
  <c r="AJ186" i="1"/>
  <c r="AI186" i="1"/>
  <c r="AG186" i="1"/>
  <c r="AH186" i="1" s="1"/>
  <c r="AD186" i="1"/>
  <c r="BP185" i="1"/>
  <c r="BM185" i="1"/>
  <c r="BH185" i="1"/>
  <c r="AZ185" i="1"/>
  <c r="AY185" i="1"/>
  <c r="AW185" i="1"/>
  <c r="AX185" i="1" s="1"/>
  <c r="BE185" i="1" s="1"/>
  <c r="AU185" i="1"/>
  <c r="AV185" i="1" s="1"/>
  <c r="AS185" i="1"/>
  <c r="AT185" i="1" s="1"/>
  <c r="AQ185" i="1"/>
  <c r="AR185" i="1" s="1"/>
  <c r="AO185" i="1"/>
  <c r="AP185" i="1" s="1"/>
  <c r="AM185" i="1"/>
  <c r="AN185" i="1" s="1"/>
  <c r="AK185" i="1"/>
  <c r="AL185" i="1" s="1"/>
  <c r="AI185" i="1"/>
  <c r="AJ185" i="1" s="1"/>
  <c r="AG185" i="1"/>
  <c r="AH185" i="1" s="1"/>
  <c r="AD185" i="1"/>
  <c r="BP184" i="1"/>
  <c r="BM184" i="1"/>
  <c r="BH184" i="1"/>
  <c r="AY184" i="1"/>
  <c r="AZ184" i="1" s="1"/>
  <c r="AW184" i="1"/>
  <c r="AX184" i="1" s="1"/>
  <c r="AV184" i="1"/>
  <c r="AU184" i="1"/>
  <c r="AS184" i="1"/>
  <c r="AT184" i="1" s="1"/>
  <c r="BD184" i="1" s="1"/>
  <c r="AQ184" i="1"/>
  <c r="AR184" i="1" s="1"/>
  <c r="AO184" i="1"/>
  <c r="AP184" i="1" s="1"/>
  <c r="AM184" i="1"/>
  <c r="AN184" i="1" s="1"/>
  <c r="AK184" i="1"/>
  <c r="AL184" i="1" s="1"/>
  <c r="AI184" i="1"/>
  <c r="AJ184" i="1" s="1"/>
  <c r="AG184" i="1"/>
  <c r="AH184" i="1" s="1"/>
  <c r="BA184" i="1" s="1"/>
  <c r="AD184" i="1"/>
  <c r="BP183" i="1"/>
  <c r="BM183" i="1"/>
  <c r="BH183" i="1"/>
  <c r="AY183" i="1"/>
  <c r="AZ183" i="1" s="1"/>
  <c r="AW183" i="1"/>
  <c r="AX183" i="1" s="1"/>
  <c r="BE183" i="1" s="1"/>
  <c r="AU183" i="1"/>
  <c r="AV183" i="1" s="1"/>
  <c r="AS183" i="1"/>
  <c r="AT183" i="1" s="1"/>
  <c r="AQ183" i="1"/>
  <c r="AR183" i="1" s="1"/>
  <c r="AO183" i="1"/>
  <c r="AP183" i="1" s="1"/>
  <c r="BC183" i="1" s="1"/>
  <c r="AM183" i="1"/>
  <c r="AN183" i="1" s="1"/>
  <c r="AK183" i="1"/>
  <c r="AL183" i="1" s="1"/>
  <c r="AI183" i="1"/>
  <c r="AJ183" i="1" s="1"/>
  <c r="AG183" i="1"/>
  <c r="AH183" i="1" s="1"/>
  <c r="BA183" i="1" s="1"/>
  <c r="AD183" i="1"/>
  <c r="BP182" i="1"/>
  <c r="BM182" i="1"/>
  <c r="BH182" i="1"/>
  <c r="AY182" i="1"/>
  <c r="AZ182" i="1" s="1"/>
  <c r="AW182" i="1"/>
  <c r="AX182" i="1" s="1"/>
  <c r="AU182" i="1"/>
  <c r="AV182" i="1" s="1"/>
  <c r="AS182" i="1"/>
  <c r="AT182" i="1" s="1"/>
  <c r="BD182" i="1" s="1"/>
  <c r="AQ182" i="1"/>
  <c r="AR182" i="1" s="1"/>
  <c r="AO182" i="1"/>
  <c r="AP182" i="1" s="1"/>
  <c r="AM182" i="1"/>
  <c r="AN182" i="1" s="1"/>
  <c r="AK182" i="1"/>
  <c r="AL182" i="1" s="1"/>
  <c r="BB182" i="1" s="1"/>
  <c r="AI182" i="1"/>
  <c r="AJ182" i="1" s="1"/>
  <c r="AG182" i="1"/>
  <c r="AH182" i="1" s="1"/>
  <c r="AD182" i="1"/>
  <c r="BP181" i="1"/>
  <c r="BM181" i="1"/>
  <c r="BH181" i="1"/>
  <c r="AY181" i="1"/>
  <c r="AZ181" i="1" s="1"/>
  <c r="AW181" i="1"/>
  <c r="AX181" i="1" s="1"/>
  <c r="AU181" i="1"/>
  <c r="AV181" i="1" s="1"/>
  <c r="AS181" i="1"/>
  <c r="AT181" i="1" s="1"/>
  <c r="BD181" i="1" s="1"/>
  <c r="AR181" i="1"/>
  <c r="AQ181" i="1"/>
  <c r="AO181" i="1"/>
  <c r="AP181" i="1" s="1"/>
  <c r="AM181" i="1"/>
  <c r="AN181" i="1" s="1"/>
  <c r="AK181" i="1"/>
  <c r="AL181" i="1" s="1"/>
  <c r="AI181" i="1"/>
  <c r="AJ181" i="1" s="1"/>
  <c r="AG181" i="1"/>
  <c r="AH181" i="1" s="1"/>
  <c r="AD181" i="1"/>
  <c r="BP180" i="1"/>
  <c r="BM180" i="1"/>
  <c r="BH180" i="1"/>
  <c r="AY180" i="1"/>
  <c r="AZ180" i="1" s="1"/>
  <c r="AW180" i="1"/>
  <c r="AX180" i="1" s="1"/>
  <c r="BE180" i="1" s="1"/>
  <c r="AV180" i="1"/>
  <c r="AU180" i="1"/>
  <c r="AS180" i="1"/>
  <c r="AT180" i="1" s="1"/>
  <c r="BD180" i="1" s="1"/>
  <c r="AQ180" i="1"/>
  <c r="AR180" i="1" s="1"/>
  <c r="AO180" i="1"/>
  <c r="AP180" i="1" s="1"/>
  <c r="AM180" i="1"/>
  <c r="AN180" i="1" s="1"/>
  <c r="AK180" i="1"/>
  <c r="AL180" i="1" s="1"/>
  <c r="AI180" i="1"/>
  <c r="AJ180" i="1" s="1"/>
  <c r="AG180" i="1"/>
  <c r="AH180" i="1" s="1"/>
  <c r="BA180" i="1" s="1"/>
  <c r="AD180" i="1"/>
  <c r="BP179" i="1"/>
  <c r="BM179" i="1"/>
  <c r="BH179" i="1"/>
  <c r="AY179" i="1"/>
  <c r="AZ179" i="1" s="1"/>
  <c r="AW179" i="1"/>
  <c r="AX179" i="1" s="1"/>
  <c r="BE179" i="1" s="1"/>
  <c r="AU179" i="1"/>
  <c r="AV179" i="1" s="1"/>
  <c r="AT179" i="1"/>
  <c r="AS179" i="1"/>
  <c r="AQ179" i="1"/>
  <c r="AR179" i="1" s="1"/>
  <c r="AO179" i="1"/>
  <c r="AP179" i="1" s="1"/>
  <c r="BC179" i="1" s="1"/>
  <c r="AM179" i="1"/>
  <c r="AN179" i="1" s="1"/>
  <c r="AL179" i="1"/>
  <c r="AK179" i="1"/>
  <c r="AI179" i="1"/>
  <c r="AJ179" i="1" s="1"/>
  <c r="BA179" i="1" s="1"/>
  <c r="AG179" i="1"/>
  <c r="AH179" i="1" s="1"/>
  <c r="AD179" i="1"/>
  <c r="BP178" i="1"/>
  <c r="BM178" i="1"/>
  <c r="BH178" i="1"/>
  <c r="AY178" i="1"/>
  <c r="AZ178" i="1" s="1"/>
  <c r="BE178" i="1" s="1"/>
  <c r="AW178" i="1"/>
  <c r="AX178" i="1" s="1"/>
  <c r="AU178" i="1"/>
  <c r="AV178" i="1" s="1"/>
  <c r="AT178" i="1"/>
  <c r="AS178" i="1"/>
  <c r="AQ178" i="1"/>
  <c r="AR178" i="1" s="1"/>
  <c r="AO178" i="1"/>
  <c r="AP178" i="1" s="1"/>
  <c r="AM178" i="1"/>
  <c r="AN178" i="1" s="1"/>
  <c r="AK178" i="1"/>
  <c r="AL178" i="1" s="1"/>
  <c r="BB178" i="1" s="1"/>
  <c r="AI178" i="1"/>
  <c r="AJ178" i="1" s="1"/>
  <c r="AG178" i="1"/>
  <c r="AH178" i="1" s="1"/>
  <c r="AD178" i="1"/>
  <c r="BH177" i="1"/>
  <c r="BC177" i="1"/>
  <c r="AY177" i="1"/>
  <c r="AZ177" i="1" s="1"/>
  <c r="AW177" i="1"/>
  <c r="AX177" i="1" s="1"/>
  <c r="AV177" i="1"/>
  <c r="AU177" i="1"/>
  <c r="AS177" i="1"/>
  <c r="AT177" i="1" s="1"/>
  <c r="AQ177" i="1"/>
  <c r="AO177" i="1"/>
  <c r="AM177" i="1"/>
  <c r="AK177" i="1"/>
  <c r="AL177" i="1" s="1"/>
  <c r="BB177" i="1" s="1"/>
  <c r="AJ177" i="1"/>
  <c r="AI177" i="1"/>
  <c r="AH177" i="1"/>
  <c r="BA177" i="1" s="1"/>
  <c r="AG177" i="1"/>
  <c r="BH176" i="1"/>
  <c r="BC176" i="1"/>
  <c r="AY176" i="1"/>
  <c r="AZ176" i="1" s="1"/>
  <c r="AW176" i="1"/>
  <c r="AX176" i="1" s="1"/>
  <c r="BE176" i="1" s="1"/>
  <c r="AU176" i="1"/>
  <c r="AV176" i="1" s="1"/>
  <c r="AS176" i="1"/>
  <c r="AT176" i="1" s="1"/>
  <c r="AM176" i="1"/>
  <c r="AK176" i="1"/>
  <c r="AL176" i="1" s="1"/>
  <c r="BB176" i="1" s="1"/>
  <c r="AI176" i="1"/>
  <c r="AJ176" i="1" s="1"/>
  <c r="AG176" i="1"/>
  <c r="AH176" i="1" s="1"/>
  <c r="BH175" i="1"/>
  <c r="BC175" i="1"/>
  <c r="AZ175" i="1"/>
  <c r="AY175" i="1"/>
  <c r="AW175" i="1"/>
  <c r="AX175" i="1" s="1"/>
  <c r="AU175" i="1"/>
  <c r="AV175" i="1" s="1"/>
  <c r="AS175" i="1"/>
  <c r="AT175" i="1" s="1"/>
  <c r="BD175" i="1" s="1"/>
  <c r="AM175" i="1"/>
  <c r="AK175" i="1"/>
  <c r="AL175" i="1" s="1"/>
  <c r="BB175" i="1" s="1"/>
  <c r="AI175" i="1"/>
  <c r="AJ175" i="1" s="1"/>
  <c r="AH175" i="1"/>
  <c r="AG175" i="1"/>
  <c r="BH174" i="1"/>
  <c r="BC174" i="1"/>
  <c r="AY174" i="1"/>
  <c r="AZ174" i="1" s="1"/>
  <c r="AW174" i="1"/>
  <c r="AX174" i="1" s="1"/>
  <c r="BE174" i="1" s="1"/>
  <c r="AU174" i="1"/>
  <c r="AV174" i="1" s="1"/>
  <c r="AS174" i="1"/>
  <c r="AT174" i="1" s="1"/>
  <c r="AQ174" i="1"/>
  <c r="AO174" i="1"/>
  <c r="AM174" i="1"/>
  <c r="AN174" i="1" s="1"/>
  <c r="AK174" i="1"/>
  <c r="AL174" i="1" s="1"/>
  <c r="AI174" i="1"/>
  <c r="AJ174" i="1" s="1"/>
  <c r="AG174" i="1"/>
  <c r="AH174" i="1" s="1"/>
  <c r="BH173" i="1"/>
  <c r="BC173" i="1"/>
  <c r="AY173" i="1"/>
  <c r="AZ173" i="1" s="1"/>
  <c r="AW173" i="1"/>
  <c r="AX173" i="1" s="1"/>
  <c r="AU173" i="1"/>
  <c r="AV173" i="1" s="1"/>
  <c r="AS173" i="1"/>
  <c r="AT173" i="1" s="1"/>
  <c r="BD173" i="1" s="1"/>
  <c r="AM173" i="1"/>
  <c r="AK173" i="1"/>
  <c r="AL173" i="1" s="1"/>
  <c r="BB173" i="1" s="1"/>
  <c r="AI173" i="1"/>
  <c r="AJ173" i="1" s="1"/>
  <c r="AG173" i="1"/>
  <c r="AH173" i="1" s="1"/>
  <c r="BH172" i="1"/>
  <c r="BC172" i="1"/>
  <c r="AY172" i="1"/>
  <c r="AZ172" i="1" s="1"/>
  <c r="AW172" i="1"/>
  <c r="AX172" i="1" s="1"/>
  <c r="BE172" i="1" s="1"/>
  <c r="AU172" i="1"/>
  <c r="AV172" i="1" s="1"/>
  <c r="AS172" i="1"/>
  <c r="AT172" i="1" s="1"/>
  <c r="AM172" i="1"/>
  <c r="AK172" i="1"/>
  <c r="AL172" i="1" s="1"/>
  <c r="BB172" i="1" s="1"/>
  <c r="AI172" i="1"/>
  <c r="AJ172" i="1" s="1"/>
  <c r="AG172" i="1"/>
  <c r="AH172" i="1" s="1"/>
  <c r="BH171" i="1"/>
  <c r="BC171" i="1"/>
  <c r="AY171" i="1"/>
  <c r="AZ171" i="1" s="1"/>
  <c r="AW171" i="1"/>
  <c r="AX171" i="1" s="1"/>
  <c r="AU171" i="1"/>
  <c r="AV171" i="1" s="1"/>
  <c r="AS171" i="1"/>
  <c r="AT171" i="1" s="1"/>
  <c r="BD171" i="1" s="1"/>
  <c r="AM171" i="1"/>
  <c r="AK171" i="1"/>
  <c r="AL171" i="1" s="1"/>
  <c r="BB171" i="1" s="1"/>
  <c r="AI171" i="1"/>
  <c r="AJ171" i="1" s="1"/>
  <c r="AH171" i="1"/>
  <c r="AG171" i="1"/>
  <c r="BH170" i="1"/>
  <c r="BC170" i="1"/>
  <c r="AY170" i="1"/>
  <c r="AZ170" i="1" s="1"/>
  <c r="AW170" i="1"/>
  <c r="AX170" i="1" s="1"/>
  <c r="BE170" i="1" s="1"/>
  <c r="AV170" i="1"/>
  <c r="AU170" i="1"/>
  <c r="AT170" i="1"/>
  <c r="BD170" i="1" s="1"/>
  <c r="AS170" i="1"/>
  <c r="AM170" i="1"/>
  <c r="AL170" i="1"/>
  <c r="BB170" i="1" s="1"/>
  <c r="AK170" i="1"/>
  <c r="AI170" i="1"/>
  <c r="AJ170" i="1" s="1"/>
  <c r="AG170" i="1"/>
  <c r="AH170" i="1" s="1"/>
  <c r="BH169" i="1"/>
  <c r="BC169" i="1"/>
  <c r="AY169" i="1"/>
  <c r="AZ169" i="1" s="1"/>
  <c r="AW169" i="1"/>
  <c r="AX169" i="1" s="1"/>
  <c r="AU169" i="1"/>
  <c r="AV169" i="1" s="1"/>
  <c r="AS169" i="1"/>
  <c r="AT169" i="1" s="1"/>
  <c r="BD169" i="1" s="1"/>
  <c r="AM169" i="1"/>
  <c r="AK169" i="1"/>
  <c r="AL169" i="1" s="1"/>
  <c r="BB169" i="1" s="1"/>
  <c r="AJ169" i="1"/>
  <c r="AI169" i="1"/>
  <c r="AG169" i="1"/>
  <c r="AH169" i="1" s="1"/>
  <c r="BH168" i="1"/>
  <c r="BC168" i="1"/>
  <c r="AY168" i="1"/>
  <c r="AZ168" i="1" s="1"/>
  <c r="AW168" i="1"/>
  <c r="AX168" i="1" s="1"/>
  <c r="AU168" i="1"/>
  <c r="AV168" i="1" s="1"/>
  <c r="AS168" i="1"/>
  <c r="AT168" i="1" s="1"/>
  <c r="AQ168" i="1"/>
  <c r="AO168" i="1"/>
  <c r="AM168" i="1"/>
  <c r="AK168" i="1"/>
  <c r="AL168" i="1" s="1"/>
  <c r="BB168" i="1" s="1"/>
  <c r="AI168" i="1"/>
  <c r="AJ168" i="1" s="1"/>
  <c r="AG168" i="1"/>
  <c r="AH168" i="1" s="1"/>
  <c r="BP167" i="1"/>
  <c r="BM167" i="1"/>
  <c r="BH167" i="1"/>
  <c r="AY167" i="1"/>
  <c r="AZ167" i="1" s="1"/>
  <c r="AW167" i="1"/>
  <c r="AX167" i="1" s="1"/>
  <c r="AU167" i="1"/>
  <c r="AV167" i="1" s="1"/>
  <c r="AS167" i="1"/>
  <c r="AT167" i="1" s="1"/>
  <c r="BD167" i="1" s="1"/>
  <c r="AQ167" i="1"/>
  <c r="AR167" i="1" s="1"/>
  <c r="AO167" i="1"/>
  <c r="AP167" i="1" s="1"/>
  <c r="AM167" i="1"/>
  <c r="AN167" i="1" s="1"/>
  <c r="AK167" i="1"/>
  <c r="AL167" i="1" s="1"/>
  <c r="BB167" i="1" s="1"/>
  <c r="AI167" i="1"/>
  <c r="AJ167" i="1" s="1"/>
  <c r="AG167" i="1"/>
  <c r="AH167" i="1" s="1"/>
  <c r="AD167" i="1"/>
  <c r="BP166" i="1"/>
  <c r="BM166" i="1"/>
  <c r="BH166" i="1"/>
  <c r="AY166" i="1"/>
  <c r="AZ166" i="1" s="1"/>
  <c r="AW166" i="1"/>
  <c r="AX166" i="1" s="1"/>
  <c r="BE166" i="1" s="1"/>
  <c r="AU166" i="1"/>
  <c r="AV166" i="1" s="1"/>
  <c r="AS166" i="1"/>
  <c r="AT166" i="1" s="1"/>
  <c r="AR166" i="1"/>
  <c r="AQ166" i="1"/>
  <c r="AO166" i="1"/>
  <c r="AP166" i="1" s="1"/>
  <c r="AM166" i="1"/>
  <c r="AN166" i="1" s="1"/>
  <c r="AK166" i="1"/>
  <c r="AL166" i="1" s="1"/>
  <c r="AI166" i="1"/>
  <c r="AJ166" i="1" s="1"/>
  <c r="AG166" i="1"/>
  <c r="AH166" i="1" s="1"/>
  <c r="AD166" i="1"/>
  <c r="BP165" i="1"/>
  <c r="BM165" i="1"/>
  <c r="BH165" i="1"/>
  <c r="AY165" i="1"/>
  <c r="AZ165" i="1" s="1"/>
  <c r="AW165" i="1"/>
  <c r="AX165" i="1" s="1"/>
  <c r="BE165" i="1" s="1"/>
  <c r="AV165" i="1"/>
  <c r="AU165" i="1"/>
  <c r="AS165" i="1"/>
  <c r="AT165" i="1" s="1"/>
  <c r="AQ165" i="1"/>
  <c r="AR165" i="1" s="1"/>
  <c r="AP165" i="1"/>
  <c r="BC165" i="1" s="1"/>
  <c r="AO165" i="1"/>
  <c r="AM165" i="1"/>
  <c r="AN165" i="1" s="1"/>
  <c r="AL165" i="1"/>
  <c r="AK165" i="1"/>
  <c r="AI165" i="1"/>
  <c r="AJ165" i="1" s="1"/>
  <c r="AG165" i="1"/>
  <c r="AH165" i="1" s="1"/>
  <c r="BA165" i="1" s="1"/>
  <c r="AD165" i="1"/>
  <c r="BP164" i="1"/>
  <c r="BM164" i="1"/>
  <c r="BH164" i="1"/>
  <c r="AY164" i="1"/>
  <c r="AZ164" i="1" s="1"/>
  <c r="AW164" i="1"/>
  <c r="AX164" i="1" s="1"/>
  <c r="BE164" i="1" s="1"/>
  <c r="AU164" i="1"/>
  <c r="AV164" i="1" s="1"/>
  <c r="AS164" i="1"/>
  <c r="AT164" i="1" s="1"/>
  <c r="BD164" i="1" s="1"/>
  <c r="AR164" i="1"/>
  <c r="AQ164" i="1"/>
  <c r="AO164" i="1"/>
  <c r="AP164" i="1" s="1"/>
  <c r="AM164" i="1"/>
  <c r="AN164" i="1" s="1"/>
  <c r="AL164" i="1"/>
  <c r="AK164" i="1"/>
  <c r="AJ164" i="1"/>
  <c r="AI164" i="1"/>
  <c r="AG164" i="1"/>
  <c r="AH164" i="1" s="1"/>
  <c r="AD164" i="1"/>
  <c r="BP163" i="1"/>
  <c r="BM163" i="1"/>
  <c r="BH163" i="1"/>
  <c r="AY163" i="1"/>
  <c r="AZ163" i="1" s="1"/>
  <c r="AW163" i="1"/>
  <c r="AX163" i="1" s="1"/>
  <c r="AU163" i="1"/>
  <c r="AV163" i="1" s="1"/>
  <c r="AT163" i="1"/>
  <c r="AS163" i="1"/>
  <c r="AR163" i="1"/>
  <c r="AQ163" i="1"/>
  <c r="AO163" i="1"/>
  <c r="AP163" i="1" s="1"/>
  <c r="AM163" i="1"/>
  <c r="AN163" i="1" s="1"/>
  <c r="AL163" i="1"/>
  <c r="AK163" i="1"/>
  <c r="AI163" i="1"/>
  <c r="AJ163" i="1" s="1"/>
  <c r="AG163" i="1"/>
  <c r="AH163" i="1" s="1"/>
  <c r="AD163" i="1"/>
  <c r="BP162" i="1"/>
  <c r="BM162" i="1"/>
  <c r="BH162" i="1"/>
  <c r="AY162" i="1"/>
  <c r="AZ162" i="1" s="1"/>
  <c r="AW162" i="1"/>
  <c r="AX162" i="1" s="1"/>
  <c r="AV162" i="1"/>
  <c r="AU162" i="1"/>
  <c r="AT162" i="1"/>
  <c r="BD162" i="1" s="1"/>
  <c r="AS162" i="1"/>
  <c r="AR162" i="1"/>
  <c r="AQ162" i="1"/>
  <c r="AO162" i="1"/>
  <c r="AP162" i="1" s="1"/>
  <c r="BC162" i="1" s="1"/>
  <c r="AM162" i="1"/>
  <c r="AN162" i="1" s="1"/>
  <c r="AK162" i="1"/>
  <c r="AL162" i="1" s="1"/>
  <c r="AJ162" i="1"/>
  <c r="AI162" i="1"/>
  <c r="AG162" i="1"/>
  <c r="AH162" i="1" s="1"/>
  <c r="AD162" i="1"/>
  <c r="BP161" i="1"/>
  <c r="BM161" i="1"/>
  <c r="BH161" i="1"/>
  <c r="AZ161" i="1"/>
  <c r="AY161" i="1"/>
  <c r="AX161" i="1"/>
  <c r="BE161" i="1" s="1"/>
  <c r="AW161" i="1"/>
  <c r="AU161" i="1"/>
  <c r="AV161" i="1" s="1"/>
  <c r="AT161" i="1"/>
  <c r="AS161" i="1"/>
  <c r="AQ161" i="1"/>
  <c r="AR161" i="1" s="1"/>
  <c r="BC161" i="1" s="1"/>
  <c r="AO161" i="1"/>
  <c r="AP161" i="1" s="1"/>
  <c r="AM161" i="1"/>
  <c r="AN161" i="1" s="1"/>
  <c r="AL161" i="1"/>
  <c r="BB161" i="1" s="1"/>
  <c r="AK161" i="1"/>
  <c r="AJ161" i="1"/>
  <c r="AI161" i="1"/>
  <c r="AG161" i="1"/>
  <c r="AH161" i="1" s="1"/>
  <c r="BA161" i="1" s="1"/>
  <c r="AD161" i="1"/>
  <c r="BP160" i="1"/>
  <c r="BM160" i="1"/>
  <c r="BH160" i="1"/>
  <c r="AY160" i="1"/>
  <c r="AZ160" i="1" s="1"/>
  <c r="AX160" i="1"/>
  <c r="AW160" i="1"/>
  <c r="AV160" i="1"/>
  <c r="AU160" i="1"/>
  <c r="AS160" i="1"/>
  <c r="AT160" i="1" s="1"/>
  <c r="AR160" i="1"/>
  <c r="AQ160" i="1"/>
  <c r="AO160" i="1"/>
  <c r="AP160" i="1" s="1"/>
  <c r="BC160" i="1" s="1"/>
  <c r="AN160" i="1"/>
  <c r="AM160" i="1"/>
  <c r="AK160" i="1"/>
  <c r="AL160" i="1" s="1"/>
  <c r="BB160" i="1" s="1"/>
  <c r="AJ160" i="1"/>
  <c r="AI160" i="1"/>
  <c r="AH160" i="1"/>
  <c r="BA160" i="1" s="1"/>
  <c r="AG160" i="1"/>
  <c r="AD160" i="1"/>
  <c r="BP159" i="1"/>
  <c r="BM159" i="1"/>
  <c r="BH159" i="1"/>
  <c r="AY159" i="1"/>
  <c r="AZ159" i="1" s="1"/>
  <c r="AX159" i="1"/>
  <c r="BE159" i="1" s="1"/>
  <c r="AW159" i="1"/>
  <c r="AU159" i="1"/>
  <c r="AV159" i="1" s="1"/>
  <c r="AS159" i="1"/>
  <c r="AT159" i="1" s="1"/>
  <c r="AQ159" i="1"/>
  <c r="AR159" i="1" s="1"/>
  <c r="AO159" i="1"/>
  <c r="AP159" i="1" s="1"/>
  <c r="BC159" i="1" s="1"/>
  <c r="AM159" i="1"/>
  <c r="AN159" i="1" s="1"/>
  <c r="AK159" i="1"/>
  <c r="AL159" i="1" s="1"/>
  <c r="AI159" i="1"/>
  <c r="AJ159" i="1" s="1"/>
  <c r="AG159" i="1"/>
  <c r="AH159" i="1" s="1"/>
  <c r="AD159" i="1"/>
  <c r="BP158" i="1"/>
  <c r="BM158" i="1"/>
  <c r="BH158" i="1"/>
  <c r="AZ158" i="1"/>
  <c r="AY158" i="1"/>
  <c r="AW158" i="1"/>
  <c r="AX158" i="1" s="1"/>
  <c r="AU158" i="1"/>
  <c r="AV158" i="1" s="1"/>
  <c r="AT158" i="1"/>
  <c r="AS158" i="1"/>
  <c r="AR158" i="1"/>
  <c r="AQ158" i="1"/>
  <c r="AO158" i="1"/>
  <c r="AP158" i="1" s="1"/>
  <c r="BC158" i="1" s="1"/>
  <c r="AM158" i="1"/>
  <c r="AN158" i="1" s="1"/>
  <c r="AL158" i="1"/>
  <c r="AK158" i="1"/>
  <c r="AJ158" i="1"/>
  <c r="AI158" i="1"/>
  <c r="AG158" i="1"/>
  <c r="AH158" i="1" s="1"/>
  <c r="BA158" i="1" s="1"/>
  <c r="AD158" i="1"/>
  <c r="BP157" i="1"/>
  <c r="BM157" i="1"/>
  <c r="BH157" i="1"/>
  <c r="AZ157" i="1"/>
  <c r="AY157" i="1"/>
  <c r="AX157" i="1"/>
  <c r="BE157" i="1" s="1"/>
  <c r="AW157" i="1"/>
  <c r="AU157" i="1"/>
  <c r="AV157" i="1" s="1"/>
  <c r="AT157" i="1"/>
  <c r="AS157" i="1"/>
  <c r="AR157" i="1"/>
  <c r="AQ157" i="1"/>
  <c r="AO157" i="1"/>
  <c r="AP157" i="1" s="1"/>
  <c r="AM157" i="1"/>
  <c r="AN157" i="1" s="1"/>
  <c r="AL157" i="1"/>
  <c r="BB157" i="1" s="1"/>
  <c r="AK157" i="1"/>
  <c r="AJ157" i="1"/>
  <c r="AI157" i="1"/>
  <c r="AG157" i="1"/>
  <c r="AH157" i="1" s="1"/>
  <c r="BA157" i="1" s="1"/>
  <c r="AD157" i="1"/>
  <c r="BP156" i="1"/>
  <c r="BM156" i="1"/>
  <c r="BH156" i="1"/>
  <c r="AY156" i="1"/>
  <c r="AZ156" i="1" s="1"/>
  <c r="AX156" i="1"/>
  <c r="AW156" i="1"/>
  <c r="AV156" i="1"/>
  <c r="AU156" i="1"/>
  <c r="AS156" i="1"/>
  <c r="AT156" i="1" s="1"/>
  <c r="AR156" i="1"/>
  <c r="AQ156" i="1"/>
  <c r="AP156" i="1"/>
  <c r="BC156" i="1" s="1"/>
  <c r="AO156" i="1"/>
  <c r="AN156" i="1"/>
  <c r="AM156" i="1"/>
  <c r="AK156" i="1"/>
  <c r="AL156" i="1" s="1"/>
  <c r="AJ156" i="1"/>
  <c r="AI156" i="1"/>
  <c r="AH156" i="1"/>
  <c r="AG156" i="1"/>
  <c r="AD156" i="1"/>
  <c r="BP155" i="1"/>
  <c r="BM155" i="1"/>
  <c r="BH155" i="1"/>
  <c r="AY155" i="1"/>
  <c r="AZ155" i="1" s="1"/>
  <c r="AX155" i="1"/>
  <c r="BE155" i="1" s="1"/>
  <c r="AW155" i="1"/>
  <c r="AU155" i="1"/>
  <c r="AV155" i="1" s="1"/>
  <c r="AS155" i="1"/>
  <c r="AT155" i="1" s="1"/>
  <c r="AQ155" i="1"/>
  <c r="AR155" i="1" s="1"/>
  <c r="AO155" i="1"/>
  <c r="AP155" i="1" s="1"/>
  <c r="BC155" i="1" s="1"/>
  <c r="AM155" i="1"/>
  <c r="AN155" i="1" s="1"/>
  <c r="AK155" i="1"/>
  <c r="AL155" i="1" s="1"/>
  <c r="AI155" i="1"/>
  <c r="AJ155" i="1" s="1"/>
  <c r="AG155" i="1"/>
  <c r="AH155" i="1" s="1"/>
  <c r="AD155" i="1"/>
  <c r="BP154" i="1"/>
  <c r="BM154" i="1"/>
  <c r="BH154" i="1"/>
  <c r="AZ154" i="1"/>
  <c r="AY154" i="1"/>
  <c r="AW154" i="1"/>
  <c r="AX154" i="1" s="1"/>
  <c r="BE154" i="1" s="1"/>
  <c r="AU154" i="1"/>
  <c r="AV154" i="1" s="1"/>
  <c r="AT154" i="1"/>
  <c r="AS154" i="1"/>
  <c r="AR154" i="1"/>
  <c r="AQ154" i="1"/>
  <c r="AO154" i="1"/>
  <c r="AP154" i="1" s="1"/>
  <c r="BC154" i="1" s="1"/>
  <c r="AM154" i="1"/>
  <c r="AN154" i="1" s="1"/>
  <c r="AL154" i="1"/>
  <c r="AK154" i="1"/>
  <c r="AJ154" i="1"/>
  <c r="AI154" i="1"/>
  <c r="AG154" i="1"/>
  <c r="AH154" i="1" s="1"/>
  <c r="AD154" i="1"/>
  <c r="BP153" i="1"/>
  <c r="BM153" i="1"/>
  <c r="BH153" i="1"/>
  <c r="AZ153" i="1"/>
  <c r="AY153" i="1"/>
  <c r="AW153" i="1"/>
  <c r="AX153" i="1" s="1"/>
  <c r="BE153" i="1" s="1"/>
  <c r="AU153" i="1"/>
  <c r="AV153" i="1" s="1"/>
  <c r="AT153" i="1"/>
  <c r="AS153" i="1"/>
  <c r="AR153" i="1"/>
  <c r="AQ153" i="1"/>
  <c r="AO153" i="1"/>
  <c r="AP153" i="1" s="1"/>
  <c r="AM153" i="1"/>
  <c r="AN153" i="1" s="1"/>
  <c r="AL153" i="1"/>
  <c r="BB153" i="1" s="1"/>
  <c r="AK153" i="1"/>
  <c r="AI153" i="1"/>
  <c r="AJ153" i="1" s="1"/>
  <c r="AG153" i="1"/>
  <c r="AH153" i="1" s="1"/>
  <c r="AD153" i="1"/>
  <c r="BP152" i="1"/>
  <c r="BM152" i="1"/>
  <c r="BH152" i="1"/>
  <c r="AY152" i="1"/>
  <c r="AZ152" i="1" s="1"/>
  <c r="AX152" i="1"/>
  <c r="AW152" i="1"/>
  <c r="AU152" i="1"/>
  <c r="AV152" i="1" s="1"/>
  <c r="AS152" i="1"/>
  <c r="AT152" i="1" s="1"/>
  <c r="AR152" i="1"/>
  <c r="AQ152" i="1"/>
  <c r="AP152" i="1"/>
  <c r="AO152" i="1"/>
  <c r="AM152" i="1"/>
  <c r="AN152" i="1" s="1"/>
  <c r="AK152" i="1"/>
  <c r="AL152" i="1" s="1"/>
  <c r="AJ152" i="1"/>
  <c r="AI152" i="1"/>
  <c r="AG152" i="1"/>
  <c r="AH152" i="1" s="1"/>
  <c r="BA152" i="1" s="1"/>
  <c r="AD152" i="1"/>
  <c r="BP151" i="1"/>
  <c r="BM151" i="1"/>
  <c r="BH151" i="1"/>
  <c r="AY151" i="1"/>
  <c r="AZ151" i="1" s="1"/>
  <c r="AW151" i="1"/>
  <c r="AX151" i="1" s="1"/>
  <c r="AU151" i="1"/>
  <c r="AV151" i="1" s="1"/>
  <c r="AS151" i="1"/>
  <c r="AT151" i="1" s="1"/>
  <c r="AQ151" i="1"/>
  <c r="AR151" i="1" s="1"/>
  <c r="AO151" i="1"/>
  <c r="AP151" i="1" s="1"/>
  <c r="BC151" i="1" s="1"/>
  <c r="AM151" i="1"/>
  <c r="AN151" i="1" s="1"/>
  <c r="AK151" i="1"/>
  <c r="AL151" i="1" s="1"/>
  <c r="AI151" i="1"/>
  <c r="AJ151" i="1" s="1"/>
  <c r="AG151" i="1"/>
  <c r="AH151" i="1" s="1"/>
  <c r="AD151" i="1"/>
  <c r="BP150" i="1"/>
  <c r="BM150" i="1"/>
  <c r="BH150" i="1"/>
  <c r="AZ150" i="1"/>
  <c r="AY150" i="1"/>
  <c r="AW150" i="1"/>
  <c r="AX150" i="1" s="1"/>
  <c r="BE150" i="1" s="1"/>
  <c r="AU150" i="1"/>
  <c r="AV150" i="1" s="1"/>
  <c r="AT150" i="1"/>
  <c r="AS150" i="1"/>
  <c r="AR150" i="1"/>
  <c r="AQ150" i="1"/>
  <c r="AO150" i="1"/>
  <c r="AP150" i="1" s="1"/>
  <c r="AM150" i="1"/>
  <c r="AN150" i="1" s="1"/>
  <c r="AL150" i="1"/>
  <c r="AK150" i="1"/>
  <c r="AJ150" i="1"/>
  <c r="AI150" i="1"/>
  <c r="AG150" i="1"/>
  <c r="AH150" i="1" s="1"/>
  <c r="AD150" i="1"/>
  <c r="BP149" i="1"/>
  <c r="BM149" i="1"/>
  <c r="BH149" i="1"/>
  <c r="AZ149" i="1"/>
  <c r="AY149" i="1"/>
  <c r="AX149" i="1"/>
  <c r="BE149" i="1" s="1"/>
  <c r="AW149" i="1"/>
  <c r="AU149" i="1"/>
  <c r="AV149" i="1" s="1"/>
  <c r="AT149" i="1"/>
  <c r="AS149" i="1"/>
  <c r="AQ149" i="1"/>
  <c r="AR149" i="1" s="1"/>
  <c r="AO149" i="1"/>
  <c r="AP149" i="1" s="1"/>
  <c r="AM149" i="1"/>
  <c r="AN149" i="1" s="1"/>
  <c r="AK149" i="1"/>
  <c r="AL149" i="1" s="1"/>
  <c r="BB149" i="1" s="1"/>
  <c r="AJ149" i="1"/>
  <c r="AI149" i="1"/>
  <c r="AG149" i="1"/>
  <c r="AH149" i="1" s="1"/>
  <c r="BA149" i="1" s="1"/>
  <c r="AD149" i="1"/>
  <c r="BP148" i="1"/>
  <c r="BM148" i="1"/>
  <c r="BH148" i="1"/>
  <c r="AY148" i="1"/>
  <c r="AZ148" i="1" s="1"/>
  <c r="AW148" i="1"/>
  <c r="AX148" i="1" s="1"/>
  <c r="AV148" i="1"/>
  <c r="AU148" i="1"/>
  <c r="AS148" i="1"/>
  <c r="AT148" i="1" s="1"/>
  <c r="AR148" i="1"/>
  <c r="AQ148" i="1"/>
  <c r="AO148" i="1"/>
  <c r="AP148" i="1" s="1"/>
  <c r="BC148" i="1" s="1"/>
  <c r="AM148" i="1"/>
  <c r="AN148" i="1" s="1"/>
  <c r="AK148" i="1"/>
  <c r="AL148" i="1" s="1"/>
  <c r="AI148" i="1"/>
  <c r="AJ148" i="1" s="1"/>
  <c r="AG148" i="1"/>
  <c r="AH148" i="1" s="1"/>
  <c r="AD148" i="1"/>
  <c r="BP147" i="1"/>
  <c r="BM147" i="1"/>
  <c r="BH147" i="1"/>
  <c r="AY147" i="1"/>
  <c r="AZ147" i="1" s="1"/>
  <c r="AW147" i="1"/>
  <c r="AX147" i="1" s="1"/>
  <c r="AV147" i="1"/>
  <c r="AU147" i="1"/>
  <c r="AS147" i="1"/>
  <c r="AT147" i="1" s="1"/>
  <c r="AQ147" i="1"/>
  <c r="AR147" i="1" s="1"/>
  <c r="AO147" i="1"/>
  <c r="AP147" i="1" s="1"/>
  <c r="BC147" i="1" s="1"/>
  <c r="AM147" i="1"/>
  <c r="AN147" i="1" s="1"/>
  <c r="AL147" i="1"/>
  <c r="AK147" i="1"/>
  <c r="AI147" i="1"/>
  <c r="AJ147" i="1" s="1"/>
  <c r="AH147" i="1"/>
  <c r="AG147" i="1"/>
  <c r="AD147" i="1"/>
  <c r="BP146" i="1"/>
  <c r="BM146" i="1"/>
  <c r="BH146" i="1"/>
  <c r="AZ146" i="1"/>
  <c r="AY146" i="1"/>
  <c r="AW146" i="1"/>
  <c r="AX146" i="1" s="1"/>
  <c r="BE146" i="1" s="1"/>
  <c r="AV146" i="1"/>
  <c r="AU146" i="1"/>
  <c r="AS146" i="1"/>
  <c r="AT146" i="1" s="1"/>
  <c r="BD146" i="1" s="1"/>
  <c r="AQ146" i="1"/>
  <c r="AR146" i="1" s="1"/>
  <c r="AO146" i="1"/>
  <c r="AP146" i="1" s="1"/>
  <c r="AM146" i="1"/>
  <c r="AN146" i="1" s="1"/>
  <c r="AL146" i="1"/>
  <c r="AK146" i="1"/>
  <c r="AI146" i="1"/>
  <c r="AJ146" i="1" s="1"/>
  <c r="AG146" i="1"/>
  <c r="AH146" i="1" s="1"/>
  <c r="AD146" i="1"/>
  <c r="BP145" i="1"/>
  <c r="BM145" i="1"/>
  <c r="BH145" i="1"/>
  <c r="AZ145" i="1"/>
  <c r="AY145" i="1"/>
  <c r="AX145" i="1"/>
  <c r="BE145" i="1" s="1"/>
  <c r="AW145" i="1"/>
  <c r="AU145" i="1"/>
  <c r="AV145" i="1" s="1"/>
  <c r="AS145" i="1"/>
  <c r="AT145" i="1" s="1"/>
  <c r="AQ145" i="1"/>
  <c r="AR145" i="1" s="1"/>
  <c r="BC145" i="1" s="1"/>
  <c r="AP145" i="1"/>
  <c r="AO145" i="1"/>
  <c r="AM145" i="1"/>
  <c r="AN145" i="1" s="1"/>
  <c r="AL145" i="1"/>
  <c r="BB145" i="1" s="1"/>
  <c r="AK145" i="1"/>
  <c r="AJ145" i="1"/>
  <c r="AI145" i="1"/>
  <c r="AG145" i="1"/>
  <c r="AH145" i="1" s="1"/>
  <c r="BA145" i="1" s="1"/>
  <c r="AD145" i="1"/>
  <c r="BP144" i="1"/>
  <c r="BM144" i="1"/>
  <c r="BH144" i="1"/>
  <c r="AY144" i="1"/>
  <c r="AZ144" i="1" s="1"/>
  <c r="AX144" i="1"/>
  <c r="AW144" i="1"/>
  <c r="AV144" i="1"/>
  <c r="AU144" i="1"/>
  <c r="AS144" i="1"/>
  <c r="AT144" i="1" s="1"/>
  <c r="AQ144" i="1"/>
  <c r="AR144" i="1" s="1"/>
  <c r="AO144" i="1"/>
  <c r="AP144" i="1" s="1"/>
  <c r="AN144" i="1"/>
  <c r="AM144" i="1"/>
  <c r="AK144" i="1"/>
  <c r="AL144" i="1" s="1"/>
  <c r="AJ144" i="1"/>
  <c r="AI144" i="1"/>
  <c r="AH144" i="1"/>
  <c r="BA144" i="1" s="1"/>
  <c r="AG144" i="1"/>
  <c r="AD144" i="1"/>
  <c r="BP143" i="1"/>
  <c r="BM143" i="1"/>
  <c r="BH143" i="1"/>
  <c r="AY143" i="1"/>
  <c r="AZ143" i="1" s="1"/>
  <c r="AX143" i="1"/>
  <c r="BE143" i="1" s="1"/>
  <c r="AW143" i="1"/>
  <c r="AU143" i="1"/>
  <c r="AV143" i="1" s="1"/>
  <c r="AS143" i="1"/>
  <c r="AT143" i="1" s="1"/>
  <c r="AQ143" i="1"/>
  <c r="AR143" i="1" s="1"/>
  <c r="AO143" i="1"/>
  <c r="AP143" i="1" s="1"/>
  <c r="BC143" i="1" s="1"/>
  <c r="AM143" i="1"/>
  <c r="AN143" i="1" s="1"/>
  <c r="AK143" i="1"/>
  <c r="AL143" i="1" s="1"/>
  <c r="BB143" i="1" s="1"/>
  <c r="AI143" i="1"/>
  <c r="AJ143" i="1" s="1"/>
  <c r="AG143" i="1"/>
  <c r="AH143" i="1" s="1"/>
  <c r="AD143" i="1"/>
  <c r="BP142" i="1"/>
  <c r="BM142" i="1"/>
  <c r="BH142" i="1"/>
  <c r="AY142" i="1"/>
  <c r="AZ142" i="1" s="1"/>
  <c r="AW142" i="1"/>
  <c r="AX142" i="1" s="1"/>
  <c r="AU142" i="1"/>
  <c r="AV142" i="1" s="1"/>
  <c r="AS142" i="1"/>
  <c r="AT142" i="1" s="1"/>
  <c r="AQ142" i="1"/>
  <c r="AR142" i="1" s="1"/>
  <c r="AO142" i="1"/>
  <c r="AP142" i="1" s="1"/>
  <c r="AM142" i="1"/>
  <c r="AN142" i="1" s="1"/>
  <c r="AK142" i="1"/>
  <c r="AL142" i="1" s="1"/>
  <c r="BB142" i="1" s="1"/>
  <c r="AJ142" i="1"/>
  <c r="AI142" i="1"/>
  <c r="AG142" i="1"/>
  <c r="AH142" i="1" s="1"/>
  <c r="AD142" i="1"/>
  <c r="BP141" i="1"/>
  <c r="BM141" i="1"/>
  <c r="BH141" i="1"/>
  <c r="AZ141" i="1"/>
  <c r="AY141" i="1"/>
  <c r="AX141" i="1"/>
  <c r="AW141" i="1"/>
  <c r="AU141" i="1"/>
  <c r="AV141" i="1" s="1"/>
  <c r="AT141" i="1"/>
  <c r="AS141" i="1"/>
  <c r="AR141" i="1"/>
  <c r="AQ141" i="1"/>
  <c r="AO141" i="1"/>
  <c r="AP141" i="1" s="1"/>
  <c r="AM141" i="1"/>
  <c r="AN141" i="1" s="1"/>
  <c r="AL141" i="1"/>
  <c r="BB141" i="1" s="1"/>
  <c r="AK141" i="1"/>
  <c r="AJ141" i="1"/>
  <c r="AI141" i="1"/>
  <c r="AG141" i="1"/>
  <c r="AH141" i="1" s="1"/>
  <c r="BA141" i="1" s="1"/>
  <c r="AD141" i="1"/>
  <c r="BP140" i="1"/>
  <c r="BM140" i="1"/>
  <c r="BH140" i="1"/>
  <c r="AY140" i="1"/>
  <c r="AZ140" i="1" s="1"/>
  <c r="AX140" i="1"/>
  <c r="AW140" i="1"/>
  <c r="AU140" i="1"/>
  <c r="AV140" i="1" s="1"/>
  <c r="AS140" i="1"/>
  <c r="AT140" i="1" s="1"/>
  <c r="AR140" i="1"/>
  <c r="AQ140" i="1"/>
  <c r="AP140" i="1"/>
  <c r="BC140" i="1" s="1"/>
  <c r="AO140" i="1"/>
  <c r="AM140" i="1"/>
  <c r="AN140" i="1" s="1"/>
  <c r="AK140" i="1"/>
  <c r="AL140" i="1" s="1"/>
  <c r="AI140" i="1"/>
  <c r="AJ140" i="1" s="1"/>
  <c r="AG140" i="1"/>
  <c r="AH140" i="1" s="1"/>
  <c r="BA140" i="1" s="1"/>
  <c r="AD140" i="1"/>
  <c r="BP139" i="1"/>
  <c r="BM139" i="1"/>
  <c r="BH139" i="1"/>
  <c r="AY139" i="1"/>
  <c r="AZ139" i="1" s="1"/>
  <c r="AW139" i="1"/>
  <c r="AX139" i="1" s="1"/>
  <c r="BE139" i="1" s="1"/>
  <c r="AV139" i="1"/>
  <c r="BD139" i="1" s="1"/>
  <c r="AU139" i="1"/>
  <c r="AT139" i="1"/>
  <c r="AS139" i="1"/>
  <c r="AQ139" i="1"/>
  <c r="AR139" i="1" s="1"/>
  <c r="AP139" i="1"/>
  <c r="BC139" i="1" s="1"/>
  <c r="AO139" i="1"/>
  <c r="AM139" i="1"/>
  <c r="AN139" i="1" s="1"/>
  <c r="AK139" i="1"/>
  <c r="AL139" i="1" s="1"/>
  <c r="AI139" i="1"/>
  <c r="AJ139" i="1" s="1"/>
  <c r="BA139" i="1" s="1"/>
  <c r="AH139" i="1"/>
  <c r="AG139" i="1"/>
  <c r="AD139" i="1"/>
  <c r="BP138" i="1"/>
  <c r="BM138" i="1"/>
  <c r="BH138" i="1"/>
  <c r="AY138" i="1"/>
  <c r="AZ138" i="1" s="1"/>
  <c r="AW138" i="1"/>
  <c r="AX138" i="1" s="1"/>
  <c r="AU138" i="1"/>
  <c r="AV138" i="1" s="1"/>
  <c r="AT138" i="1"/>
  <c r="AS138" i="1"/>
  <c r="AQ138" i="1"/>
  <c r="AR138" i="1" s="1"/>
  <c r="AO138" i="1"/>
  <c r="AP138" i="1" s="1"/>
  <c r="AM138" i="1"/>
  <c r="AN138" i="1" s="1"/>
  <c r="AK138" i="1"/>
  <c r="AL138" i="1" s="1"/>
  <c r="AJ138" i="1"/>
  <c r="AI138" i="1"/>
  <c r="AG138" i="1"/>
  <c r="AH138" i="1" s="1"/>
  <c r="AD138" i="1"/>
  <c r="BP137" i="1"/>
  <c r="BM137" i="1"/>
  <c r="BH137" i="1"/>
  <c r="AY137" i="1"/>
  <c r="AZ137" i="1" s="1"/>
  <c r="AX137" i="1"/>
  <c r="AW137" i="1"/>
  <c r="AU137" i="1"/>
  <c r="AV137" i="1" s="1"/>
  <c r="AT137" i="1"/>
  <c r="AS137" i="1"/>
  <c r="AQ137" i="1"/>
  <c r="AR137" i="1" s="1"/>
  <c r="BC137" i="1" s="1"/>
  <c r="AO137" i="1"/>
  <c r="AP137" i="1" s="1"/>
  <c r="AM137" i="1"/>
  <c r="AN137" i="1" s="1"/>
  <c r="AL137" i="1"/>
  <c r="BB137" i="1" s="1"/>
  <c r="AK137" i="1"/>
  <c r="AJ137" i="1"/>
  <c r="AI137" i="1"/>
  <c r="AG137" i="1"/>
  <c r="AH137" i="1" s="1"/>
  <c r="BA137" i="1" s="1"/>
  <c r="AD137" i="1"/>
  <c r="BP136" i="1"/>
  <c r="BM136" i="1"/>
  <c r="BH136" i="1"/>
  <c r="AY136" i="1"/>
  <c r="AZ136" i="1" s="1"/>
  <c r="AX136" i="1"/>
  <c r="AW136" i="1"/>
  <c r="AU136" i="1"/>
  <c r="AV136" i="1" s="1"/>
  <c r="AS136" i="1"/>
  <c r="AT136" i="1" s="1"/>
  <c r="AQ136" i="1"/>
  <c r="AR136" i="1" s="1"/>
  <c r="AO136" i="1"/>
  <c r="AP136" i="1" s="1"/>
  <c r="AN136" i="1"/>
  <c r="AM136" i="1"/>
  <c r="AK136" i="1"/>
  <c r="AL136" i="1" s="1"/>
  <c r="BB136" i="1" s="1"/>
  <c r="AJ136" i="1"/>
  <c r="AI136" i="1"/>
  <c r="AG136" i="1"/>
  <c r="AH136" i="1" s="1"/>
  <c r="BA136" i="1" s="1"/>
  <c r="AD136" i="1"/>
  <c r="BP135" i="1"/>
  <c r="BM135" i="1"/>
  <c r="BH135" i="1"/>
  <c r="AY135" i="1"/>
  <c r="AZ135" i="1" s="1"/>
  <c r="AW135" i="1"/>
  <c r="AX135" i="1" s="1"/>
  <c r="AU135" i="1"/>
  <c r="AV135" i="1" s="1"/>
  <c r="BD135" i="1" s="1"/>
  <c r="AS135" i="1"/>
  <c r="AT135" i="1" s="1"/>
  <c r="AQ135" i="1"/>
  <c r="AR135" i="1" s="1"/>
  <c r="AO135" i="1"/>
  <c r="AP135" i="1" s="1"/>
  <c r="BC135" i="1" s="1"/>
  <c r="AM135" i="1"/>
  <c r="AN135" i="1" s="1"/>
  <c r="AL135" i="1"/>
  <c r="AK135" i="1"/>
  <c r="AI135" i="1"/>
  <c r="AJ135" i="1" s="1"/>
  <c r="AG135" i="1"/>
  <c r="AH135" i="1" s="1"/>
  <c r="AD135" i="1"/>
  <c r="BP134" i="1"/>
  <c r="BM134" i="1"/>
  <c r="BH134" i="1"/>
  <c r="AY134" i="1"/>
  <c r="AZ134" i="1" s="1"/>
  <c r="AW134" i="1"/>
  <c r="AX134" i="1" s="1"/>
  <c r="AV134" i="1"/>
  <c r="AU134" i="1"/>
  <c r="AT134" i="1"/>
  <c r="BD134" i="1" s="1"/>
  <c r="AS134" i="1"/>
  <c r="AR134" i="1"/>
  <c r="AQ134" i="1"/>
  <c r="AO134" i="1"/>
  <c r="AP134" i="1" s="1"/>
  <c r="AM134" i="1"/>
  <c r="AN134" i="1" s="1"/>
  <c r="AK134" i="1"/>
  <c r="AL134" i="1" s="1"/>
  <c r="AJ134" i="1"/>
  <c r="AI134" i="1"/>
  <c r="AG134" i="1"/>
  <c r="AH134" i="1" s="1"/>
  <c r="AD134" i="1"/>
  <c r="BP133" i="1"/>
  <c r="BM133" i="1"/>
  <c r="BH133" i="1"/>
  <c r="AZ133" i="1"/>
  <c r="AY133" i="1"/>
  <c r="AX133" i="1"/>
  <c r="BE133" i="1" s="1"/>
  <c r="AW133" i="1"/>
  <c r="AU133" i="1"/>
  <c r="AV133" i="1" s="1"/>
  <c r="AT133" i="1"/>
  <c r="AS133" i="1"/>
  <c r="AQ133" i="1"/>
  <c r="AR133" i="1" s="1"/>
  <c r="BC133" i="1" s="1"/>
  <c r="AO133" i="1"/>
  <c r="AP133" i="1" s="1"/>
  <c r="AM133" i="1"/>
  <c r="AN133" i="1" s="1"/>
  <c r="AK133" i="1"/>
  <c r="AL133" i="1" s="1"/>
  <c r="BB133" i="1" s="1"/>
  <c r="AJ133" i="1"/>
  <c r="AI133" i="1"/>
  <c r="AG133" i="1"/>
  <c r="AH133" i="1" s="1"/>
  <c r="BA133" i="1" s="1"/>
  <c r="AD133" i="1"/>
  <c r="BP132" i="1"/>
  <c r="BM132" i="1"/>
  <c r="BH132" i="1"/>
  <c r="AZ132" i="1"/>
  <c r="AY132" i="1"/>
  <c r="AX132" i="1"/>
  <c r="AW132" i="1"/>
  <c r="AV132" i="1"/>
  <c r="AU132" i="1"/>
  <c r="AS132" i="1"/>
  <c r="AT132" i="1" s="1"/>
  <c r="BD132" i="1" s="1"/>
  <c r="AQ132" i="1"/>
  <c r="AR132" i="1" s="1"/>
  <c r="AP132" i="1"/>
  <c r="AO132" i="1"/>
  <c r="AM132" i="1"/>
  <c r="AN132" i="1" s="1"/>
  <c r="AK132" i="1"/>
  <c r="AL132" i="1" s="1"/>
  <c r="AI132" i="1"/>
  <c r="AJ132" i="1" s="1"/>
  <c r="AG132" i="1"/>
  <c r="AH132" i="1" s="1"/>
  <c r="BA132" i="1" s="1"/>
  <c r="AD132" i="1"/>
  <c r="BP131" i="1"/>
  <c r="BM131" i="1"/>
  <c r="BH131" i="1"/>
  <c r="AY131" i="1"/>
  <c r="AZ131" i="1" s="1"/>
  <c r="AW131" i="1"/>
  <c r="AX131" i="1" s="1"/>
  <c r="AV131" i="1"/>
  <c r="AU131" i="1"/>
  <c r="AS131" i="1"/>
  <c r="AT131" i="1" s="1"/>
  <c r="AQ131" i="1"/>
  <c r="AR131" i="1" s="1"/>
  <c r="AP131" i="1"/>
  <c r="BC131" i="1" s="1"/>
  <c r="AO131" i="1"/>
  <c r="AM131" i="1"/>
  <c r="AN131" i="1" s="1"/>
  <c r="AK131" i="1"/>
  <c r="AL131" i="1" s="1"/>
  <c r="BB131" i="1" s="1"/>
  <c r="AI131" i="1"/>
  <c r="AJ131" i="1" s="1"/>
  <c r="BA131" i="1" s="1"/>
  <c r="AH131" i="1"/>
  <c r="AG131" i="1"/>
  <c r="AD131" i="1"/>
  <c r="BP130" i="1"/>
  <c r="BM130" i="1"/>
  <c r="BH130" i="1"/>
  <c r="AY130" i="1"/>
  <c r="AZ130" i="1" s="1"/>
  <c r="AW130" i="1"/>
  <c r="AX130" i="1" s="1"/>
  <c r="AU130" i="1"/>
  <c r="AV130" i="1" s="1"/>
  <c r="AT130" i="1"/>
  <c r="AS130" i="1"/>
  <c r="AQ130" i="1"/>
  <c r="AR130" i="1" s="1"/>
  <c r="AO130" i="1"/>
  <c r="AP130" i="1" s="1"/>
  <c r="AM130" i="1"/>
  <c r="AN130" i="1" s="1"/>
  <c r="AK130" i="1"/>
  <c r="AL130" i="1" s="1"/>
  <c r="BB130" i="1" s="1"/>
  <c r="AJ130" i="1"/>
  <c r="AI130" i="1"/>
  <c r="AG130" i="1"/>
  <c r="AH130" i="1" s="1"/>
  <c r="AD130" i="1"/>
  <c r="BP129" i="1"/>
  <c r="BM129" i="1"/>
  <c r="BH129" i="1"/>
  <c r="AZ129" i="1"/>
  <c r="AY129" i="1"/>
  <c r="AX129" i="1"/>
  <c r="BE129" i="1" s="1"/>
  <c r="AW129" i="1"/>
  <c r="AU129" i="1"/>
  <c r="AV129" i="1" s="1"/>
  <c r="AT129" i="1"/>
  <c r="AS129" i="1"/>
  <c r="AQ129" i="1"/>
  <c r="AR129" i="1" s="1"/>
  <c r="BC129" i="1" s="1"/>
  <c r="AP129" i="1"/>
  <c r="AO129" i="1"/>
  <c r="AM129" i="1"/>
  <c r="AN129" i="1" s="1"/>
  <c r="AL129" i="1"/>
  <c r="AK129" i="1"/>
  <c r="AJ129" i="1"/>
  <c r="AI129" i="1"/>
  <c r="AG129" i="1"/>
  <c r="AH129" i="1" s="1"/>
  <c r="BA129" i="1" s="1"/>
  <c r="AD129" i="1"/>
  <c r="BP128" i="1"/>
  <c r="BM128" i="1"/>
  <c r="BH128" i="1"/>
  <c r="AY128" i="1"/>
  <c r="AZ128" i="1" s="1"/>
  <c r="AX128" i="1"/>
  <c r="AW128" i="1"/>
  <c r="AV128" i="1"/>
  <c r="AU128" i="1"/>
  <c r="AS128" i="1"/>
  <c r="AT128" i="1" s="1"/>
  <c r="AR128" i="1"/>
  <c r="AQ128" i="1"/>
  <c r="AO128" i="1"/>
  <c r="AP128" i="1" s="1"/>
  <c r="BC128" i="1" s="1"/>
  <c r="AN128" i="1"/>
  <c r="AM128" i="1"/>
  <c r="AK128" i="1"/>
  <c r="AL128" i="1" s="1"/>
  <c r="BB128" i="1" s="1"/>
  <c r="AJ128" i="1"/>
  <c r="AI128" i="1"/>
  <c r="AH128" i="1"/>
  <c r="BA128" i="1" s="1"/>
  <c r="AG128" i="1"/>
  <c r="AD128" i="1"/>
  <c r="BP127" i="1"/>
  <c r="BM127" i="1"/>
  <c r="BH127" i="1"/>
  <c r="AY127" i="1"/>
  <c r="AZ127" i="1" s="1"/>
  <c r="AX127" i="1"/>
  <c r="AW127" i="1"/>
  <c r="AV127" i="1"/>
  <c r="AU127" i="1"/>
  <c r="AS127" i="1"/>
  <c r="AT127" i="1" s="1"/>
  <c r="AQ127" i="1"/>
  <c r="AR127" i="1" s="1"/>
  <c r="AO127" i="1"/>
  <c r="AP127" i="1" s="1"/>
  <c r="BC127" i="1" s="1"/>
  <c r="AM127" i="1"/>
  <c r="AN127" i="1" s="1"/>
  <c r="AL127" i="1"/>
  <c r="AK127" i="1"/>
  <c r="AI127" i="1"/>
  <c r="AJ127" i="1" s="1"/>
  <c r="AH127" i="1"/>
  <c r="AG127" i="1"/>
  <c r="AD127" i="1"/>
  <c r="BP126" i="1"/>
  <c r="BM126" i="1"/>
  <c r="BH126" i="1"/>
  <c r="AZ126" i="1"/>
  <c r="AY126" i="1"/>
  <c r="AW126" i="1"/>
  <c r="AX126" i="1" s="1"/>
  <c r="BE126" i="1" s="1"/>
  <c r="AV126" i="1"/>
  <c r="AU126" i="1"/>
  <c r="AS126" i="1"/>
  <c r="AT126" i="1" s="1"/>
  <c r="BD126" i="1" s="1"/>
  <c r="AR126" i="1"/>
  <c r="AQ126" i="1"/>
  <c r="AO126" i="1"/>
  <c r="AP126" i="1" s="1"/>
  <c r="BC126" i="1" s="1"/>
  <c r="AM126" i="1"/>
  <c r="AN126" i="1" s="1"/>
  <c r="AL126" i="1"/>
  <c r="AK126" i="1"/>
  <c r="AI126" i="1"/>
  <c r="AJ126" i="1" s="1"/>
  <c r="AG126" i="1"/>
  <c r="AH126" i="1" s="1"/>
  <c r="AD126" i="1"/>
  <c r="BP125" i="1"/>
  <c r="BM125" i="1"/>
  <c r="BH125" i="1"/>
  <c r="AZ125" i="1"/>
  <c r="AY125" i="1"/>
  <c r="AX125" i="1"/>
  <c r="AW125" i="1"/>
  <c r="AU125" i="1"/>
  <c r="AV125" i="1" s="1"/>
  <c r="AS125" i="1"/>
  <c r="AT125" i="1" s="1"/>
  <c r="AR125" i="1"/>
  <c r="BC125" i="1" s="1"/>
  <c r="AQ125" i="1"/>
  <c r="AP125" i="1"/>
  <c r="AO125" i="1"/>
  <c r="AM125" i="1"/>
  <c r="AN125" i="1" s="1"/>
  <c r="AL125" i="1"/>
  <c r="BB125" i="1" s="1"/>
  <c r="AK125" i="1"/>
  <c r="AJ125" i="1"/>
  <c r="AI125" i="1"/>
  <c r="AG125" i="1"/>
  <c r="AH125" i="1" s="1"/>
  <c r="BA125" i="1" s="1"/>
  <c r="AD125" i="1"/>
  <c r="BP124" i="1"/>
  <c r="BM124" i="1"/>
  <c r="BH124" i="1"/>
  <c r="AY124" i="1"/>
  <c r="AZ124" i="1" s="1"/>
  <c r="AX124" i="1"/>
  <c r="AW124" i="1"/>
  <c r="AV124" i="1"/>
  <c r="AU124" i="1"/>
  <c r="AS124" i="1"/>
  <c r="AT124" i="1" s="1"/>
  <c r="AQ124" i="1"/>
  <c r="AR124" i="1" s="1"/>
  <c r="AP124" i="1"/>
  <c r="AO124" i="1"/>
  <c r="AN124" i="1"/>
  <c r="AM124" i="1"/>
  <c r="AK124" i="1"/>
  <c r="AL124" i="1" s="1"/>
  <c r="BB124" i="1" s="1"/>
  <c r="AJ124" i="1"/>
  <c r="AI124" i="1"/>
  <c r="AH124" i="1"/>
  <c r="AG124" i="1"/>
  <c r="AD124" i="1"/>
  <c r="BH123" i="1"/>
  <c r="BC123" i="1"/>
  <c r="AY123" i="1"/>
  <c r="AZ123" i="1" s="1"/>
  <c r="AW123" i="1"/>
  <c r="AX123" i="1" s="1"/>
  <c r="AV123" i="1"/>
  <c r="AU123" i="1"/>
  <c r="AS123" i="1"/>
  <c r="AT123" i="1" s="1"/>
  <c r="BD123" i="1" s="1"/>
  <c r="AQ123" i="1"/>
  <c r="AO123" i="1"/>
  <c r="AM123" i="1"/>
  <c r="AK123" i="1"/>
  <c r="AL123" i="1" s="1"/>
  <c r="BB123" i="1" s="1"/>
  <c r="AI123" i="1"/>
  <c r="AJ123" i="1" s="1"/>
  <c r="AG123" i="1"/>
  <c r="AH123" i="1" s="1"/>
  <c r="BP122" i="1"/>
  <c r="BM122" i="1"/>
  <c r="BH122" i="1"/>
  <c r="AY122" i="1"/>
  <c r="AZ122" i="1" s="1"/>
  <c r="AX122" i="1"/>
  <c r="BE122" i="1" s="1"/>
  <c r="AW122" i="1"/>
  <c r="AU122" i="1"/>
  <c r="AV122" i="1" s="1"/>
  <c r="AS122" i="1"/>
  <c r="AT122" i="1" s="1"/>
  <c r="AQ122" i="1"/>
  <c r="AR122" i="1" s="1"/>
  <c r="AP122" i="1"/>
  <c r="BC122" i="1" s="1"/>
  <c r="AO122" i="1"/>
  <c r="AM122" i="1"/>
  <c r="AN122" i="1" s="1"/>
  <c r="AK122" i="1"/>
  <c r="AL122" i="1" s="1"/>
  <c r="BB122" i="1" s="1"/>
  <c r="AI122" i="1"/>
  <c r="AJ122" i="1" s="1"/>
  <c r="AG122" i="1"/>
  <c r="AH122" i="1" s="1"/>
  <c r="AD122" i="1"/>
  <c r="BP121" i="1"/>
  <c r="BM121" i="1"/>
  <c r="BH121" i="1"/>
  <c r="AY121" i="1"/>
  <c r="AZ121" i="1" s="1"/>
  <c r="AW121" i="1"/>
  <c r="AX121" i="1" s="1"/>
  <c r="AU121" i="1"/>
  <c r="AV121" i="1" s="1"/>
  <c r="AT121" i="1"/>
  <c r="AS121" i="1"/>
  <c r="AR121" i="1"/>
  <c r="AQ121" i="1"/>
  <c r="AO121" i="1"/>
  <c r="AP121" i="1" s="1"/>
  <c r="BC121" i="1" s="1"/>
  <c r="AM121" i="1"/>
  <c r="AN121" i="1" s="1"/>
  <c r="AK121" i="1"/>
  <c r="AL121" i="1" s="1"/>
  <c r="BB121" i="1" s="1"/>
  <c r="AJ121" i="1"/>
  <c r="AI121" i="1"/>
  <c r="AG121" i="1"/>
  <c r="AH121" i="1" s="1"/>
  <c r="AD121" i="1"/>
  <c r="BP120" i="1"/>
  <c r="BM120" i="1"/>
  <c r="BH120" i="1"/>
  <c r="AZ120" i="1"/>
  <c r="AY120" i="1"/>
  <c r="AX120" i="1"/>
  <c r="BE120" i="1" s="1"/>
  <c r="AW120" i="1"/>
  <c r="AU120" i="1"/>
  <c r="AV120" i="1" s="1"/>
  <c r="AT120" i="1"/>
  <c r="AS120" i="1"/>
  <c r="AR120" i="1"/>
  <c r="AQ120" i="1"/>
  <c r="AO120" i="1"/>
  <c r="AP120" i="1" s="1"/>
  <c r="AM120" i="1"/>
  <c r="AN120" i="1" s="1"/>
  <c r="AL120" i="1"/>
  <c r="AK120" i="1"/>
  <c r="AJ120" i="1"/>
  <c r="AI120" i="1"/>
  <c r="AG120" i="1"/>
  <c r="AH120" i="1" s="1"/>
  <c r="BA120" i="1" s="1"/>
  <c r="AD120" i="1"/>
  <c r="BP119" i="1"/>
  <c r="BM119" i="1"/>
  <c r="BH119" i="1"/>
  <c r="AZ119" i="1"/>
  <c r="AY119" i="1"/>
  <c r="AX119" i="1"/>
  <c r="BE119" i="1" s="1"/>
  <c r="AW119" i="1"/>
  <c r="AV119" i="1"/>
  <c r="AU119" i="1"/>
  <c r="AS119" i="1"/>
  <c r="AT119" i="1" s="1"/>
  <c r="AR119" i="1"/>
  <c r="AQ119" i="1"/>
  <c r="AP119" i="1"/>
  <c r="AO119" i="1"/>
  <c r="AM119" i="1"/>
  <c r="AN119" i="1" s="1"/>
  <c r="AK119" i="1"/>
  <c r="AL119" i="1" s="1"/>
  <c r="AJ119" i="1"/>
  <c r="AI119" i="1"/>
  <c r="AH119" i="1"/>
  <c r="BA119" i="1" s="1"/>
  <c r="AG119" i="1"/>
  <c r="AD119" i="1"/>
  <c r="BP118" i="1"/>
  <c r="BM118" i="1"/>
  <c r="BH118" i="1"/>
  <c r="AY118" i="1"/>
  <c r="AZ118" i="1" s="1"/>
  <c r="AW118" i="1"/>
  <c r="AX118" i="1" s="1"/>
  <c r="AU118" i="1"/>
  <c r="AV118" i="1" s="1"/>
  <c r="BD118" i="1" s="1"/>
  <c r="AS118" i="1"/>
  <c r="AT118" i="1" s="1"/>
  <c r="AQ118" i="1"/>
  <c r="AR118" i="1" s="1"/>
  <c r="AO118" i="1"/>
  <c r="AP118" i="1" s="1"/>
  <c r="AM118" i="1"/>
  <c r="AN118" i="1" s="1"/>
  <c r="AK118" i="1"/>
  <c r="AL118" i="1" s="1"/>
  <c r="BB118" i="1" s="1"/>
  <c r="AI118" i="1"/>
  <c r="AJ118" i="1" s="1"/>
  <c r="AG118" i="1"/>
  <c r="AH118" i="1" s="1"/>
  <c r="AD118" i="1"/>
  <c r="BP117" i="1"/>
  <c r="BM117" i="1"/>
  <c r="BH117" i="1"/>
  <c r="AZ117" i="1"/>
  <c r="AY117" i="1"/>
  <c r="AW117" i="1"/>
  <c r="AX117" i="1" s="1"/>
  <c r="BE117" i="1" s="1"/>
  <c r="AU117" i="1"/>
  <c r="AV117" i="1" s="1"/>
  <c r="AT117" i="1"/>
  <c r="AS117" i="1"/>
  <c r="AR117" i="1"/>
  <c r="AQ117" i="1"/>
  <c r="AO117" i="1"/>
  <c r="AP117" i="1" s="1"/>
  <c r="BC117" i="1" s="1"/>
  <c r="AM117" i="1"/>
  <c r="AN117" i="1" s="1"/>
  <c r="AL117" i="1"/>
  <c r="AK117" i="1"/>
  <c r="AJ117" i="1"/>
  <c r="AI117" i="1"/>
  <c r="AG117" i="1"/>
  <c r="AH117" i="1" s="1"/>
  <c r="AD117" i="1"/>
  <c r="BP116" i="1"/>
  <c r="BM116" i="1"/>
  <c r="BH116" i="1"/>
  <c r="AZ116" i="1"/>
  <c r="AY116" i="1"/>
  <c r="AX116" i="1"/>
  <c r="AW116" i="1"/>
  <c r="AU116" i="1"/>
  <c r="AV116" i="1" s="1"/>
  <c r="AT116" i="1"/>
  <c r="BD116" i="1" s="1"/>
  <c r="AS116" i="1"/>
  <c r="AQ116" i="1"/>
  <c r="AR116" i="1" s="1"/>
  <c r="AO116" i="1"/>
  <c r="AP116" i="1" s="1"/>
  <c r="AM116" i="1"/>
  <c r="AN116" i="1" s="1"/>
  <c r="AK116" i="1"/>
  <c r="AL116" i="1" s="1"/>
  <c r="AI116" i="1"/>
  <c r="AJ116" i="1" s="1"/>
  <c r="AH116" i="1"/>
  <c r="AG116" i="1"/>
  <c r="AD116" i="1"/>
  <c r="BP115" i="1"/>
  <c r="BM115" i="1"/>
  <c r="BH115" i="1"/>
  <c r="AY115" i="1"/>
  <c r="AZ115" i="1" s="1"/>
  <c r="AW115" i="1"/>
  <c r="AX115" i="1" s="1"/>
  <c r="AU115" i="1"/>
  <c r="AV115" i="1" s="1"/>
  <c r="AS115" i="1"/>
  <c r="AT115" i="1" s="1"/>
  <c r="AQ115" i="1"/>
  <c r="AR115" i="1" s="1"/>
  <c r="AO115" i="1"/>
  <c r="AP115" i="1" s="1"/>
  <c r="AN115" i="1"/>
  <c r="AM115" i="1"/>
  <c r="AK115" i="1"/>
  <c r="AL115" i="1" s="1"/>
  <c r="AI115" i="1"/>
  <c r="AJ115" i="1" s="1"/>
  <c r="AG115" i="1"/>
  <c r="AH115" i="1" s="1"/>
  <c r="BA115" i="1" s="1"/>
  <c r="AD115" i="1"/>
  <c r="BP114" i="1"/>
  <c r="BM114" i="1"/>
  <c r="BH114" i="1"/>
  <c r="AY114" i="1"/>
  <c r="AZ114" i="1" s="1"/>
  <c r="AX114" i="1"/>
  <c r="BE114" i="1" s="1"/>
  <c r="AW114" i="1"/>
  <c r="AV114" i="1"/>
  <c r="AU114" i="1"/>
  <c r="AT114" i="1"/>
  <c r="AS114" i="1"/>
  <c r="AQ114" i="1"/>
  <c r="AR114" i="1" s="1"/>
  <c r="AP114" i="1"/>
  <c r="AO114" i="1"/>
  <c r="AN114" i="1"/>
  <c r="AM114" i="1"/>
  <c r="AK114" i="1"/>
  <c r="AL114" i="1" s="1"/>
  <c r="BB114" i="1" s="1"/>
  <c r="AI114" i="1"/>
  <c r="AJ114" i="1" s="1"/>
  <c r="AH114" i="1"/>
  <c r="AG114" i="1"/>
  <c r="AD114" i="1"/>
  <c r="BP113" i="1"/>
  <c r="BM113" i="1"/>
  <c r="BH113" i="1"/>
  <c r="AY113" i="1"/>
  <c r="AZ113" i="1" s="1"/>
  <c r="AW113" i="1"/>
  <c r="AX113" i="1" s="1"/>
  <c r="AU113" i="1"/>
  <c r="AV113" i="1" s="1"/>
  <c r="AS113" i="1"/>
  <c r="AT113" i="1" s="1"/>
  <c r="BD113" i="1" s="1"/>
  <c r="AQ113" i="1"/>
  <c r="AR113" i="1" s="1"/>
  <c r="AO113" i="1"/>
  <c r="AP113" i="1" s="1"/>
  <c r="AM113" i="1"/>
  <c r="AN113" i="1" s="1"/>
  <c r="AK113" i="1"/>
  <c r="AL113" i="1" s="1"/>
  <c r="AI113" i="1"/>
  <c r="AJ113" i="1" s="1"/>
  <c r="AG113" i="1"/>
  <c r="AH113" i="1" s="1"/>
  <c r="AD113" i="1"/>
  <c r="BP112" i="1"/>
  <c r="BM112" i="1"/>
  <c r="BH112" i="1"/>
  <c r="AY112" i="1"/>
  <c r="AZ112" i="1" s="1"/>
  <c r="AX112" i="1"/>
  <c r="AW112" i="1"/>
  <c r="AU112" i="1"/>
  <c r="AV112" i="1" s="1"/>
  <c r="AS112" i="1"/>
  <c r="AT112" i="1" s="1"/>
  <c r="BD112" i="1" s="1"/>
  <c r="AR112" i="1"/>
  <c r="BC112" i="1" s="1"/>
  <c r="AQ112" i="1"/>
  <c r="AP112" i="1"/>
  <c r="AO112" i="1"/>
  <c r="AM112" i="1"/>
  <c r="AN112" i="1" s="1"/>
  <c r="AK112" i="1"/>
  <c r="AL112" i="1" s="1"/>
  <c r="BB112" i="1" s="1"/>
  <c r="AJ112" i="1"/>
  <c r="AI112" i="1"/>
  <c r="AH112" i="1"/>
  <c r="BA112" i="1" s="1"/>
  <c r="AG112" i="1"/>
  <c r="AD112" i="1"/>
  <c r="BP111" i="1"/>
  <c r="BM111" i="1"/>
  <c r="BH111" i="1"/>
  <c r="AY111" i="1"/>
  <c r="AZ111" i="1" s="1"/>
  <c r="AW111" i="1"/>
  <c r="AX111" i="1" s="1"/>
  <c r="AV111" i="1"/>
  <c r="AU111" i="1"/>
  <c r="AS111" i="1"/>
  <c r="AT111" i="1" s="1"/>
  <c r="BD111" i="1" s="1"/>
  <c r="AQ111" i="1"/>
  <c r="AR111" i="1" s="1"/>
  <c r="AP111" i="1"/>
  <c r="AO111" i="1"/>
  <c r="AN111" i="1"/>
  <c r="AM111" i="1"/>
  <c r="AK111" i="1"/>
  <c r="AL111" i="1" s="1"/>
  <c r="BB111" i="1" s="1"/>
  <c r="AI111" i="1"/>
  <c r="AJ111" i="1" s="1"/>
  <c r="AH111" i="1"/>
  <c r="AG111" i="1"/>
  <c r="AD111" i="1"/>
  <c r="BP110" i="1"/>
  <c r="BM110" i="1"/>
  <c r="BH110" i="1"/>
  <c r="AY110" i="1"/>
  <c r="AZ110" i="1" s="1"/>
  <c r="AX110" i="1"/>
  <c r="BE110" i="1" s="1"/>
  <c r="AW110" i="1"/>
  <c r="AV110" i="1"/>
  <c r="AU110" i="1"/>
  <c r="AS110" i="1"/>
  <c r="AT110" i="1" s="1"/>
  <c r="AQ110" i="1"/>
  <c r="AR110" i="1" s="1"/>
  <c r="AP110" i="1"/>
  <c r="BC110" i="1" s="1"/>
  <c r="AO110" i="1"/>
  <c r="AM110" i="1"/>
  <c r="AN110" i="1" s="1"/>
  <c r="AK110" i="1"/>
  <c r="AL110" i="1" s="1"/>
  <c r="AI110" i="1"/>
  <c r="AJ110" i="1" s="1"/>
  <c r="AH110" i="1"/>
  <c r="AG110" i="1"/>
  <c r="AD110" i="1"/>
  <c r="BH109" i="1"/>
  <c r="BC109" i="1"/>
  <c r="AZ109" i="1"/>
  <c r="AY109" i="1"/>
  <c r="AW109" i="1"/>
  <c r="AX109" i="1" s="1"/>
  <c r="BE109" i="1" s="1"/>
  <c r="AU109" i="1"/>
  <c r="AV109" i="1" s="1"/>
  <c r="AT109" i="1"/>
  <c r="BD109" i="1" s="1"/>
  <c r="AS109" i="1"/>
  <c r="AQ109" i="1"/>
  <c r="AO109" i="1"/>
  <c r="AM109" i="1"/>
  <c r="AL109" i="1"/>
  <c r="BB109" i="1" s="1"/>
  <c r="AK109" i="1"/>
  <c r="AJ109" i="1"/>
  <c r="AI109" i="1"/>
  <c r="AG109" i="1"/>
  <c r="AH109" i="1" s="1"/>
  <c r="AD109" i="1"/>
  <c r="BP108" i="1"/>
  <c r="BM108" i="1"/>
  <c r="BH108" i="1"/>
  <c r="AZ108" i="1"/>
  <c r="AY108" i="1"/>
  <c r="AW108" i="1"/>
  <c r="AX108" i="1" s="1"/>
  <c r="BE108" i="1" s="1"/>
  <c r="AU108" i="1"/>
  <c r="AV108" i="1" s="1"/>
  <c r="AS108" i="1"/>
  <c r="AT108" i="1" s="1"/>
  <c r="AQ108" i="1"/>
  <c r="AR108" i="1" s="1"/>
  <c r="AP108" i="1"/>
  <c r="AO108" i="1"/>
  <c r="AM108" i="1"/>
  <c r="AN108" i="1" s="1"/>
  <c r="AK108" i="1"/>
  <c r="AL108" i="1" s="1"/>
  <c r="AJ108" i="1"/>
  <c r="AI108" i="1"/>
  <c r="AG108" i="1"/>
  <c r="AH108" i="1" s="1"/>
  <c r="BA108" i="1" s="1"/>
  <c r="AD108" i="1"/>
  <c r="BP107" i="1"/>
  <c r="BM107" i="1"/>
  <c r="BH107" i="1"/>
  <c r="AY107" i="1"/>
  <c r="AZ107" i="1" s="1"/>
  <c r="AW107" i="1"/>
  <c r="AX107" i="1" s="1"/>
  <c r="AU107" i="1"/>
  <c r="AV107" i="1" s="1"/>
  <c r="AS107" i="1"/>
  <c r="AT107" i="1" s="1"/>
  <c r="AQ107" i="1"/>
  <c r="AR107" i="1" s="1"/>
  <c r="AP107" i="1"/>
  <c r="AO107" i="1"/>
  <c r="AN107" i="1"/>
  <c r="AM107" i="1"/>
  <c r="AK107" i="1"/>
  <c r="AL107" i="1" s="1"/>
  <c r="BB107" i="1" s="1"/>
  <c r="AI107" i="1"/>
  <c r="AJ107" i="1" s="1"/>
  <c r="AG107" i="1"/>
  <c r="AH107" i="1" s="1"/>
  <c r="AD107" i="1"/>
  <c r="BP106" i="1"/>
  <c r="BM106" i="1"/>
  <c r="BH106" i="1"/>
  <c r="AY106" i="1"/>
  <c r="AZ106" i="1" s="1"/>
  <c r="AW106" i="1"/>
  <c r="AX106" i="1" s="1"/>
  <c r="AV106" i="1"/>
  <c r="AU106" i="1"/>
  <c r="AS106" i="1"/>
  <c r="AT106" i="1" s="1"/>
  <c r="BD106" i="1" s="1"/>
  <c r="AQ106" i="1"/>
  <c r="AR106" i="1" s="1"/>
  <c r="AO106" i="1"/>
  <c r="AP106" i="1" s="1"/>
  <c r="AM106" i="1"/>
  <c r="AN106" i="1" s="1"/>
  <c r="AK106" i="1"/>
  <c r="AL106" i="1" s="1"/>
  <c r="AI106" i="1"/>
  <c r="AJ106" i="1" s="1"/>
  <c r="AG106" i="1"/>
  <c r="AH106" i="1" s="1"/>
  <c r="AD106" i="1"/>
  <c r="BP105" i="1"/>
  <c r="BM105" i="1"/>
  <c r="BH105" i="1"/>
  <c r="AY105" i="1"/>
  <c r="AZ105" i="1" s="1"/>
  <c r="AW105" i="1"/>
  <c r="AX105" i="1" s="1"/>
  <c r="BE105" i="1" s="1"/>
  <c r="AU105" i="1"/>
  <c r="AV105" i="1" s="1"/>
  <c r="AS105" i="1"/>
  <c r="AT105" i="1" s="1"/>
  <c r="AR105" i="1"/>
  <c r="AQ105" i="1"/>
  <c r="AO105" i="1"/>
  <c r="AP105" i="1" s="1"/>
  <c r="AM105" i="1"/>
  <c r="AN105" i="1" s="1"/>
  <c r="AK105" i="1"/>
  <c r="AL105" i="1" s="1"/>
  <c r="AJ105" i="1"/>
  <c r="AI105" i="1"/>
  <c r="AG105" i="1"/>
  <c r="AH105" i="1" s="1"/>
  <c r="AD105" i="1"/>
  <c r="BP104" i="1"/>
  <c r="BM104" i="1"/>
  <c r="BH104" i="1"/>
  <c r="AZ104" i="1"/>
  <c r="AY104" i="1"/>
  <c r="AX104" i="1"/>
  <c r="AW104" i="1"/>
  <c r="AU104" i="1"/>
  <c r="AV104" i="1" s="1"/>
  <c r="AS104" i="1"/>
  <c r="AT104" i="1" s="1"/>
  <c r="BD104" i="1" s="1"/>
  <c r="AR104" i="1"/>
  <c r="AQ104" i="1"/>
  <c r="AP104" i="1"/>
  <c r="BC104" i="1" s="1"/>
  <c r="AO104" i="1"/>
  <c r="AM104" i="1"/>
  <c r="AN104" i="1" s="1"/>
  <c r="AK104" i="1"/>
  <c r="AL104" i="1" s="1"/>
  <c r="AJ104" i="1"/>
  <c r="AI104" i="1"/>
  <c r="AG104" i="1"/>
  <c r="AH104" i="1" s="1"/>
  <c r="BA104" i="1" s="1"/>
  <c r="AD104" i="1"/>
  <c r="BP103" i="1"/>
  <c r="BM103" i="1"/>
  <c r="BH103" i="1"/>
  <c r="AY103" i="1"/>
  <c r="AZ103" i="1" s="1"/>
  <c r="AW103" i="1"/>
  <c r="AX103" i="1" s="1"/>
  <c r="BE103" i="1" s="1"/>
  <c r="AV103" i="1"/>
  <c r="AU103" i="1"/>
  <c r="AS103" i="1"/>
  <c r="AT103" i="1" s="1"/>
  <c r="AQ103" i="1"/>
  <c r="AR103" i="1" s="1"/>
  <c r="AO103" i="1"/>
  <c r="AP103" i="1" s="1"/>
  <c r="BC103" i="1" s="1"/>
  <c r="AN103" i="1"/>
  <c r="AM103" i="1"/>
  <c r="AK103" i="1"/>
  <c r="AL103" i="1" s="1"/>
  <c r="AI103" i="1"/>
  <c r="AJ103" i="1" s="1"/>
  <c r="AG103" i="1"/>
  <c r="AH103" i="1" s="1"/>
  <c r="AD103" i="1"/>
  <c r="BP102" i="1"/>
  <c r="BM102" i="1"/>
  <c r="BH102" i="1"/>
  <c r="AY102" i="1"/>
  <c r="AZ102" i="1" s="1"/>
  <c r="AW102" i="1"/>
  <c r="AX102" i="1" s="1"/>
  <c r="BE102" i="1" s="1"/>
  <c r="AV102" i="1"/>
  <c r="AU102" i="1"/>
  <c r="AS102" i="1"/>
  <c r="AT102" i="1" s="1"/>
  <c r="BD102" i="1" s="1"/>
  <c r="AQ102" i="1"/>
  <c r="AR102" i="1" s="1"/>
  <c r="AO102" i="1"/>
  <c r="AP102" i="1" s="1"/>
  <c r="BC102" i="1" s="1"/>
  <c r="AN102" i="1"/>
  <c r="AM102" i="1"/>
  <c r="AK102" i="1"/>
  <c r="AL102" i="1" s="1"/>
  <c r="BB102" i="1" s="1"/>
  <c r="AI102" i="1"/>
  <c r="AJ102" i="1" s="1"/>
  <c r="AG102" i="1"/>
  <c r="AH102" i="1" s="1"/>
  <c r="BA102" i="1" s="1"/>
  <c r="AD102" i="1"/>
  <c r="BP101" i="1"/>
  <c r="BM101" i="1"/>
  <c r="BH101" i="1"/>
  <c r="AY101" i="1"/>
  <c r="AZ101" i="1" s="1"/>
  <c r="AW101" i="1"/>
  <c r="AX101" i="1" s="1"/>
  <c r="AU101" i="1"/>
  <c r="AV101" i="1" s="1"/>
  <c r="AS101" i="1"/>
  <c r="AT101" i="1" s="1"/>
  <c r="BD101" i="1" s="1"/>
  <c r="AQ101" i="1"/>
  <c r="AR101" i="1" s="1"/>
  <c r="AO101" i="1"/>
  <c r="AP101" i="1" s="1"/>
  <c r="AM101" i="1"/>
  <c r="AN101" i="1" s="1"/>
  <c r="AK101" i="1"/>
  <c r="AL101" i="1" s="1"/>
  <c r="BB101" i="1" s="1"/>
  <c r="AI101" i="1"/>
  <c r="AJ101" i="1" s="1"/>
  <c r="AG101" i="1"/>
  <c r="AH101" i="1" s="1"/>
  <c r="AD101" i="1"/>
  <c r="BP100" i="1"/>
  <c r="BM100" i="1"/>
  <c r="BH100" i="1"/>
  <c r="AZ100" i="1"/>
  <c r="AY100" i="1"/>
  <c r="AW100" i="1"/>
  <c r="AX100" i="1" s="1"/>
  <c r="BE100" i="1" s="1"/>
  <c r="AU100" i="1"/>
  <c r="AV100" i="1" s="1"/>
  <c r="AS100" i="1"/>
  <c r="AT100" i="1" s="1"/>
  <c r="AR100" i="1"/>
  <c r="AQ100" i="1"/>
  <c r="AO100" i="1"/>
  <c r="AP100" i="1" s="1"/>
  <c r="BC100" i="1" s="1"/>
  <c r="AM100" i="1"/>
  <c r="AN100" i="1" s="1"/>
  <c r="AK100" i="1"/>
  <c r="AL100" i="1" s="1"/>
  <c r="BB100" i="1" s="1"/>
  <c r="AJ100" i="1"/>
  <c r="AI100" i="1"/>
  <c r="AG100" i="1"/>
  <c r="AH100" i="1" s="1"/>
  <c r="BA100" i="1" s="1"/>
  <c r="AD100" i="1"/>
  <c r="BP99" i="1"/>
  <c r="BM99" i="1"/>
  <c r="BH99" i="1"/>
  <c r="AY99" i="1"/>
  <c r="AZ99" i="1" s="1"/>
  <c r="AW99" i="1"/>
  <c r="AX99" i="1" s="1"/>
  <c r="AU99" i="1"/>
  <c r="AV99" i="1" s="1"/>
  <c r="AS99" i="1"/>
  <c r="AT99" i="1" s="1"/>
  <c r="AQ99" i="1"/>
  <c r="AR99" i="1" s="1"/>
  <c r="AP99" i="1"/>
  <c r="BC99" i="1" s="1"/>
  <c r="AO99" i="1"/>
  <c r="AN99" i="1"/>
  <c r="AM99" i="1"/>
  <c r="AK99" i="1"/>
  <c r="AL99" i="1" s="1"/>
  <c r="AI99" i="1"/>
  <c r="AJ99" i="1" s="1"/>
  <c r="AG99" i="1"/>
  <c r="AH99" i="1" s="1"/>
  <c r="AD99" i="1"/>
  <c r="BP98" i="1"/>
  <c r="BM98" i="1"/>
  <c r="BH98" i="1"/>
  <c r="AY98" i="1"/>
  <c r="AZ98" i="1" s="1"/>
  <c r="AW98" i="1"/>
  <c r="AX98" i="1" s="1"/>
  <c r="AV98" i="1"/>
  <c r="AU98" i="1"/>
  <c r="AT98" i="1"/>
  <c r="AS98" i="1"/>
  <c r="AQ98" i="1"/>
  <c r="AR98" i="1" s="1"/>
  <c r="AO98" i="1"/>
  <c r="AP98" i="1" s="1"/>
  <c r="BC98" i="1" s="1"/>
  <c r="AM98" i="1"/>
  <c r="AN98" i="1" s="1"/>
  <c r="AK98" i="1"/>
  <c r="AL98" i="1" s="1"/>
  <c r="BB98" i="1" s="1"/>
  <c r="AI98" i="1"/>
  <c r="AJ98" i="1" s="1"/>
  <c r="AG98" i="1"/>
  <c r="AH98" i="1" s="1"/>
  <c r="AD98" i="1"/>
  <c r="BP97" i="1"/>
  <c r="BM97" i="1"/>
  <c r="BH97" i="1"/>
  <c r="AZ97" i="1"/>
  <c r="AY97" i="1"/>
  <c r="AW97" i="1"/>
  <c r="AX97" i="1" s="1"/>
  <c r="BE97" i="1" s="1"/>
  <c r="AU97" i="1"/>
  <c r="AV97" i="1" s="1"/>
  <c r="AS97" i="1"/>
  <c r="AT97" i="1" s="1"/>
  <c r="BD97" i="1" s="1"/>
  <c r="AQ97" i="1"/>
  <c r="AR97" i="1" s="1"/>
  <c r="AO97" i="1"/>
  <c r="AP97" i="1" s="1"/>
  <c r="AM97" i="1"/>
  <c r="AN97" i="1" s="1"/>
  <c r="AL97" i="1"/>
  <c r="AK97" i="1"/>
  <c r="AJ97" i="1"/>
  <c r="AI97" i="1"/>
  <c r="AG97" i="1"/>
  <c r="AH97" i="1" s="1"/>
  <c r="BA97" i="1" s="1"/>
  <c r="AD97" i="1"/>
  <c r="BP96" i="1"/>
  <c r="BM96" i="1"/>
  <c r="BH96" i="1"/>
  <c r="AZ96" i="1"/>
  <c r="AY96" i="1"/>
  <c r="AX96" i="1"/>
  <c r="AW96" i="1"/>
  <c r="AU96" i="1"/>
  <c r="AV96" i="1" s="1"/>
  <c r="AS96" i="1"/>
  <c r="AT96" i="1" s="1"/>
  <c r="AQ96" i="1"/>
  <c r="AR96" i="1" s="1"/>
  <c r="AO96" i="1"/>
  <c r="AP96" i="1" s="1"/>
  <c r="BC96" i="1" s="1"/>
  <c r="AM96" i="1"/>
  <c r="AN96" i="1" s="1"/>
  <c r="AK96" i="1"/>
  <c r="AL96" i="1" s="1"/>
  <c r="AJ96" i="1"/>
  <c r="AI96" i="1"/>
  <c r="AH96" i="1"/>
  <c r="AG96" i="1"/>
  <c r="AD96" i="1"/>
  <c r="BP95" i="1"/>
  <c r="BM95" i="1"/>
  <c r="BH95" i="1"/>
  <c r="AY95" i="1"/>
  <c r="AZ95" i="1" s="1"/>
  <c r="AW95" i="1"/>
  <c r="AX95" i="1" s="1"/>
  <c r="BE95" i="1" s="1"/>
  <c r="AU95" i="1"/>
  <c r="AV95" i="1" s="1"/>
  <c r="BD95" i="1" s="1"/>
  <c r="AS95" i="1"/>
  <c r="AT95" i="1" s="1"/>
  <c r="AQ95" i="1"/>
  <c r="AR95" i="1" s="1"/>
  <c r="AO95" i="1"/>
  <c r="AP95" i="1" s="1"/>
  <c r="AM95" i="1"/>
  <c r="AN95" i="1" s="1"/>
  <c r="AK95" i="1"/>
  <c r="AL95" i="1" s="1"/>
  <c r="AI95" i="1"/>
  <c r="AJ95" i="1" s="1"/>
  <c r="AG95" i="1"/>
  <c r="AH95" i="1" s="1"/>
  <c r="AD95" i="1"/>
  <c r="BP94" i="1"/>
  <c r="BM94" i="1"/>
  <c r="BH94" i="1"/>
  <c r="AY94" i="1"/>
  <c r="AW94" i="1"/>
  <c r="AX94" i="1" s="1"/>
  <c r="AU94" i="1"/>
  <c r="AS94" i="1"/>
  <c r="AT94" i="1" s="1"/>
  <c r="AQ94" i="1"/>
  <c r="AR94" i="1" s="1"/>
  <c r="AO94" i="1"/>
  <c r="AM94" i="1"/>
  <c r="AK94" i="1"/>
  <c r="AL94" i="1" s="1"/>
  <c r="AI94" i="1"/>
  <c r="AJ94" i="1" s="1"/>
  <c r="AG94" i="1"/>
  <c r="AH94" i="1" s="1"/>
  <c r="AF94" i="1"/>
  <c r="AD94" i="1"/>
  <c r="BP93" i="1"/>
  <c r="BM93" i="1"/>
  <c r="BH93" i="1"/>
  <c r="AY93" i="1"/>
  <c r="AZ93" i="1" s="1"/>
  <c r="AW93" i="1"/>
  <c r="AX93" i="1" s="1"/>
  <c r="BE93" i="1" s="1"/>
  <c r="AV93" i="1"/>
  <c r="AU93" i="1"/>
  <c r="AS93" i="1"/>
  <c r="AT93" i="1" s="1"/>
  <c r="AQ93" i="1"/>
  <c r="AR93" i="1" s="1"/>
  <c r="AO93" i="1"/>
  <c r="AP93" i="1" s="1"/>
  <c r="AN93" i="1"/>
  <c r="AM93" i="1"/>
  <c r="AK93" i="1"/>
  <c r="AL93" i="1" s="1"/>
  <c r="BB93" i="1" s="1"/>
  <c r="AI93" i="1"/>
  <c r="AJ93" i="1" s="1"/>
  <c r="AH93" i="1"/>
  <c r="AG93" i="1"/>
  <c r="AD93" i="1"/>
  <c r="BP92" i="1"/>
  <c r="BM92" i="1"/>
  <c r="BH92" i="1"/>
  <c r="AY92" i="1"/>
  <c r="AZ92" i="1" s="1"/>
  <c r="AW92" i="1"/>
  <c r="AX92" i="1" s="1"/>
  <c r="AU92" i="1"/>
  <c r="AV92" i="1" s="1"/>
  <c r="AT92" i="1"/>
  <c r="BD92" i="1" s="1"/>
  <c r="AS92" i="1"/>
  <c r="AQ92" i="1"/>
  <c r="AR92" i="1" s="1"/>
  <c r="AO92" i="1"/>
  <c r="AP92" i="1" s="1"/>
  <c r="BC92" i="1" s="1"/>
  <c r="AM92" i="1"/>
  <c r="AN92" i="1" s="1"/>
  <c r="AL92" i="1"/>
  <c r="AK92" i="1"/>
  <c r="AI92" i="1"/>
  <c r="AJ92" i="1" s="1"/>
  <c r="AG92" i="1"/>
  <c r="AH92" i="1" s="1"/>
  <c r="AD92" i="1"/>
  <c r="BP91" i="1"/>
  <c r="BM91" i="1"/>
  <c r="BH91" i="1"/>
  <c r="AZ91" i="1"/>
  <c r="BE91" i="1" s="1"/>
  <c r="AY91" i="1"/>
  <c r="AW91" i="1"/>
  <c r="AX91" i="1" s="1"/>
  <c r="AV91" i="1"/>
  <c r="AU91" i="1"/>
  <c r="AT91" i="1"/>
  <c r="BD91" i="1" s="1"/>
  <c r="AS91" i="1"/>
  <c r="AR91" i="1"/>
  <c r="AQ91" i="1"/>
  <c r="AO91" i="1"/>
  <c r="AP91" i="1" s="1"/>
  <c r="BC91" i="1" s="1"/>
  <c r="AM91" i="1"/>
  <c r="AN91" i="1" s="1"/>
  <c r="AL91" i="1"/>
  <c r="BB91" i="1" s="1"/>
  <c r="AK91" i="1"/>
  <c r="AI91" i="1"/>
  <c r="AJ91" i="1" s="1"/>
  <c r="AG91" i="1"/>
  <c r="AH91" i="1" s="1"/>
  <c r="AD91" i="1"/>
  <c r="BH90" i="1"/>
  <c r="BC90" i="1"/>
  <c r="AY90" i="1"/>
  <c r="AZ90" i="1" s="1"/>
  <c r="AW90" i="1"/>
  <c r="AX90" i="1" s="1"/>
  <c r="AU90" i="1"/>
  <c r="AV90" i="1" s="1"/>
  <c r="AT90" i="1"/>
  <c r="AS90" i="1"/>
  <c r="AM90" i="1"/>
  <c r="AL90" i="1"/>
  <c r="BB90" i="1" s="1"/>
  <c r="AK90" i="1"/>
  <c r="AJ90" i="1"/>
  <c r="AI90" i="1"/>
  <c r="AH90" i="1"/>
  <c r="AG90" i="1"/>
  <c r="AD90" i="1"/>
  <c r="BP89" i="1"/>
  <c r="BM89" i="1"/>
  <c r="BH89" i="1"/>
  <c r="AY89" i="1"/>
  <c r="AZ89" i="1" s="1"/>
  <c r="AW89" i="1"/>
  <c r="AX89" i="1" s="1"/>
  <c r="BE89" i="1" s="1"/>
  <c r="AV89" i="1"/>
  <c r="AU89" i="1"/>
  <c r="AS89" i="1"/>
  <c r="AT89" i="1" s="1"/>
  <c r="AQ89" i="1"/>
  <c r="AR89" i="1" s="1"/>
  <c r="AO89" i="1"/>
  <c r="AP89" i="1" s="1"/>
  <c r="BC89" i="1" s="1"/>
  <c r="AN89" i="1"/>
  <c r="AM89" i="1"/>
  <c r="AK89" i="1"/>
  <c r="AL89" i="1" s="1"/>
  <c r="BB89" i="1" s="1"/>
  <c r="AI89" i="1"/>
  <c r="AJ89" i="1" s="1"/>
  <c r="AH89" i="1"/>
  <c r="AG89" i="1"/>
  <c r="AD89" i="1"/>
  <c r="BP88" i="1"/>
  <c r="BM88" i="1"/>
  <c r="BH88" i="1"/>
  <c r="AY88" i="1"/>
  <c r="AZ88" i="1" s="1"/>
  <c r="AW88" i="1"/>
  <c r="AX88" i="1" s="1"/>
  <c r="AU88" i="1"/>
  <c r="AV88" i="1" s="1"/>
  <c r="AT88" i="1"/>
  <c r="AS88" i="1"/>
  <c r="AQ88" i="1"/>
  <c r="AR88" i="1" s="1"/>
  <c r="AO88" i="1"/>
  <c r="AP88" i="1" s="1"/>
  <c r="BC88" i="1" s="1"/>
  <c r="AM88" i="1"/>
  <c r="AN88" i="1" s="1"/>
  <c r="AK88" i="1"/>
  <c r="AL88" i="1" s="1"/>
  <c r="AI88" i="1"/>
  <c r="AJ88" i="1" s="1"/>
  <c r="AG88" i="1"/>
  <c r="AH88" i="1" s="1"/>
  <c r="AD88" i="1"/>
  <c r="BH87" i="1"/>
  <c r="BC87" i="1"/>
  <c r="AY87" i="1"/>
  <c r="AZ87" i="1" s="1"/>
  <c r="AW87" i="1"/>
  <c r="AX87" i="1" s="1"/>
  <c r="AU87" i="1"/>
  <c r="AV87" i="1" s="1"/>
  <c r="AS87" i="1"/>
  <c r="AT87" i="1" s="1"/>
  <c r="AM87" i="1"/>
  <c r="AK87" i="1"/>
  <c r="AL87" i="1" s="1"/>
  <c r="BB87" i="1" s="1"/>
  <c r="AI87" i="1"/>
  <c r="AJ87" i="1" s="1"/>
  <c r="AH87" i="1"/>
  <c r="AG87" i="1"/>
  <c r="BP86" i="1"/>
  <c r="BM86" i="1"/>
  <c r="BH86" i="1"/>
  <c r="AZ86" i="1"/>
  <c r="AY86" i="1"/>
  <c r="AW86" i="1"/>
  <c r="AX86" i="1" s="1"/>
  <c r="BE86" i="1" s="1"/>
  <c r="AU86" i="1"/>
  <c r="AV86" i="1" s="1"/>
  <c r="AS86" i="1"/>
  <c r="AT86" i="1" s="1"/>
  <c r="AQ86" i="1"/>
  <c r="AR86" i="1" s="1"/>
  <c r="AO86" i="1"/>
  <c r="AP86" i="1" s="1"/>
  <c r="BC86" i="1" s="1"/>
  <c r="AM86" i="1"/>
  <c r="AN86" i="1" s="1"/>
  <c r="AK86" i="1"/>
  <c r="AL86" i="1" s="1"/>
  <c r="AI86" i="1"/>
  <c r="AJ86" i="1" s="1"/>
  <c r="AG86" i="1"/>
  <c r="AH86" i="1" s="1"/>
  <c r="AD86" i="1"/>
  <c r="BP85" i="1"/>
  <c r="BM85" i="1"/>
  <c r="BH85" i="1"/>
  <c r="AY85" i="1"/>
  <c r="AZ85" i="1" s="1"/>
  <c r="AX85" i="1"/>
  <c r="BE85" i="1" s="1"/>
  <c r="AW85" i="1"/>
  <c r="AU85" i="1"/>
  <c r="AV85" i="1" s="1"/>
  <c r="BD85" i="1" s="1"/>
  <c r="AS85" i="1"/>
  <c r="AT85" i="1" s="1"/>
  <c r="AQ85" i="1"/>
  <c r="AR85" i="1" s="1"/>
  <c r="AO85" i="1"/>
  <c r="AP85" i="1" s="1"/>
  <c r="BC85" i="1" s="1"/>
  <c r="AN85" i="1"/>
  <c r="AM85" i="1"/>
  <c r="AK85" i="1"/>
  <c r="AL85" i="1" s="1"/>
  <c r="BB85" i="1" s="1"/>
  <c r="AI85" i="1"/>
  <c r="AJ85" i="1" s="1"/>
  <c r="AG85" i="1"/>
  <c r="AH85" i="1" s="1"/>
  <c r="AD85" i="1"/>
  <c r="BP84" i="1"/>
  <c r="BM84" i="1"/>
  <c r="BH84" i="1"/>
  <c r="AY84" i="1"/>
  <c r="AZ84" i="1" s="1"/>
  <c r="AW84" i="1"/>
  <c r="AX84" i="1" s="1"/>
  <c r="AU84" i="1"/>
  <c r="AV84" i="1" s="1"/>
  <c r="AS84" i="1"/>
  <c r="AT84" i="1" s="1"/>
  <c r="AR84" i="1"/>
  <c r="AQ84" i="1"/>
  <c r="AO84" i="1"/>
  <c r="AP84" i="1" s="1"/>
  <c r="BC84" i="1" s="1"/>
  <c r="AN84" i="1"/>
  <c r="AM84" i="1"/>
  <c r="AK84" i="1"/>
  <c r="AL84" i="1" s="1"/>
  <c r="BB84" i="1" s="1"/>
  <c r="AI84" i="1"/>
  <c r="AJ84" i="1" s="1"/>
  <c r="AG84" i="1"/>
  <c r="AH84" i="1" s="1"/>
  <c r="AD84" i="1"/>
  <c r="BP83" i="1"/>
  <c r="BM83" i="1"/>
  <c r="BH83" i="1"/>
  <c r="AZ83" i="1"/>
  <c r="AY83" i="1"/>
  <c r="AX83" i="1"/>
  <c r="AW83" i="1"/>
  <c r="AU83" i="1"/>
  <c r="AV83" i="1" s="1"/>
  <c r="AS83" i="1"/>
  <c r="AT83" i="1" s="1"/>
  <c r="BD83" i="1" s="1"/>
  <c r="AR83" i="1"/>
  <c r="AQ83" i="1"/>
  <c r="AO83" i="1"/>
  <c r="AP83" i="1" s="1"/>
  <c r="BC83" i="1" s="1"/>
  <c r="AM83" i="1"/>
  <c r="AN83" i="1" s="1"/>
  <c r="AL83" i="1"/>
  <c r="AK83" i="1"/>
  <c r="AJ83" i="1"/>
  <c r="AI83" i="1"/>
  <c r="AG83" i="1"/>
  <c r="AH83" i="1" s="1"/>
  <c r="BA83" i="1" s="1"/>
  <c r="AD83" i="1"/>
  <c r="BP82" i="1"/>
  <c r="BM82" i="1"/>
  <c r="BH82" i="1"/>
  <c r="AZ82" i="1"/>
  <c r="AY82" i="1"/>
  <c r="AX82" i="1"/>
  <c r="BE82" i="1" s="1"/>
  <c r="AW82" i="1"/>
  <c r="AV82" i="1"/>
  <c r="AU82" i="1"/>
  <c r="AS82" i="1"/>
  <c r="AT82" i="1" s="1"/>
  <c r="BD82" i="1" s="1"/>
  <c r="AQ82" i="1"/>
  <c r="AR82" i="1" s="1"/>
  <c r="AP82" i="1"/>
  <c r="AO82" i="1"/>
  <c r="AM82" i="1"/>
  <c r="AN82" i="1" s="1"/>
  <c r="AK82" i="1"/>
  <c r="AL82" i="1" s="1"/>
  <c r="AJ82" i="1"/>
  <c r="AI82" i="1"/>
  <c r="AH82" i="1"/>
  <c r="AG82" i="1"/>
  <c r="AD82" i="1"/>
  <c r="BP81" i="1"/>
  <c r="BM81" i="1"/>
  <c r="BH81" i="1"/>
  <c r="AY81" i="1"/>
  <c r="AZ81" i="1" s="1"/>
  <c r="AX81" i="1"/>
  <c r="BE81" i="1" s="1"/>
  <c r="AW81" i="1"/>
  <c r="AV81" i="1"/>
  <c r="AU81" i="1"/>
  <c r="AS81" i="1"/>
  <c r="AT81" i="1" s="1"/>
  <c r="AQ81" i="1"/>
  <c r="AR81" i="1" s="1"/>
  <c r="AP81" i="1"/>
  <c r="BC81" i="1" s="1"/>
  <c r="AO81" i="1"/>
  <c r="AM81" i="1"/>
  <c r="AN81" i="1" s="1"/>
  <c r="BB81" i="1" s="1"/>
  <c r="AK81" i="1"/>
  <c r="AL81" i="1" s="1"/>
  <c r="AI81" i="1"/>
  <c r="AJ81" i="1" s="1"/>
  <c r="AG81" i="1"/>
  <c r="AH81" i="1" s="1"/>
  <c r="BA81" i="1" s="1"/>
  <c r="AD81" i="1"/>
  <c r="BP80" i="1"/>
  <c r="BM80" i="1"/>
  <c r="BH80" i="1"/>
  <c r="AY80" i="1"/>
  <c r="AZ80" i="1" s="1"/>
  <c r="AW80" i="1"/>
  <c r="AX80" i="1" s="1"/>
  <c r="AV80" i="1"/>
  <c r="AU80" i="1"/>
  <c r="AS80" i="1"/>
  <c r="AT80" i="1" s="1"/>
  <c r="BD80" i="1" s="1"/>
  <c r="AQ80" i="1"/>
  <c r="AR80" i="1" s="1"/>
  <c r="AO80" i="1"/>
  <c r="AP80" i="1" s="1"/>
  <c r="AM80" i="1"/>
  <c r="AN80" i="1" s="1"/>
  <c r="AK80" i="1"/>
  <c r="AL80" i="1" s="1"/>
  <c r="BB80" i="1" s="1"/>
  <c r="AI80" i="1"/>
  <c r="AJ80" i="1" s="1"/>
  <c r="AG80" i="1"/>
  <c r="AH80" i="1" s="1"/>
  <c r="AD80" i="1"/>
  <c r="BP79" i="1"/>
  <c r="BM79" i="1"/>
  <c r="BH79" i="1"/>
  <c r="AY79" i="1"/>
  <c r="AZ79" i="1" s="1"/>
  <c r="AW79" i="1"/>
  <c r="AX79" i="1" s="1"/>
  <c r="BE79" i="1" s="1"/>
  <c r="AU79" i="1"/>
  <c r="AV79" i="1" s="1"/>
  <c r="AS79" i="1"/>
  <c r="AT79" i="1" s="1"/>
  <c r="AR79" i="1"/>
  <c r="AQ79" i="1"/>
  <c r="AO79" i="1"/>
  <c r="AP79" i="1" s="1"/>
  <c r="BC79" i="1" s="1"/>
  <c r="AM79" i="1"/>
  <c r="AN79" i="1" s="1"/>
  <c r="AL79" i="1"/>
  <c r="BB79" i="1" s="1"/>
  <c r="AK79" i="1"/>
  <c r="AJ79" i="1"/>
  <c r="AI79" i="1"/>
  <c r="AG79" i="1"/>
  <c r="AH79" i="1" s="1"/>
  <c r="BA79" i="1" s="1"/>
  <c r="AD79" i="1"/>
  <c r="BP78" i="1"/>
  <c r="BM78" i="1"/>
  <c r="BH78" i="1"/>
  <c r="AY78" i="1"/>
  <c r="AZ78" i="1" s="1"/>
  <c r="AX78" i="1"/>
  <c r="AW78" i="1"/>
  <c r="AU78" i="1"/>
  <c r="AV78" i="1" s="1"/>
  <c r="AS78" i="1"/>
  <c r="AT78" i="1" s="1"/>
  <c r="AR78" i="1"/>
  <c r="AQ78" i="1"/>
  <c r="AO78" i="1"/>
  <c r="AP78" i="1" s="1"/>
  <c r="BC78" i="1" s="1"/>
  <c r="AN78" i="1"/>
  <c r="AM78" i="1"/>
  <c r="AK78" i="1"/>
  <c r="AL78" i="1" s="1"/>
  <c r="AI78" i="1"/>
  <c r="AJ78" i="1" s="1"/>
  <c r="AG78" i="1"/>
  <c r="AH78" i="1" s="1"/>
  <c r="BA78" i="1" s="1"/>
  <c r="AD78" i="1"/>
  <c r="BP77" i="1"/>
  <c r="BM77" i="1"/>
  <c r="BH77" i="1"/>
  <c r="AY77" i="1"/>
  <c r="AZ77" i="1" s="1"/>
  <c r="AW77" i="1"/>
  <c r="AX77" i="1" s="1"/>
  <c r="BE77" i="1" s="1"/>
  <c r="AU77" i="1"/>
  <c r="AV77" i="1" s="1"/>
  <c r="AS77" i="1"/>
  <c r="AT77" i="1" s="1"/>
  <c r="AQ77" i="1"/>
  <c r="AR77" i="1" s="1"/>
  <c r="AO77" i="1"/>
  <c r="AP77" i="1" s="1"/>
  <c r="AM77" i="1"/>
  <c r="AN77" i="1" s="1"/>
  <c r="AK77" i="1"/>
  <c r="AL77" i="1" s="1"/>
  <c r="AI77" i="1"/>
  <c r="AJ77" i="1" s="1"/>
  <c r="AG77" i="1"/>
  <c r="AH77" i="1" s="1"/>
  <c r="BA77" i="1" s="1"/>
  <c r="AD77" i="1"/>
  <c r="BP76" i="1"/>
  <c r="BM76" i="1"/>
  <c r="BH76" i="1"/>
  <c r="AZ76" i="1"/>
  <c r="AY76" i="1"/>
  <c r="AW76" i="1"/>
  <c r="AX76" i="1" s="1"/>
  <c r="AU76" i="1"/>
  <c r="AV76" i="1" s="1"/>
  <c r="AS76" i="1"/>
  <c r="AT76" i="1" s="1"/>
  <c r="AQ76" i="1"/>
  <c r="AR76" i="1" s="1"/>
  <c r="AO76" i="1"/>
  <c r="AP76" i="1" s="1"/>
  <c r="AM76" i="1"/>
  <c r="AN76" i="1" s="1"/>
  <c r="AK76" i="1"/>
  <c r="AL76" i="1" s="1"/>
  <c r="BB76" i="1" s="1"/>
  <c r="AI76" i="1"/>
  <c r="AJ76" i="1" s="1"/>
  <c r="AG76" i="1"/>
  <c r="AH76" i="1" s="1"/>
  <c r="AD76" i="1"/>
  <c r="BP75" i="1"/>
  <c r="BM75" i="1"/>
  <c r="BH75" i="1"/>
  <c r="AY75" i="1"/>
  <c r="AZ75" i="1" s="1"/>
  <c r="BE75" i="1" s="1"/>
  <c r="AW75" i="1"/>
  <c r="AX75" i="1" s="1"/>
  <c r="AU75" i="1"/>
  <c r="AV75" i="1" s="1"/>
  <c r="AT75" i="1"/>
  <c r="BD75" i="1" s="1"/>
  <c r="AS75" i="1"/>
  <c r="AR75" i="1"/>
  <c r="AQ75" i="1"/>
  <c r="AO75" i="1"/>
  <c r="AP75" i="1" s="1"/>
  <c r="BC75" i="1" s="1"/>
  <c r="AM75" i="1"/>
  <c r="AN75" i="1" s="1"/>
  <c r="AL75" i="1"/>
  <c r="AK75" i="1"/>
  <c r="AJ75" i="1"/>
  <c r="AI75" i="1"/>
  <c r="AH75" i="1"/>
  <c r="BA75" i="1" s="1"/>
  <c r="AG75" i="1"/>
  <c r="AD75" i="1"/>
  <c r="BP74" i="1"/>
  <c r="BM74" i="1"/>
  <c r="BH74" i="1"/>
  <c r="AY74" i="1"/>
  <c r="AZ74" i="1" s="1"/>
  <c r="AW74" i="1"/>
  <c r="AX74" i="1" s="1"/>
  <c r="BE74" i="1" s="1"/>
  <c r="AU74" i="1"/>
  <c r="AV74" i="1" s="1"/>
  <c r="AS74" i="1"/>
  <c r="AT74" i="1" s="1"/>
  <c r="AQ74" i="1"/>
  <c r="AR74" i="1" s="1"/>
  <c r="AO74" i="1"/>
  <c r="AP74" i="1" s="1"/>
  <c r="BC74" i="1" s="1"/>
  <c r="AM74" i="1"/>
  <c r="AN74" i="1" s="1"/>
  <c r="AK74" i="1"/>
  <c r="AL74" i="1" s="1"/>
  <c r="AI74" i="1"/>
  <c r="AJ74" i="1" s="1"/>
  <c r="AG74" i="1"/>
  <c r="AH74" i="1" s="1"/>
  <c r="AD74" i="1"/>
  <c r="BP73" i="1"/>
  <c r="BM73" i="1"/>
  <c r="BH73" i="1"/>
  <c r="AY73" i="1"/>
  <c r="AZ73" i="1" s="1"/>
  <c r="AW73" i="1"/>
  <c r="AX73" i="1" s="1"/>
  <c r="AU73" i="1"/>
  <c r="AV73" i="1" s="1"/>
  <c r="AS73" i="1"/>
  <c r="AT73" i="1" s="1"/>
  <c r="BD73" i="1" s="1"/>
  <c r="AQ73" i="1"/>
  <c r="AR73" i="1" s="1"/>
  <c r="AP73" i="1"/>
  <c r="AO73" i="1"/>
  <c r="AN73" i="1"/>
  <c r="AM73" i="1"/>
  <c r="AK73" i="1"/>
  <c r="AL73" i="1" s="1"/>
  <c r="BB73" i="1" s="1"/>
  <c r="AI73" i="1"/>
  <c r="AJ73" i="1" s="1"/>
  <c r="AH73" i="1"/>
  <c r="BA73" i="1" s="1"/>
  <c r="AG73" i="1"/>
  <c r="AD73" i="1"/>
  <c r="BP72" i="1"/>
  <c r="BM72" i="1"/>
  <c r="BH72" i="1"/>
  <c r="AY72" i="1"/>
  <c r="AZ72" i="1" s="1"/>
  <c r="BE72" i="1" s="1"/>
  <c r="AW72" i="1"/>
  <c r="AX72" i="1" s="1"/>
  <c r="AV72" i="1"/>
  <c r="AU72" i="1"/>
  <c r="AT72" i="1"/>
  <c r="AS72" i="1"/>
  <c r="AQ72" i="1"/>
  <c r="AR72" i="1" s="1"/>
  <c r="AO72" i="1"/>
  <c r="AP72" i="1" s="1"/>
  <c r="AM72" i="1"/>
  <c r="AN72" i="1" s="1"/>
  <c r="AL72" i="1"/>
  <c r="AK72" i="1"/>
  <c r="AJ72" i="1"/>
  <c r="AI72" i="1"/>
  <c r="AG72" i="1"/>
  <c r="AH72" i="1" s="1"/>
  <c r="AD72" i="1"/>
  <c r="BP71" i="1"/>
  <c r="BM71" i="1"/>
  <c r="BH71" i="1"/>
  <c r="AY71" i="1"/>
  <c r="AZ71" i="1" s="1"/>
  <c r="AW71" i="1"/>
  <c r="AX71" i="1" s="1"/>
  <c r="AU71" i="1"/>
  <c r="AV71" i="1" s="1"/>
  <c r="AS71" i="1"/>
  <c r="AT71" i="1" s="1"/>
  <c r="BD71" i="1" s="1"/>
  <c r="AQ71" i="1"/>
  <c r="AR71" i="1" s="1"/>
  <c r="BC71" i="1" s="1"/>
  <c r="AO71" i="1"/>
  <c r="AP71" i="1" s="1"/>
  <c r="AM71" i="1"/>
  <c r="AN71" i="1" s="1"/>
  <c r="AL71" i="1"/>
  <c r="BB71" i="1" s="1"/>
  <c r="AK71" i="1"/>
  <c r="AI71" i="1"/>
  <c r="AJ71" i="1" s="1"/>
  <c r="AH71" i="1"/>
  <c r="AG71" i="1"/>
  <c r="AD71" i="1"/>
  <c r="BP70" i="1"/>
  <c r="BM70" i="1"/>
  <c r="BH70" i="1"/>
  <c r="AY70" i="1"/>
  <c r="AZ70" i="1" s="1"/>
  <c r="AW70" i="1"/>
  <c r="AX70" i="1" s="1"/>
  <c r="AU70" i="1"/>
  <c r="AV70" i="1" s="1"/>
  <c r="AS70" i="1"/>
  <c r="AT70" i="1" s="1"/>
  <c r="AR70" i="1"/>
  <c r="AQ70" i="1"/>
  <c r="AO70" i="1"/>
  <c r="AP70" i="1" s="1"/>
  <c r="BC70" i="1" s="1"/>
  <c r="AM70" i="1"/>
  <c r="AN70" i="1" s="1"/>
  <c r="AK70" i="1"/>
  <c r="AL70" i="1" s="1"/>
  <c r="AJ70" i="1"/>
  <c r="AI70" i="1"/>
  <c r="AG70" i="1"/>
  <c r="AH70" i="1" s="1"/>
  <c r="AD70" i="1"/>
  <c r="BP69" i="1"/>
  <c r="BM69" i="1"/>
  <c r="BH69" i="1"/>
  <c r="AY69" i="1"/>
  <c r="AZ69" i="1" s="1"/>
  <c r="AW69" i="1"/>
  <c r="AX69" i="1" s="1"/>
  <c r="BE69" i="1" s="1"/>
  <c r="AU69" i="1"/>
  <c r="AV69" i="1" s="1"/>
  <c r="AS69" i="1"/>
  <c r="AT69" i="1" s="1"/>
  <c r="AQ69" i="1"/>
  <c r="AR69" i="1" s="1"/>
  <c r="AP69" i="1"/>
  <c r="BC69" i="1" s="1"/>
  <c r="AO69" i="1"/>
  <c r="AM69" i="1"/>
  <c r="AN69" i="1" s="1"/>
  <c r="AK69" i="1"/>
  <c r="AL69" i="1" s="1"/>
  <c r="BB69" i="1" s="1"/>
  <c r="AI69" i="1"/>
  <c r="AJ69" i="1" s="1"/>
  <c r="AG69" i="1"/>
  <c r="AH69" i="1" s="1"/>
  <c r="BA69" i="1" s="1"/>
  <c r="AD69" i="1"/>
  <c r="BP68" i="1"/>
  <c r="BM68" i="1"/>
  <c r="BH68" i="1"/>
  <c r="AY68" i="1"/>
  <c r="AZ68" i="1" s="1"/>
  <c r="AW68" i="1"/>
  <c r="AX68" i="1" s="1"/>
  <c r="AU68" i="1"/>
  <c r="AV68" i="1" s="1"/>
  <c r="AS68" i="1"/>
  <c r="AT68" i="1" s="1"/>
  <c r="BD68" i="1" s="1"/>
  <c r="AQ68" i="1"/>
  <c r="AR68" i="1" s="1"/>
  <c r="AO68" i="1"/>
  <c r="AP68" i="1" s="1"/>
  <c r="AM68" i="1"/>
  <c r="AN68" i="1" s="1"/>
  <c r="AK68" i="1"/>
  <c r="AL68" i="1" s="1"/>
  <c r="BB68" i="1" s="1"/>
  <c r="AI68" i="1"/>
  <c r="AJ68" i="1" s="1"/>
  <c r="AG68" i="1"/>
  <c r="AH68" i="1" s="1"/>
  <c r="AD68" i="1"/>
  <c r="BH67" i="1"/>
  <c r="BC67" i="1"/>
  <c r="AY67" i="1"/>
  <c r="AZ67" i="1" s="1"/>
  <c r="AW67" i="1"/>
  <c r="AX67" i="1" s="1"/>
  <c r="BE67" i="1" s="1"/>
  <c r="AU67" i="1"/>
  <c r="AV67" i="1" s="1"/>
  <c r="AS67" i="1"/>
  <c r="AT67" i="1" s="1"/>
  <c r="AM67" i="1"/>
  <c r="AK67" i="1"/>
  <c r="AL67" i="1" s="1"/>
  <c r="BB67" i="1" s="1"/>
  <c r="AI67" i="1"/>
  <c r="AJ67" i="1" s="1"/>
  <c r="AG67" i="1"/>
  <c r="AH67" i="1" s="1"/>
  <c r="AD67" i="1"/>
  <c r="BP66" i="1"/>
  <c r="BM66" i="1"/>
  <c r="BH66" i="1"/>
  <c r="AY66" i="1"/>
  <c r="AZ66" i="1" s="1"/>
  <c r="AW66" i="1"/>
  <c r="AX66" i="1" s="1"/>
  <c r="AU66" i="1"/>
  <c r="AV66" i="1" s="1"/>
  <c r="AS66" i="1"/>
  <c r="AT66" i="1" s="1"/>
  <c r="AQ66" i="1"/>
  <c r="AR66" i="1" s="1"/>
  <c r="AO66" i="1"/>
  <c r="AP66" i="1" s="1"/>
  <c r="AM66" i="1"/>
  <c r="AN66" i="1" s="1"/>
  <c r="AK66" i="1"/>
  <c r="AL66" i="1" s="1"/>
  <c r="AI66" i="1"/>
  <c r="AJ66" i="1" s="1"/>
  <c r="AG66" i="1"/>
  <c r="AH66" i="1" s="1"/>
  <c r="AD66" i="1"/>
  <c r="BP65" i="1"/>
  <c r="BM65" i="1"/>
  <c r="BH65" i="1"/>
  <c r="AY65" i="1"/>
  <c r="AZ65" i="1" s="1"/>
  <c r="AW65" i="1"/>
  <c r="AX65" i="1" s="1"/>
  <c r="AU65" i="1"/>
  <c r="AV65" i="1" s="1"/>
  <c r="AS65" i="1"/>
  <c r="AT65" i="1" s="1"/>
  <c r="BD65" i="1" s="1"/>
  <c r="AQ65" i="1"/>
  <c r="AR65" i="1" s="1"/>
  <c r="AO65" i="1"/>
  <c r="AP65" i="1" s="1"/>
  <c r="BC65" i="1" s="1"/>
  <c r="AM65" i="1"/>
  <c r="AN65" i="1" s="1"/>
  <c r="AK65" i="1"/>
  <c r="AL65" i="1" s="1"/>
  <c r="AI65" i="1"/>
  <c r="AJ65" i="1" s="1"/>
  <c r="AG65" i="1"/>
  <c r="AH65" i="1" s="1"/>
  <c r="AD65" i="1"/>
  <c r="BP64" i="1"/>
  <c r="BM64" i="1"/>
  <c r="BH64" i="1"/>
  <c r="AY64" i="1"/>
  <c r="AZ64" i="1" s="1"/>
  <c r="AW64" i="1"/>
  <c r="AX64" i="1" s="1"/>
  <c r="AU64" i="1"/>
  <c r="AV64" i="1" s="1"/>
  <c r="AS64" i="1"/>
  <c r="AT64" i="1" s="1"/>
  <c r="AQ64" i="1"/>
  <c r="AR64" i="1" s="1"/>
  <c r="AO64" i="1"/>
  <c r="AP64" i="1" s="1"/>
  <c r="BC64" i="1" s="1"/>
  <c r="AM64" i="1"/>
  <c r="AN64" i="1" s="1"/>
  <c r="AK64" i="1"/>
  <c r="AL64" i="1" s="1"/>
  <c r="AI64" i="1"/>
  <c r="AJ64" i="1" s="1"/>
  <c r="AG64" i="1"/>
  <c r="AH64" i="1" s="1"/>
  <c r="AD64" i="1"/>
  <c r="BP63" i="1"/>
  <c r="BM63" i="1"/>
  <c r="BH63" i="1"/>
  <c r="AY63" i="1"/>
  <c r="AZ63" i="1" s="1"/>
  <c r="AW63" i="1"/>
  <c r="AX63" i="1" s="1"/>
  <c r="BE63" i="1" s="1"/>
  <c r="AU63" i="1"/>
  <c r="AV63" i="1" s="1"/>
  <c r="AS63" i="1"/>
  <c r="AT63" i="1" s="1"/>
  <c r="AQ63" i="1"/>
  <c r="AR63" i="1" s="1"/>
  <c r="AO63" i="1"/>
  <c r="AP63" i="1" s="1"/>
  <c r="AM63" i="1"/>
  <c r="AN63" i="1" s="1"/>
  <c r="AK63" i="1"/>
  <c r="AL63" i="1" s="1"/>
  <c r="BB63" i="1" s="1"/>
  <c r="AI63" i="1"/>
  <c r="AJ63" i="1" s="1"/>
  <c r="AG63" i="1"/>
  <c r="AH63" i="1" s="1"/>
  <c r="BA63" i="1" s="1"/>
  <c r="AD63" i="1"/>
  <c r="BP62" i="1"/>
  <c r="BM62" i="1"/>
  <c r="BH62" i="1"/>
  <c r="AY62" i="1"/>
  <c r="AZ62" i="1" s="1"/>
  <c r="AW62" i="1"/>
  <c r="AX62" i="1" s="1"/>
  <c r="BE62" i="1" s="1"/>
  <c r="AU62" i="1"/>
  <c r="AV62" i="1" s="1"/>
  <c r="AS62" i="1"/>
  <c r="AT62" i="1" s="1"/>
  <c r="BD62" i="1" s="1"/>
  <c r="AQ62" i="1"/>
  <c r="AR62" i="1" s="1"/>
  <c r="AO62" i="1"/>
  <c r="AP62" i="1" s="1"/>
  <c r="AM62" i="1"/>
  <c r="AN62" i="1" s="1"/>
  <c r="AK62" i="1"/>
  <c r="AL62" i="1" s="1"/>
  <c r="AI62" i="1"/>
  <c r="AJ62" i="1" s="1"/>
  <c r="AG62" i="1"/>
  <c r="AH62" i="1" s="1"/>
  <c r="BA62" i="1" s="1"/>
  <c r="AD62" i="1"/>
  <c r="BP61" i="1"/>
  <c r="BM61" i="1"/>
  <c r="BH61" i="1"/>
  <c r="AY61" i="1"/>
  <c r="AZ61" i="1" s="1"/>
  <c r="AW61" i="1"/>
  <c r="AX61" i="1" s="1"/>
  <c r="AU61" i="1"/>
  <c r="AV61" i="1" s="1"/>
  <c r="AS61" i="1"/>
  <c r="AT61" i="1" s="1"/>
  <c r="BD61" i="1" s="1"/>
  <c r="AQ61" i="1"/>
  <c r="AR61" i="1" s="1"/>
  <c r="AO61" i="1"/>
  <c r="AP61" i="1" s="1"/>
  <c r="BC61" i="1" s="1"/>
  <c r="AM61" i="1"/>
  <c r="AN61" i="1" s="1"/>
  <c r="AK61" i="1"/>
  <c r="AL61" i="1" s="1"/>
  <c r="AI61" i="1"/>
  <c r="AJ61" i="1" s="1"/>
  <c r="AG61" i="1"/>
  <c r="AH61" i="1" s="1"/>
  <c r="AD61" i="1"/>
  <c r="BP60" i="1"/>
  <c r="BM60" i="1"/>
  <c r="BH60" i="1"/>
  <c r="AY60" i="1"/>
  <c r="AZ60" i="1" s="1"/>
  <c r="AW60" i="1"/>
  <c r="AX60" i="1" s="1"/>
  <c r="AU60" i="1"/>
  <c r="AV60" i="1" s="1"/>
  <c r="AS60" i="1"/>
  <c r="AT60" i="1" s="1"/>
  <c r="AQ60" i="1"/>
  <c r="AR60" i="1" s="1"/>
  <c r="AO60" i="1"/>
  <c r="AP60" i="1" s="1"/>
  <c r="BC60" i="1" s="1"/>
  <c r="AM60" i="1"/>
  <c r="AN60" i="1" s="1"/>
  <c r="AK60" i="1"/>
  <c r="AL60" i="1" s="1"/>
  <c r="BB60" i="1" s="1"/>
  <c r="AI60" i="1"/>
  <c r="AJ60" i="1" s="1"/>
  <c r="AG60" i="1"/>
  <c r="AH60" i="1" s="1"/>
  <c r="AD60" i="1"/>
  <c r="BP59" i="1"/>
  <c r="BM59" i="1"/>
  <c r="BH59" i="1"/>
  <c r="AY59" i="1"/>
  <c r="AZ59" i="1" s="1"/>
  <c r="AW59" i="1"/>
  <c r="AX59" i="1" s="1"/>
  <c r="BE59" i="1" s="1"/>
  <c r="AU59" i="1"/>
  <c r="AV59" i="1" s="1"/>
  <c r="AS59" i="1"/>
  <c r="AT59" i="1" s="1"/>
  <c r="AQ59" i="1"/>
  <c r="AR59" i="1" s="1"/>
  <c r="AO59" i="1"/>
  <c r="AP59" i="1" s="1"/>
  <c r="AM59" i="1"/>
  <c r="AN59" i="1" s="1"/>
  <c r="AK59" i="1"/>
  <c r="AL59" i="1" s="1"/>
  <c r="BB59" i="1" s="1"/>
  <c r="AI59" i="1"/>
  <c r="AJ59" i="1" s="1"/>
  <c r="AG59" i="1"/>
  <c r="AH59" i="1" s="1"/>
  <c r="BA59" i="1" s="1"/>
  <c r="AD59" i="1"/>
  <c r="BP58" i="1"/>
  <c r="BM58" i="1"/>
  <c r="BH58" i="1"/>
  <c r="AY58" i="1"/>
  <c r="AZ58" i="1" s="1"/>
  <c r="AW58" i="1"/>
  <c r="AX58" i="1" s="1"/>
  <c r="BE58" i="1" s="1"/>
  <c r="AU58" i="1"/>
  <c r="AV58" i="1" s="1"/>
  <c r="AS58" i="1"/>
  <c r="AT58" i="1" s="1"/>
  <c r="BD58" i="1" s="1"/>
  <c r="AQ58" i="1"/>
  <c r="AR58" i="1" s="1"/>
  <c r="AO58" i="1"/>
  <c r="AP58" i="1" s="1"/>
  <c r="AM58" i="1"/>
  <c r="AN58" i="1" s="1"/>
  <c r="AK58" i="1"/>
  <c r="AL58" i="1" s="1"/>
  <c r="AI58" i="1"/>
  <c r="AJ58" i="1" s="1"/>
  <c r="AG58" i="1"/>
  <c r="AH58" i="1" s="1"/>
  <c r="BA58" i="1" s="1"/>
  <c r="AD58" i="1"/>
  <c r="BP57" i="1"/>
  <c r="BM57" i="1"/>
  <c r="BH57" i="1"/>
  <c r="AY57" i="1"/>
  <c r="AZ57" i="1" s="1"/>
  <c r="AW57" i="1"/>
  <c r="AX57" i="1" s="1"/>
  <c r="AU57" i="1"/>
  <c r="AV57" i="1" s="1"/>
  <c r="AS57" i="1"/>
  <c r="AT57" i="1" s="1"/>
  <c r="BD57" i="1" s="1"/>
  <c r="AQ57" i="1"/>
  <c r="AR57" i="1" s="1"/>
  <c r="AO57" i="1"/>
  <c r="AP57" i="1" s="1"/>
  <c r="BC57" i="1" s="1"/>
  <c r="AM57" i="1"/>
  <c r="AN57" i="1" s="1"/>
  <c r="AK57" i="1"/>
  <c r="AL57" i="1" s="1"/>
  <c r="AI57" i="1"/>
  <c r="AJ57" i="1" s="1"/>
  <c r="AG57" i="1"/>
  <c r="AH57" i="1" s="1"/>
  <c r="AD57" i="1"/>
  <c r="BP56" i="1"/>
  <c r="BM56" i="1"/>
  <c r="BH56" i="1"/>
  <c r="AY56" i="1"/>
  <c r="AZ56" i="1" s="1"/>
  <c r="AW56" i="1"/>
  <c r="AX56" i="1" s="1"/>
  <c r="AU56" i="1"/>
  <c r="AV56" i="1" s="1"/>
  <c r="AS56" i="1"/>
  <c r="AT56" i="1" s="1"/>
  <c r="AQ56" i="1"/>
  <c r="AR56" i="1" s="1"/>
  <c r="AO56" i="1"/>
  <c r="AP56" i="1" s="1"/>
  <c r="BC56" i="1" s="1"/>
  <c r="AM56" i="1"/>
  <c r="AN56" i="1" s="1"/>
  <c r="AK56" i="1"/>
  <c r="AL56" i="1" s="1"/>
  <c r="BB56" i="1" s="1"/>
  <c r="AI56" i="1"/>
  <c r="AJ56" i="1" s="1"/>
  <c r="AG56" i="1"/>
  <c r="AH56" i="1" s="1"/>
  <c r="AD56" i="1"/>
  <c r="BP55" i="1"/>
  <c r="BM55" i="1"/>
  <c r="BH55" i="1"/>
  <c r="AY55" i="1"/>
  <c r="AZ55" i="1" s="1"/>
  <c r="AW55" i="1"/>
  <c r="AX55" i="1" s="1"/>
  <c r="BE55" i="1" s="1"/>
  <c r="AU55" i="1"/>
  <c r="AV55" i="1" s="1"/>
  <c r="AS55" i="1"/>
  <c r="AT55" i="1" s="1"/>
  <c r="AQ55" i="1"/>
  <c r="AR55" i="1" s="1"/>
  <c r="AO55" i="1"/>
  <c r="AP55" i="1" s="1"/>
  <c r="AM55" i="1"/>
  <c r="AN55" i="1" s="1"/>
  <c r="AK55" i="1"/>
  <c r="AL55" i="1" s="1"/>
  <c r="BB55" i="1" s="1"/>
  <c r="AI55" i="1"/>
  <c r="AJ55" i="1" s="1"/>
  <c r="AG55" i="1"/>
  <c r="AH55" i="1" s="1"/>
  <c r="BA55" i="1" s="1"/>
  <c r="AD55" i="1"/>
  <c r="BP54" i="1"/>
  <c r="BM54" i="1"/>
  <c r="BH54" i="1"/>
  <c r="AY54" i="1"/>
  <c r="AZ54" i="1" s="1"/>
  <c r="AW54" i="1"/>
  <c r="AX54" i="1" s="1"/>
  <c r="BE54" i="1" s="1"/>
  <c r="AU54" i="1"/>
  <c r="AV54" i="1" s="1"/>
  <c r="AS54" i="1"/>
  <c r="AT54" i="1" s="1"/>
  <c r="BD54" i="1" s="1"/>
  <c r="AQ54" i="1"/>
  <c r="AR54" i="1" s="1"/>
  <c r="AO54" i="1"/>
  <c r="AP54" i="1" s="1"/>
  <c r="AM54" i="1"/>
  <c r="AN54" i="1" s="1"/>
  <c r="AK54" i="1"/>
  <c r="AL54" i="1" s="1"/>
  <c r="AI54" i="1"/>
  <c r="AJ54" i="1" s="1"/>
  <c r="AG54" i="1"/>
  <c r="AH54" i="1" s="1"/>
  <c r="BA54" i="1" s="1"/>
  <c r="AD54" i="1"/>
  <c r="BP53" i="1"/>
  <c r="BM53" i="1"/>
  <c r="BH53" i="1"/>
  <c r="AY53" i="1"/>
  <c r="AZ53" i="1" s="1"/>
  <c r="AW53" i="1"/>
  <c r="AX53" i="1" s="1"/>
  <c r="AU53" i="1"/>
  <c r="AV53" i="1" s="1"/>
  <c r="AS53" i="1"/>
  <c r="AT53" i="1" s="1"/>
  <c r="BD53" i="1" s="1"/>
  <c r="AQ53" i="1"/>
  <c r="AR53" i="1" s="1"/>
  <c r="AO53" i="1"/>
  <c r="AP53" i="1" s="1"/>
  <c r="BC53" i="1" s="1"/>
  <c r="AM53" i="1"/>
  <c r="AN53" i="1" s="1"/>
  <c r="AK53" i="1"/>
  <c r="AL53" i="1" s="1"/>
  <c r="AI53" i="1"/>
  <c r="AJ53" i="1" s="1"/>
  <c r="AG53" i="1"/>
  <c r="AH53" i="1" s="1"/>
  <c r="AD53" i="1"/>
  <c r="BP52" i="1"/>
  <c r="BM52" i="1"/>
  <c r="BH52" i="1"/>
  <c r="AY52" i="1"/>
  <c r="AZ52" i="1" s="1"/>
  <c r="AW52" i="1"/>
  <c r="AX52" i="1" s="1"/>
  <c r="AU52" i="1"/>
  <c r="AV52" i="1" s="1"/>
  <c r="AS52" i="1"/>
  <c r="AT52" i="1" s="1"/>
  <c r="AQ52" i="1"/>
  <c r="AR52" i="1" s="1"/>
  <c r="AO52" i="1"/>
  <c r="AP52" i="1" s="1"/>
  <c r="BC52" i="1" s="1"/>
  <c r="AM52" i="1"/>
  <c r="AN52" i="1" s="1"/>
  <c r="AK52" i="1"/>
  <c r="AL52" i="1" s="1"/>
  <c r="BB52" i="1" s="1"/>
  <c r="AI52" i="1"/>
  <c r="AJ52" i="1" s="1"/>
  <c r="AG52" i="1"/>
  <c r="AH52" i="1" s="1"/>
  <c r="AD52" i="1"/>
  <c r="BP51" i="1"/>
  <c r="BM51" i="1"/>
  <c r="BH51" i="1"/>
  <c r="AY51" i="1"/>
  <c r="AZ51" i="1" s="1"/>
  <c r="AW51" i="1"/>
  <c r="AX51" i="1" s="1"/>
  <c r="BE51" i="1" s="1"/>
  <c r="AU51" i="1"/>
  <c r="AV51" i="1" s="1"/>
  <c r="AS51" i="1"/>
  <c r="AT51" i="1" s="1"/>
  <c r="AQ51" i="1"/>
  <c r="AR51" i="1" s="1"/>
  <c r="AO51" i="1"/>
  <c r="AP51" i="1" s="1"/>
  <c r="AM51" i="1"/>
  <c r="AN51" i="1" s="1"/>
  <c r="AK51" i="1"/>
  <c r="AL51" i="1" s="1"/>
  <c r="BB51" i="1" s="1"/>
  <c r="AI51" i="1"/>
  <c r="AJ51" i="1" s="1"/>
  <c r="AG51" i="1"/>
  <c r="AH51" i="1" s="1"/>
  <c r="BA51" i="1" s="1"/>
  <c r="AD51" i="1"/>
  <c r="BP50" i="1"/>
  <c r="BM50" i="1"/>
  <c r="BH50" i="1"/>
  <c r="AY50" i="1"/>
  <c r="AZ50" i="1" s="1"/>
  <c r="AW50" i="1"/>
  <c r="AX50" i="1" s="1"/>
  <c r="BE50" i="1" s="1"/>
  <c r="AU50" i="1"/>
  <c r="AV50" i="1" s="1"/>
  <c r="AS50" i="1"/>
  <c r="AT50" i="1" s="1"/>
  <c r="BD50" i="1" s="1"/>
  <c r="AQ50" i="1"/>
  <c r="AR50" i="1" s="1"/>
  <c r="AO50" i="1"/>
  <c r="AP50" i="1" s="1"/>
  <c r="AM50" i="1"/>
  <c r="AN50" i="1" s="1"/>
  <c r="AK50" i="1"/>
  <c r="AL50" i="1" s="1"/>
  <c r="AI50" i="1"/>
  <c r="AJ50" i="1" s="1"/>
  <c r="AG50" i="1"/>
  <c r="AH50" i="1" s="1"/>
  <c r="BA50" i="1" s="1"/>
  <c r="AD50" i="1"/>
  <c r="BP49" i="1"/>
  <c r="BM49" i="1"/>
  <c r="BH49" i="1"/>
  <c r="AY49" i="1"/>
  <c r="AZ49" i="1" s="1"/>
  <c r="AW49" i="1"/>
  <c r="AX49" i="1" s="1"/>
  <c r="AU49" i="1"/>
  <c r="AV49" i="1" s="1"/>
  <c r="AS49" i="1"/>
  <c r="AT49" i="1" s="1"/>
  <c r="BD49" i="1" s="1"/>
  <c r="AQ49" i="1"/>
  <c r="AR49" i="1" s="1"/>
  <c r="AO49" i="1"/>
  <c r="AP49" i="1" s="1"/>
  <c r="BC49" i="1" s="1"/>
  <c r="AM49" i="1"/>
  <c r="AN49" i="1" s="1"/>
  <c r="AK49" i="1"/>
  <c r="AL49" i="1" s="1"/>
  <c r="AI49" i="1"/>
  <c r="AJ49" i="1" s="1"/>
  <c r="AG49" i="1"/>
  <c r="AH49" i="1" s="1"/>
  <c r="AD49" i="1"/>
  <c r="BH48" i="1"/>
  <c r="BC48" i="1"/>
  <c r="AY48" i="1"/>
  <c r="AZ48" i="1" s="1"/>
  <c r="AW48" i="1"/>
  <c r="AX48" i="1" s="1"/>
  <c r="AU48" i="1"/>
  <c r="AV48" i="1" s="1"/>
  <c r="AS48" i="1"/>
  <c r="AT48" i="1" s="1"/>
  <c r="AQ48" i="1"/>
  <c r="AO48" i="1"/>
  <c r="AM48" i="1"/>
  <c r="AK48" i="1"/>
  <c r="AL48" i="1" s="1"/>
  <c r="BB48" i="1" s="1"/>
  <c r="AJ48" i="1"/>
  <c r="AI48" i="1"/>
  <c r="AH48" i="1"/>
  <c r="BA48" i="1" s="1"/>
  <c r="AG48" i="1"/>
  <c r="AD48" i="1"/>
  <c r="BP47" i="1"/>
  <c r="BM47" i="1"/>
  <c r="BH47" i="1"/>
  <c r="AY47" i="1"/>
  <c r="AZ47" i="1" s="1"/>
  <c r="AW47" i="1"/>
  <c r="AX47" i="1" s="1"/>
  <c r="BE47" i="1" s="1"/>
  <c r="AU47" i="1"/>
  <c r="AV47" i="1" s="1"/>
  <c r="AS47" i="1"/>
  <c r="AT47" i="1" s="1"/>
  <c r="AQ47" i="1"/>
  <c r="AR47" i="1" s="1"/>
  <c r="AP47" i="1"/>
  <c r="BC47" i="1" s="1"/>
  <c r="AO47" i="1"/>
  <c r="AN47" i="1"/>
  <c r="AM47" i="1"/>
  <c r="AL47" i="1"/>
  <c r="BB47" i="1" s="1"/>
  <c r="AK47" i="1"/>
  <c r="AI47" i="1"/>
  <c r="AJ47" i="1" s="1"/>
  <c r="AG47" i="1"/>
  <c r="AH47" i="1" s="1"/>
  <c r="AD47" i="1"/>
  <c r="BP46" i="1"/>
  <c r="BM46" i="1"/>
  <c r="BH46" i="1"/>
  <c r="AY46" i="1"/>
  <c r="AZ46" i="1" s="1"/>
  <c r="AW46" i="1"/>
  <c r="AX46" i="1" s="1"/>
  <c r="BE46" i="1" s="1"/>
  <c r="AU46" i="1"/>
  <c r="AV46" i="1" s="1"/>
  <c r="AS46" i="1"/>
  <c r="AT46" i="1" s="1"/>
  <c r="AQ46" i="1"/>
  <c r="AR46" i="1" s="1"/>
  <c r="AO46" i="1"/>
  <c r="AP46" i="1" s="1"/>
  <c r="AM46" i="1"/>
  <c r="AN46" i="1" s="1"/>
  <c r="AK46" i="1"/>
  <c r="AL46" i="1" s="1"/>
  <c r="AI46" i="1"/>
  <c r="AJ46" i="1" s="1"/>
  <c r="AG46" i="1"/>
  <c r="AH46" i="1" s="1"/>
  <c r="AD46" i="1"/>
  <c r="BP45" i="1"/>
  <c r="BM45" i="1"/>
  <c r="BH45" i="1"/>
  <c r="AY45" i="1"/>
  <c r="AZ45" i="1" s="1"/>
  <c r="AW45" i="1"/>
  <c r="AX45" i="1" s="1"/>
  <c r="AU45" i="1"/>
  <c r="AV45" i="1" s="1"/>
  <c r="AS45" i="1"/>
  <c r="AT45" i="1" s="1"/>
  <c r="AQ45" i="1"/>
  <c r="AR45" i="1" s="1"/>
  <c r="AO45" i="1"/>
  <c r="AP45" i="1" s="1"/>
  <c r="AM45" i="1"/>
  <c r="AN45" i="1" s="1"/>
  <c r="AK45" i="1"/>
  <c r="AL45" i="1" s="1"/>
  <c r="BB45" i="1" s="1"/>
  <c r="AI45" i="1"/>
  <c r="AJ45" i="1" s="1"/>
  <c r="AG45" i="1"/>
  <c r="AH45" i="1" s="1"/>
  <c r="AD45" i="1"/>
  <c r="BP44" i="1"/>
  <c r="BM44" i="1"/>
  <c r="BH44" i="1"/>
  <c r="AZ44" i="1"/>
  <c r="AY44" i="1"/>
  <c r="AX44" i="1"/>
  <c r="AW44" i="1"/>
  <c r="AU44" i="1"/>
  <c r="AV44" i="1" s="1"/>
  <c r="AS44" i="1"/>
  <c r="AT44" i="1" s="1"/>
  <c r="AR44" i="1"/>
  <c r="AQ44" i="1"/>
  <c r="AP44" i="1"/>
  <c r="BC44" i="1" s="1"/>
  <c r="AO44" i="1"/>
  <c r="AM44" i="1"/>
  <c r="AN44" i="1" s="1"/>
  <c r="AK44" i="1"/>
  <c r="AL44" i="1" s="1"/>
  <c r="AJ44" i="1"/>
  <c r="BA44" i="1" s="1"/>
  <c r="AI44" i="1"/>
  <c r="AH44" i="1"/>
  <c r="AG44" i="1"/>
  <c r="AD44" i="1"/>
  <c r="BP43" i="1"/>
  <c r="BM43" i="1"/>
  <c r="BH43" i="1"/>
  <c r="AY43" i="1"/>
  <c r="AZ43" i="1" s="1"/>
  <c r="AW43" i="1"/>
  <c r="AX43" i="1" s="1"/>
  <c r="AU43" i="1"/>
  <c r="AV43" i="1" s="1"/>
  <c r="AS43" i="1"/>
  <c r="AT43" i="1" s="1"/>
  <c r="AQ43" i="1"/>
  <c r="AR43" i="1" s="1"/>
  <c r="AO43" i="1"/>
  <c r="AP43" i="1" s="1"/>
  <c r="BC43" i="1" s="1"/>
  <c r="AM43" i="1"/>
  <c r="AN43" i="1" s="1"/>
  <c r="AK43" i="1"/>
  <c r="AL43" i="1" s="1"/>
  <c r="AI43" i="1"/>
  <c r="AJ43" i="1" s="1"/>
  <c r="AG43" i="1"/>
  <c r="AH43" i="1" s="1"/>
  <c r="AD43" i="1"/>
  <c r="BP42" i="1"/>
  <c r="BM42" i="1"/>
  <c r="BH42" i="1"/>
  <c r="AY42" i="1"/>
  <c r="AZ42" i="1" s="1"/>
  <c r="AW42" i="1"/>
  <c r="AX42" i="1" s="1"/>
  <c r="AU42" i="1"/>
  <c r="AV42" i="1" s="1"/>
  <c r="BD42" i="1" s="1"/>
  <c r="AS42" i="1"/>
  <c r="AT42" i="1" s="1"/>
  <c r="AQ42" i="1"/>
  <c r="AR42" i="1" s="1"/>
  <c r="AO42" i="1"/>
  <c r="AP42" i="1" s="1"/>
  <c r="BC42" i="1" s="1"/>
  <c r="AM42" i="1"/>
  <c r="AN42" i="1" s="1"/>
  <c r="AK42" i="1"/>
  <c r="AL42" i="1" s="1"/>
  <c r="AI42" i="1"/>
  <c r="AJ42" i="1" s="1"/>
  <c r="AG42" i="1"/>
  <c r="AH42" i="1" s="1"/>
  <c r="BA42" i="1" s="1"/>
  <c r="AD42" i="1"/>
  <c r="BP41" i="1"/>
  <c r="BM41" i="1"/>
  <c r="BH41" i="1"/>
  <c r="AY41" i="1"/>
  <c r="AZ41" i="1" s="1"/>
  <c r="AW41" i="1"/>
  <c r="AX41" i="1" s="1"/>
  <c r="AU41" i="1"/>
  <c r="AV41" i="1" s="1"/>
  <c r="AS41" i="1"/>
  <c r="AT41" i="1" s="1"/>
  <c r="AQ41" i="1"/>
  <c r="AR41" i="1" s="1"/>
  <c r="AO41" i="1"/>
  <c r="AP41" i="1" s="1"/>
  <c r="AM41" i="1"/>
  <c r="AN41" i="1" s="1"/>
  <c r="AK41" i="1"/>
  <c r="AL41" i="1" s="1"/>
  <c r="BB41" i="1" s="1"/>
  <c r="AI41" i="1"/>
  <c r="AJ41" i="1" s="1"/>
  <c r="AG41" i="1"/>
  <c r="AH41" i="1" s="1"/>
  <c r="AD41" i="1"/>
  <c r="BP40" i="1"/>
  <c r="BM40" i="1"/>
  <c r="BH40" i="1"/>
  <c r="AZ40" i="1"/>
  <c r="AY40" i="1"/>
  <c r="AW40" i="1"/>
  <c r="AX40" i="1" s="1"/>
  <c r="BE40" i="1" s="1"/>
  <c r="AU40" i="1"/>
  <c r="AV40" i="1" s="1"/>
  <c r="AS40" i="1"/>
  <c r="AT40" i="1" s="1"/>
  <c r="AQ40" i="1"/>
  <c r="AR40" i="1" s="1"/>
  <c r="AP40" i="1"/>
  <c r="AO40" i="1"/>
  <c r="AM40" i="1"/>
  <c r="AN40" i="1" s="1"/>
  <c r="AK40" i="1"/>
  <c r="AL40" i="1" s="1"/>
  <c r="AJ40" i="1"/>
  <c r="AI40" i="1"/>
  <c r="AG40" i="1"/>
  <c r="AH40" i="1" s="1"/>
  <c r="AD40" i="1"/>
  <c r="BP39" i="1"/>
  <c r="BM39" i="1"/>
  <c r="BH39" i="1"/>
  <c r="AY39" i="1"/>
  <c r="AZ39" i="1" s="1"/>
  <c r="AW39" i="1"/>
  <c r="AX39" i="1" s="1"/>
  <c r="AU39" i="1"/>
  <c r="AV39" i="1" s="1"/>
  <c r="AS39" i="1"/>
  <c r="AT39" i="1" s="1"/>
  <c r="AQ39" i="1"/>
  <c r="AR39" i="1" s="1"/>
  <c r="AO39" i="1"/>
  <c r="AP39" i="1" s="1"/>
  <c r="BC39" i="1" s="1"/>
  <c r="AM39" i="1"/>
  <c r="AN39" i="1" s="1"/>
  <c r="AK39" i="1"/>
  <c r="AL39" i="1" s="1"/>
  <c r="AI39" i="1"/>
  <c r="AJ39" i="1" s="1"/>
  <c r="AG39" i="1"/>
  <c r="AH39" i="1" s="1"/>
  <c r="AD39" i="1"/>
  <c r="BP38" i="1"/>
  <c r="BM38" i="1"/>
  <c r="BH38" i="1"/>
  <c r="AY38" i="1"/>
  <c r="AZ38" i="1" s="1"/>
  <c r="AW38" i="1"/>
  <c r="AX38" i="1" s="1"/>
  <c r="AU38" i="1"/>
  <c r="AV38" i="1" s="1"/>
  <c r="BD38" i="1" s="1"/>
  <c r="AT38" i="1"/>
  <c r="AS38" i="1"/>
  <c r="AQ38" i="1"/>
  <c r="AR38" i="1" s="1"/>
  <c r="AO38" i="1"/>
  <c r="AP38" i="1" s="1"/>
  <c r="AM38" i="1"/>
  <c r="AN38" i="1" s="1"/>
  <c r="AK38" i="1"/>
  <c r="AL38" i="1" s="1"/>
  <c r="AI38" i="1"/>
  <c r="AJ38" i="1" s="1"/>
  <c r="AG38" i="1"/>
  <c r="AH38" i="1" s="1"/>
  <c r="AD38" i="1"/>
  <c r="BP37" i="1"/>
  <c r="BM37" i="1"/>
  <c r="BH37" i="1"/>
  <c r="AY37" i="1"/>
  <c r="AZ37" i="1" s="1"/>
  <c r="AW37" i="1"/>
  <c r="AX37" i="1" s="1"/>
  <c r="AU37" i="1"/>
  <c r="AV37" i="1" s="1"/>
  <c r="AS37" i="1"/>
  <c r="AT37" i="1" s="1"/>
  <c r="AQ37" i="1"/>
  <c r="AR37" i="1" s="1"/>
  <c r="AO37" i="1"/>
  <c r="AP37" i="1" s="1"/>
  <c r="AM37" i="1"/>
  <c r="AN37" i="1" s="1"/>
  <c r="AK37" i="1"/>
  <c r="AL37" i="1" s="1"/>
  <c r="BB37" i="1" s="1"/>
  <c r="AI37" i="1"/>
  <c r="AJ37" i="1" s="1"/>
  <c r="AG37" i="1"/>
  <c r="AH37" i="1" s="1"/>
  <c r="AD37" i="1"/>
  <c r="BP36" i="1"/>
  <c r="BM36" i="1"/>
  <c r="BH36" i="1"/>
  <c r="AZ36" i="1"/>
  <c r="AY36" i="1"/>
  <c r="AW36" i="1"/>
  <c r="AX36" i="1" s="1"/>
  <c r="BE36" i="1" s="1"/>
  <c r="AV36" i="1"/>
  <c r="AU36" i="1"/>
  <c r="AS36" i="1"/>
  <c r="AT36" i="1" s="1"/>
  <c r="AQ36" i="1"/>
  <c r="AR36" i="1" s="1"/>
  <c r="AO36" i="1"/>
  <c r="AP36" i="1" s="1"/>
  <c r="BC36" i="1" s="1"/>
  <c r="AM36" i="1"/>
  <c r="AN36" i="1" s="1"/>
  <c r="AK36" i="1"/>
  <c r="AL36" i="1" s="1"/>
  <c r="AI36" i="1"/>
  <c r="AJ36" i="1" s="1"/>
  <c r="BA36" i="1" s="1"/>
  <c r="AH36" i="1"/>
  <c r="AG36" i="1"/>
  <c r="AD36" i="1"/>
  <c r="BP35" i="1"/>
  <c r="BM35" i="1"/>
  <c r="BH35" i="1"/>
  <c r="AY35" i="1"/>
  <c r="AZ35" i="1" s="1"/>
  <c r="AW35" i="1"/>
  <c r="AX35" i="1" s="1"/>
  <c r="BE35" i="1" s="1"/>
  <c r="AU35" i="1"/>
  <c r="AV35" i="1" s="1"/>
  <c r="BD35" i="1" s="1"/>
  <c r="AS35" i="1"/>
  <c r="AT35" i="1" s="1"/>
  <c r="AQ35" i="1"/>
  <c r="AR35" i="1" s="1"/>
  <c r="AP35" i="1"/>
  <c r="BC35" i="1" s="1"/>
  <c r="AO35" i="1"/>
  <c r="AN35" i="1"/>
  <c r="AM35" i="1"/>
  <c r="AL35" i="1"/>
  <c r="AK35" i="1"/>
  <c r="AI35" i="1"/>
  <c r="AJ35" i="1" s="1"/>
  <c r="AG35" i="1"/>
  <c r="AH35" i="1" s="1"/>
  <c r="AD35" i="1"/>
  <c r="BP34" i="1"/>
  <c r="BM34" i="1"/>
  <c r="BH34" i="1"/>
  <c r="AY34" i="1"/>
  <c r="AZ34" i="1" s="1"/>
  <c r="AW34" i="1"/>
  <c r="AX34" i="1" s="1"/>
  <c r="AV34" i="1"/>
  <c r="AU34" i="1"/>
  <c r="AT34" i="1"/>
  <c r="AS34" i="1"/>
  <c r="AQ34" i="1"/>
  <c r="AR34" i="1" s="1"/>
  <c r="AO34" i="1"/>
  <c r="AP34" i="1" s="1"/>
  <c r="AM34" i="1"/>
  <c r="AN34" i="1" s="1"/>
  <c r="AK34" i="1"/>
  <c r="AL34" i="1" s="1"/>
  <c r="BB34" i="1" s="1"/>
  <c r="AI34" i="1"/>
  <c r="AJ34" i="1" s="1"/>
  <c r="AG34" i="1"/>
  <c r="AH34" i="1" s="1"/>
  <c r="AD34" i="1"/>
  <c r="BP33" i="1"/>
  <c r="BM33" i="1"/>
  <c r="BH33" i="1"/>
  <c r="AZ33" i="1"/>
  <c r="AY33" i="1"/>
  <c r="AW33" i="1"/>
  <c r="AX33" i="1" s="1"/>
  <c r="BE33" i="1" s="1"/>
  <c r="AU33" i="1"/>
  <c r="AV33" i="1" s="1"/>
  <c r="AT33" i="1"/>
  <c r="BD33" i="1" s="1"/>
  <c r="AS33" i="1"/>
  <c r="AR33" i="1"/>
  <c r="AQ33" i="1"/>
  <c r="AO33" i="1"/>
  <c r="AP33" i="1" s="1"/>
  <c r="BC33" i="1" s="1"/>
  <c r="AM33" i="1"/>
  <c r="AN33" i="1" s="1"/>
  <c r="AL33" i="1"/>
  <c r="AK33" i="1"/>
  <c r="AI33" i="1"/>
  <c r="AJ33" i="1" s="1"/>
  <c r="AG33" i="1"/>
  <c r="AH33" i="1" s="1"/>
  <c r="AD33" i="1"/>
  <c r="BP32" i="1"/>
  <c r="BM32" i="1"/>
  <c r="BH32" i="1"/>
  <c r="AY32" i="1"/>
  <c r="AZ32" i="1" s="1"/>
  <c r="AX32" i="1"/>
  <c r="AW32" i="1"/>
  <c r="AU32" i="1"/>
  <c r="AV32" i="1" s="1"/>
  <c r="AS32" i="1"/>
  <c r="AT32" i="1" s="1"/>
  <c r="AR32" i="1"/>
  <c r="AQ32" i="1"/>
  <c r="AP32" i="1"/>
  <c r="BC32" i="1" s="1"/>
  <c r="AO32" i="1"/>
  <c r="AM32" i="1"/>
  <c r="AN32" i="1" s="1"/>
  <c r="AK32" i="1"/>
  <c r="AL32" i="1" s="1"/>
  <c r="AJ32" i="1"/>
  <c r="AI32" i="1"/>
  <c r="AG32" i="1"/>
  <c r="AH32" i="1" s="1"/>
  <c r="AD32" i="1"/>
  <c r="BP31" i="1"/>
  <c r="BM31" i="1"/>
  <c r="BH31" i="1"/>
  <c r="AY31" i="1"/>
  <c r="AZ31" i="1" s="1"/>
  <c r="AX31" i="1"/>
  <c r="BE31" i="1" s="1"/>
  <c r="AW31" i="1"/>
  <c r="AU31" i="1"/>
  <c r="AV31" i="1" s="1"/>
  <c r="BD31" i="1" s="1"/>
  <c r="AT31" i="1"/>
  <c r="AS31" i="1"/>
  <c r="AQ31" i="1"/>
  <c r="AR31" i="1" s="1"/>
  <c r="AO31" i="1"/>
  <c r="AP31" i="1" s="1"/>
  <c r="AM31" i="1"/>
  <c r="AN31" i="1" s="1"/>
  <c r="AK31" i="1"/>
  <c r="AL31" i="1" s="1"/>
  <c r="AI31" i="1"/>
  <c r="AJ31" i="1" s="1"/>
  <c r="AG31" i="1"/>
  <c r="AH31" i="1" s="1"/>
  <c r="BA31" i="1" s="1"/>
  <c r="AD31" i="1"/>
  <c r="BP30" i="1"/>
  <c r="BM30" i="1"/>
  <c r="BH30" i="1"/>
  <c r="AZ30" i="1"/>
  <c r="AY30" i="1"/>
  <c r="AW30" i="1"/>
  <c r="AX30" i="1" s="1"/>
  <c r="BE30" i="1" s="1"/>
  <c r="AU30" i="1"/>
  <c r="AV30" i="1" s="1"/>
  <c r="AS30" i="1"/>
  <c r="AT30" i="1" s="1"/>
  <c r="AR30" i="1"/>
  <c r="AQ30" i="1"/>
  <c r="AO30" i="1"/>
  <c r="AP30" i="1" s="1"/>
  <c r="AN30" i="1"/>
  <c r="AM30" i="1"/>
  <c r="AL30" i="1"/>
  <c r="AK30" i="1"/>
  <c r="AJ30" i="1"/>
  <c r="AI30" i="1"/>
  <c r="AG30" i="1"/>
  <c r="AH30" i="1" s="1"/>
  <c r="BA30" i="1" s="1"/>
  <c r="AD30" i="1"/>
  <c r="BP29" i="1"/>
  <c r="BM29" i="1"/>
  <c r="BH29" i="1"/>
  <c r="AZ29" i="1"/>
  <c r="AY29" i="1"/>
  <c r="AX29" i="1"/>
  <c r="AW29" i="1"/>
  <c r="AU29" i="1"/>
  <c r="AV29" i="1" s="1"/>
  <c r="AS29" i="1"/>
  <c r="AT29" i="1" s="1"/>
  <c r="AQ29" i="1"/>
  <c r="AR29" i="1" s="1"/>
  <c r="AP29" i="1"/>
  <c r="AO29" i="1"/>
  <c r="AM29" i="1"/>
  <c r="AN29" i="1" s="1"/>
  <c r="AL29" i="1"/>
  <c r="BB29" i="1" s="1"/>
  <c r="AK29" i="1"/>
  <c r="AJ29" i="1"/>
  <c r="AI29" i="1"/>
  <c r="AH29" i="1"/>
  <c r="BA29" i="1" s="1"/>
  <c r="AG29" i="1"/>
  <c r="AD29" i="1"/>
  <c r="BP28" i="1"/>
  <c r="BM28" i="1"/>
  <c r="BH28" i="1"/>
  <c r="AZ28" i="1"/>
  <c r="AY28" i="1"/>
  <c r="AX28" i="1"/>
  <c r="AW28" i="1"/>
  <c r="AV28" i="1"/>
  <c r="AU28" i="1"/>
  <c r="AS28" i="1"/>
  <c r="AT28" i="1" s="1"/>
  <c r="BD28" i="1" s="1"/>
  <c r="AQ28" i="1"/>
  <c r="AR28" i="1" s="1"/>
  <c r="AO28" i="1"/>
  <c r="AP28" i="1" s="1"/>
  <c r="AN28" i="1"/>
  <c r="AM28" i="1"/>
  <c r="AK28" i="1"/>
  <c r="AL28" i="1" s="1"/>
  <c r="AJ28" i="1"/>
  <c r="BA28" i="1" s="1"/>
  <c r="AI28" i="1"/>
  <c r="AH28" i="1"/>
  <c r="AG28" i="1"/>
  <c r="AD28" i="1"/>
  <c r="BP27" i="1"/>
  <c r="BM27" i="1"/>
  <c r="BH27" i="1"/>
  <c r="AY27" i="1"/>
  <c r="AZ27" i="1" s="1"/>
  <c r="AX27" i="1"/>
  <c r="AW27" i="1"/>
  <c r="AU27" i="1"/>
  <c r="AV27" i="1" s="1"/>
  <c r="AS27" i="1"/>
  <c r="AT27" i="1" s="1"/>
  <c r="AQ27" i="1"/>
  <c r="AR27" i="1" s="1"/>
  <c r="AO27" i="1"/>
  <c r="AP27" i="1" s="1"/>
  <c r="BC27" i="1" s="1"/>
  <c r="AM27" i="1"/>
  <c r="AN27" i="1" s="1"/>
  <c r="AK27" i="1"/>
  <c r="AL27" i="1" s="1"/>
  <c r="AI27" i="1"/>
  <c r="AJ27" i="1" s="1"/>
  <c r="AH27" i="1"/>
  <c r="AG27" i="1"/>
  <c r="AD27" i="1"/>
  <c r="BP26" i="1"/>
  <c r="BM26" i="1"/>
  <c r="BH26" i="1"/>
  <c r="AY26" i="1"/>
  <c r="AZ26" i="1" s="1"/>
  <c r="AW26" i="1"/>
  <c r="AX26" i="1" s="1"/>
  <c r="AU26" i="1"/>
  <c r="AV26" i="1" s="1"/>
  <c r="AS26" i="1"/>
  <c r="AT26" i="1" s="1"/>
  <c r="AQ26" i="1"/>
  <c r="AR26" i="1" s="1"/>
  <c r="AO26" i="1"/>
  <c r="AP26" i="1" s="1"/>
  <c r="AM26" i="1"/>
  <c r="AN26" i="1" s="1"/>
  <c r="AK26" i="1"/>
  <c r="AL26" i="1" s="1"/>
  <c r="BB26" i="1" s="1"/>
  <c r="AI26" i="1"/>
  <c r="AJ26" i="1" s="1"/>
  <c r="AG26" i="1"/>
  <c r="AH26" i="1" s="1"/>
  <c r="BA26" i="1" s="1"/>
  <c r="AD26" i="1"/>
  <c r="BP25" i="1"/>
  <c r="BM25" i="1"/>
  <c r="BH25" i="1"/>
  <c r="AZ25" i="1"/>
  <c r="AY25" i="1"/>
  <c r="AW25" i="1"/>
  <c r="AX25" i="1" s="1"/>
  <c r="AU25" i="1"/>
  <c r="AV25" i="1" s="1"/>
  <c r="AS25" i="1"/>
  <c r="AT25" i="1" s="1"/>
  <c r="AQ25" i="1"/>
  <c r="AR25" i="1" s="1"/>
  <c r="AO25" i="1"/>
  <c r="AP25" i="1" s="1"/>
  <c r="AM25" i="1"/>
  <c r="AN25" i="1" s="1"/>
  <c r="AK25" i="1"/>
  <c r="AL25" i="1" s="1"/>
  <c r="AJ25" i="1"/>
  <c r="AI25" i="1"/>
  <c r="AG25" i="1"/>
  <c r="AH25" i="1" s="1"/>
  <c r="AD25" i="1"/>
  <c r="BP24" i="1"/>
  <c r="BM24" i="1"/>
  <c r="BH24" i="1"/>
  <c r="AZ24" i="1"/>
  <c r="AY24" i="1"/>
  <c r="AX24" i="1"/>
  <c r="AW24" i="1"/>
  <c r="AU24" i="1"/>
  <c r="AV24" i="1" s="1"/>
  <c r="AS24" i="1"/>
  <c r="AT24" i="1" s="1"/>
  <c r="AR24" i="1"/>
  <c r="AQ24" i="1"/>
  <c r="AP24" i="1"/>
  <c r="BC24" i="1" s="1"/>
  <c r="AO24" i="1"/>
  <c r="AM24" i="1"/>
  <c r="AN24" i="1" s="1"/>
  <c r="AK24" i="1"/>
  <c r="AL24" i="1" s="1"/>
  <c r="AJ24" i="1"/>
  <c r="BA24" i="1" s="1"/>
  <c r="AI24" i="1"/>
  <c r="AH24" i="1"/>
  <c r="AG24" i="1"/>
  <c r="AD24" i="1"/>
  <c r="BP23" i="1"/>
  <c r="BM23" i="1"/>
  <c r="BH23" i="1"/>
  <c r="AY23" i="1"/>
  <c r="AZ23" i="1" s="1"/>
  <c r="AW23" i="1"/>
  <c r="AX23" i="1" s="1"/>
  <c r="AU23" i="1"/>
  <c r="AV23" i="1" s="1"/>
  <c r="AS23" i="1"/>
  <c r="AT23" i="1" s="1"/>
  <c r="AQ23" i="1"/>
  <c r="AR23" i="1" s="1"/>
  <c r="AO23" i="1"/>
  <c r="AP23" i="1" s="1"/>
  <c r="BC23" i="1" s="1"/>
  <c r="AN23" i="1"/>
  <c r="AM23" i="1"/>
  <c r="AK23" i="1"/>
  <c r="AL23" i="1" s="1"/>
  <c r="AI23" i="1"/>
  <c r="AJ23" i="1" s="1"/>
  <c r="AG23" i="1"/>
  <c r="AH23" i="1" s="1"/>
  <c r="AD23" i="1"/>
  <c r="BP22" i="1"/>
  <c r="BM22" i="1"/>
  <c r="BH22" i="1"/>
  <c r="AY22" i="1"/>
  <c r="AZ22" i="1" s="1"/>
  <c r="AW22" i="1"/>
  <c r="AX22" i="1" s="1"/>
  <c r="AV22" i="1"/>
  <c r="AU22" i="1"/>
  <c r="AT22" i="1"/>
  <c r="BD22" i="1" s="1"/>
  <c r="AS22" i="1"/>
  <c r="AQ22" i="1"/>
  <c r="AR22" i="1" s="1"/>
  <c r="AO22" i="1"/>
  <c r="AP22" i="1" s="1"/>
  <c r="AN22" i="1"/>
  <c r="AM22" i="1"/>
  <c r="AL22" i="1"/>
  <c r="BB22" i="1" s="1"/>
  <c r="AK22" i="1"/>
  <c r="AI22" i="1"/>
  <c r="AJ22" i="1" s="1"/>
  <c r="AG22" i="1"/>
  <c r="AH22" i="1" s="1"/>
  <c r="AD22" i="1"/>
  <c r="BP21" i="1"/>
  <c r="BM21" i="1"/>
  <c r="BH21" i="1"/>
  <c r="AY21" i="1"/>
  <c r="AZ21" i="1" s="1"/>
  <c r="AW21" i="1"/>
  <c r="AX21" i="1" s="1"/>
  <c r="AU21" i="1"/>
  <c r="AV21" i="1" s="1"/>
  <c r="AS21" i="1"/>
  <c r="AT21" i="1" s="1"/>
  <c r="AQ21" i="1"/>
  <c r="AR21" i="1" s="1"/>
  <c r="AO21" i="1"/>
  <c r="AP21" i="1" s="1"/>
  <c r="AM21" i="1"/>
  <c r="AN21" i="1" s="1"/>
  <c r="BB21" i="1" s="1"/>
  <c r="AL21" i="1"/>
  <c r="AK21" i="1"/>
  <c r="AI21" i="1"/>
  <c r="AJ21" i="1" s="1"/>
  <c r="AG21" i="1"/>
  <c r="AH21" i="1" s="1"/>
  <c r="AD21" i="1"/>
  <c r="BP20" i="1"/>
  <c r="BM20" i="1"/>
  <c r="BH20" i="1"/>
  <c r="AZ20" i="1"/>
  <c r="AY20" i="1"/>
  <c r="AW20" i="1"/>
  <c r="AX20" i="1" s="1"/>
  <c r="BE20" i="1" s="1"/>
  <c r="AU20" i="1"/>
  <c r="AV20" i="1" s="1"/>
  <c r="AS20" i="1"/>
  <c r="AT20" i="1" s="1"/>
  <c r="AQ20" i="1"/>
  <c r="AR20" i="1" s="1"/>
  <c r="AO20" i="1"/>
  <c r="AP20" i="1" s="1"/>
  <c r="AM20" i="1"/>
  <c r="AN20" i="1" s="1"/>
  <c r="AK20" i="1"/>
  <c r="AL20" i="1" s="1"/>
  <c r="AJ20" i="1"/>
  <c r="AI20" i="1"/>
  <c r="AG20" i="1"/>
  <c r="AH20" i="1" s="1"/>
  <c r="BA20" i="1" s="1"/>
  <c r="AD20" i="1"/>
  <c r="BP19" i="1"/>
  <c r="BM19" i="1"/>
  <c r="BH19" i="1"/>
  <c r="AY19" i="1"/>
  <c r="AZ19" i="1" s="1"/>
  <c r="AX19" i="1"/>
  <c r="AW19" i="1"/>
  <c r="AU19" i="1"/>
  <c r="AV19" i="1" s="1"/>
  <c r="AS19" i="1"/>
  <c r="AT19" i="1" s="1"/>
  <c r="AQ19" i="1"/>
  <c r="AR19" i="1" s="1"/>
  <c r="AO19" i="1"/>
  <c r="AP19" i="1" s="1"/>
  <c r="AM19" i="1"/>
  <c r="AN19" i="1" s="1"/>
  <c r="AK19" i="1"/>
  <c r="AL19" i="1" s="1"/>
  <c r="AI19" i="1"/>
  <c r="AJ19" i="1" s="1"/>
  <c r="AH19" i="1"/>
  <c r="AG19" i="1"/>
  <c r="AD19" i="1"/>
  <c r="BP18" i="1"/>
  <c r="BM18" i="1"/>
  <c r="BH18" i="1"/>
  <c r="AY18" i="1"/>
  <c r="AZ18" i="1" s="1"/>
  <c r="AW18" i="1"/>
  <c r="AX18" i="1" s="1"/>
  <c r="AV18" i="1"/>
  <c r="AU18" i="1"/>
  <c r="AS18" i="1"/>
  <c r="AT18" i="1" s="1"/>
  <c r="BD18" i="1" s="1"/>
  <c r="AQ18" i="1"/>
  <c r="AR18" i="1" s="1"/>
  <c r="AO18" i="1"/>
  <c r="AP18" i="1" s="1"/>
  <c r="AM18" i="1"/>
  <c r="AN18" i="1" s="1"/>
  <c r="AK18" i="1"/>
  <c r="AL18" i="1" s="1"/>
  <c r="AI18" i="1"/>
  <c r="AJ18" i="1" s="1"/>
  <c r="AG18" i="1"/>
  <c r="AH18" i="1" s="1"/>
  <c r="AD18" i="1"/>
  <c r="BP17" i="1"/>
  <c r="BM17" i="1"/>
  <c r="BH17" i="1"/>
  <c r="AY17" i="1"/>
  <c r="AZ17" i="1" s="1"/>
  <c r="AW17" i="1"/>
  <c r="AX17" i="1" s="1"/>
  <c r="AU17" i="1"/>
  <c r="AV17" i="1" s="1"/>
  <c r="AS17" i="1"/>
  <c r="AT17" i="1" s="1"/>
  <c r="BD17" i="1" s="1"/>
  <c r="AQ17" i="1"/>
  <c r="AR17" i="1" s="1"/>
  <c r="AO17" i="1"/>
  <c r="AP17" i="1" s="1"/>
  <c r="BC17" i="1" s="1"/>
  <c r="AM17" i="1"/>
  <c r="AN17" i="1" s="1"/>
  <c r="AL17" i="1"/>
  <c r="AK17" i="1"/>
  <c r="AI17" i="1"/>
  <c r="AJ17" i="1" s="1"/>
  <c r="AG17" i="1"/>
  <c r="AH17" i="1" s="1"/>
  <c r="AD17" i="1"/>
  <c r="BP16" i="1"/>
  <c r="BM16" i="1"/>
  <c r="BH16" i="1"/>
  <c r="AZ16" i="1"/>
  <c r="AY16" i="1"/>
  <c r="AW16" i="1"/>
  <c r="AX16" i="1" s="1"/>
  <c r="BE16" i="1" s="1"/>
  <c r="AU16" i="1"/>
  <c r="AV16" i="1" s="1"/>
  <c r="AS16" i="1"/>
  <c r="AT16" i="1" s="1"/>
  <c r="AQ16" i="1"/>
  <c r="AR16" i="1" s="1"/>
  <c r="AO16" i="1"/>
  <c r="AP16" i="1" s="1"/>
  <c r="AM16" i="1"/>
  <c r="AN16" i="1" s="1"/>
  <c r="AK16" i="1"/>
  <c r="AL16" i="1" s="1"/>
  <c r="AJ16" i="1"/>
  <c r="AI16" i="1"/>
  <c r="AG16" i="1"/>
  <c r="AH16" i="1" s="1"/>
  <c r="AD16" i="1"/>
  <c r="BP15" i="1"/>
  <c r="BM15" i="1"/>
  <c r="BH15" i="1"/>
  <c r="AY15" i="1"/>
  <c r="AZ15" i="1" s="1"/>
  <c r="AX15" i="1"/>
  <c r="AW15" i="1"/>
  <c r="AU15" i="1"/>
  <c r="AV15" i="1" s="1"/>
  <c r="AS15" i="1"/>
  <c r="AT15" i="1" s="1"/>
  <c r="AQ15" i="1"/>
  <c r="AR15" i="1" s="1"/>
  <c r="AO15" i="1"/>
  <c r="AP15" i="1" s="1"/>
  <c r="BC15" i="1" s="1"/>
  <c r="AM15" i="1"/>
  <c r="AN15" i="1" s="1"/>
  <c r="AK15" i="1"/>
  <c r="AL15" i="1" s="1"/>
  <c r="AI15" i="1"/>
  <c r="AJ15" i="1" s="1"/>
  <c r="AH15" i="1"/>
  <c r="BA15" i="1" s="1"/>
  <c r="AG15" i="1"/>
  <c r="AD15" i="1"/>
  <c r="BP14" i="1"/>
  <c r="BM14" i="1"/>
  <c r="BH14" i="1"/>
  <c r="AY14" i="1"/>
  <c r="AZ14" i="1" s="1"/>
  <c r="AW14" i="1"/>
  <c r="AX14" i="1" s="1"/>
  <c r="AV14" i="1"/>
  <c r="AU14" i="1"/>
  <c r="AS14" i="1"/>
  <c r="AT14" i="1" s="1"/>
  <c r="BD14" i="1" s="1"/>
  <c r="AQ14" i="1"/>
  <c r="AR14" i="1" s="1"/>
  <c r="AO14" i="1"/>
  <c r="AP14" i="1" s="1"/>
  <c r="AM14" i="1"/>
  <c r="AN14" i="1" s="1"/>
  <c r="AK14" i="1"/>
  <c r="AL14" i="1" s="1"/>
  <c r="AI14" i="1"/>
  <c r="AJ14" i="1" s="1"/>
  <c r="AG14" i="1"/>
  <c r="AH14" i="1" s="1"/>
  <c r="AD14" i="1"/>
  <c r="BP13" i="1"/>
  <c r="BM13" i="1"/>
  <c r="BH13" i="1"/>
  <c r="AY13" i="1"/>
  <c r="AZ13" i="1" s="1"/>
  <c r="AW13" i="1"/>
  <c r="AX13" i="1" s="1"/>
  <c r="AU13" i="1"/>
  <c r="AV13" i="1" s="1"/>
  <c r="AS13" i="1"/>
  <c r="AT13" i="1" s="1"/>
  <c r="AQ13" i="1"/>
  <c r="AR13" i="1" s="1"/>
  <c r="AO13" i="1"/>
  <c r="AP13" i="1" s="1"/>
  <c r="AM13" i="1"/>
  <c r="AN13" i="1" s="1"/>
  <c r="AL13" i="1"/>
  <c r="AK13" i="1"/>
  <c r="AI13" i="1"/>
  <c r="AJ13" i="1" s="1"/>
  <c r="AG13" i="1"/>
  <c r="AH13" i="1" s="1"/>
  <c r="AD13" i="1"/>
  <c r="BP12" i="1"/>
  <c r="BM12" i="1"/>
  <c r="BH12" i="1"/>
  <c r="AZ12" i="1"/>
  <c r="AY12" i="1"/>
  <c r="AW12" i="1"/>
  <c r="AX12" i="1" s="1"/>
  <c r="BE12" i="1" s="1"/>
  <c r="AU12" i="1"/>
  <c r="AV12" i="1" s="1"/>
  <c r="AS12" i="1"/>
  <c r="AT12" i="1" s="1"/>
  <c r="AQ12" i="1"/>
  <c r="AR12" i="1" s="1"/>
  <c r="AO12" i="1"/>
  <c r="AP12" i="1" s="1"/>
  <c r="AM12" i="1"/>
  <c r="AN12" i="1" s="1"/>
  <c r="AK12" i="1"/>
  <c r="AL12" i="1" s="1"/>
  <c r="AJ12" i="1"/>
  <c r="AI12" i="1"/>
  <c r="AG12" i="1"/>
  <c r="AH12" i="1" s="1"/>
  <c r="BA12" i="1" s="1"/>
  <c r="AD12" i="1"/>
  <c r="BP11" i="1"/>
  <c r="BM11" i="1"/>
  <c r="BH11" i="1"/>
  <c r="AY11" i="1"/>
  <c r="AZ11" i="1" s="1"/>
  <c r="AW11" i="1"/>
  <c r="AX11" i="1" s="1"/>
  <c r="BE11" i="1" s="1"/>
  <c r="AU11" i="1"/>
  <c r="AV11" i="1" s="1"/>
  <c r="AS11" i="1"/>
  <c r="AT11" i="1" s="1"/>
  <c r="AQ11" i="1"/>
  <c r="AR11" i="1" s="1"/>
  <c r="AO11" i="1"/>
  <c r="AP11" i="1" s="1"/>
  <c r="AM11" i="1"/>
  <c r="AN11" i="1" s="1"/>
  <c r="AK11" i="1"/>
  <c r="AL11" i="1" s="1"/>
  <c r="BB11" i="1" s="1"/>
  <c r="AI11" i="1"/>
  <c r="AJ11" i="1" s="1"/>
  <c r="AH11" i="1"/>
  <c r="AG11" i="1"/>
  <c r="AD11" i="1"/>
  <c r="BP10" i="1"/>
  <c r="BM10" i="1"/>
  <c r="BH10" i="1"/>
  <c r="AY10" i="1"/>
  <c r="AZ10" i="1" s="1"/>
  <c r="AW10" i="1"/>
  <c r="AX10" i="1" s="1"/>
  <c r="AU10" i="1"/>
  <c r="AS10" i="1"/>
  <c r="AT10" i="1" s="1"/>
  <c r="AQ10" i="1"/>
  <c r="AR10" i="1" s="1"/>
  <c r="AO10" i="1"/>
  <c r="AP10" i="1" s="1"/>
  <c r="AN10" i="1"/>
  <c r="AM10" i="1"/>
  <c r="AK10" i="1"/>
  <c r="AL10" i="1" s="1"/>
  <c r="AI10" i="1"/>
  <c r="AJ10" i="1" s="1"/>
  <c r="AG10" i="1"/>
  <c r="AH10" i="1" s="1"/>
  <c r="BA10" i="1" s="1"/>
  <c r="AD10" i="1"/>
  <c r="BP9" i="1"/>
  <c r="BM9" i="1"/>
  <c r="BH9" i="1"/>
  <c r="AY9" i="1"/>
  <c r="AW9" i="1"/>
  <c r="AX9" i="1" s="1"/>
  <c r="AU9" i="1"/>
  <c r="AV9" i="1" s="1"/>
  <c r="AS9" i="1"/>
  <c r="AQ9" i="1"/>
  <c r="AO9" i="1"/>
  <c r="AM9" i="1"/>
  <c r="AK9" i="1"/>
  <c r="AL9" i="1" s="1"/>
  <c r="AI9" i="1"/>
  <c r="AG9" i="1"/>
  <c r="AF9" i="1"/>
  <c r="AT9" i="1" s="1"/>
  <c r="BD9" i="1" s="1"/>
  <c r="AD9" i="1"/>
  <c r="BP8" i="1"/>
  <c r="BM8" i="1"/>
  <c r="BH8" i="1"/>
  <c r="AY8" i="1"/>
  <c r="AZ8" i="1" s="1"/>
  <c r="AW8" i="1"/>
  <c r="AX8" i="1" s="1"/>
  <c r="AU8" i="1"/>
  <c r="AV8" i="1" s="1"/>
  <c r="AS8" i="1"/>
  <c r="AT8" i="1" s="1"/>
  <c r="AQ8" i="1"/>
  <c r="AR8" i="1" s="1"/>
  <c r="AO8" i="1"/>
  <c r="AP8" i="1" s="1"/>
  <c r="AM8" i="1"/>
  <c r="AN8" i="1" s="1"/>
  <c r="AK8" i="1"/>
  <c r="AL8" i="1" s="1"/>
  <c r="AI8" i="1"/>
  <c r="AJ8" i="1" s="1"/>
  <c r="AG8" i="1"/>
  <c r="AH8" i="1" s="1"/>
  <c r="AD8" i="1"/>
  <c r="BC29" i="1" l="1"/>
  <c r="BD46" i="1"/>
  <c r="BA74" i="1"/>
  <c r="BC28" i="1"/>
  <c r="BA89" i="1"/>
  <c r="BF89" i="1" s="1"/>
  <c r="BC93" i="1"/>
  <c r="BF26" i="1"/>
  <c r="BA33" i="1"/>
  <c r="BB38" i="1"/>
  <c r="BF38" i="1" s="1"/>
  <c r="BB42" i="1"/>
  <c r="BF42" i="1" s="1"/>
  <c r="BD47" i="1"/>
  <c r="BE70" i="1"/>
  <c r="BD76" i="1"/>
  <c r="BE87" i="1"/>
  <c r="BD88" i="1"/>
  <c r="BB46" i="1"/>
  <c r="BD26" i="1"/>
  <c r="BB31" i="1"/>
  <c r="BF31" i="1" s="1"/>
  <c r="BD84" i="1"/>
  <c r="BA86" i="1"/>
  <c r="BA93" i="1"/>
  <c r="BD30" i="1"/>
  <c r="BD69" i="1"/>
  <c r="BF69" i="1" s="1"/>
  <c r="BA70" i="1"/>
  <c r="BB78" i="1"/>
  <c r="BA85" i="1"/>
  <c r="BB92" i="1"/>
  <c r="BA95" i="1"/>
  <c r="BD99" i="1"/>
  <c r="BF99" i="1" s="1"/>
  <c r="BB110" i="1"/>
  <c r="BC144" i="1"/>
  <c r="BB151" i="1"/>
  <c r="BB159" i="1"/>
  <c r="BA181" i="1"/>
  <c r="BA189" i="1"/>
  <c r="BC214" i="1"/>
  <c r="BF261" i="1"/>
  <c r="BD11" i="1"/>
  <c r="BB12" i="1"/>
  <c r="BF12" i="1" s="1"/>
  <c r="BE13" i="1"/>
  <c r="BA18" i="1"/>
  <c r="BD19" i="1"/>
  <c r="BB20" i="1"/>
  <c r="BE21" i="1"/>
  <c r="BC22" i="1"/>
  <c r="BB24" i="1"/>
  <c r="BA34" i="1"/>
  <c r="BF34" i="1" s="1"/>
  <c r="BB43" i="1"/>
  <c r="BA45" i="1"/>
  <c r="BE45" i="1"/>
  <c r="BC82" i="1"/>
  <c r="BA84" i="1"/>
  <c r="BF84" i="1" s="1"/>
  <c r="BB95" i="1"/>
  <c r="BC101" i="1"/>
  <c r="AN9" i="1"/>
  <c r="BB9" i="1" s="1"/>
  <c r="BE29" i="1"/>
  <c r="BB30" i="1"/>
  <c r="BF30" i="1" s="1"/>
  <c r="BD34" i="1"/>
  <c r="BB35" i="1"/>
  <c r="BA66" i="1"/>
  <c r="BD72" i="1"/>
  <c r="BD90" i="1"/>
  <c r="BD122" i="1"/>
  <c r="BD155" i="1"/>
  <c r="BA32" i="1"/>
  <c r="AP9" i="1"/>
  <c r="AV10" i="1"/>
  <c r="BC12" i="1"/>
  <c r="BB18" i="1"/>
  <c r="BF18" i="1" s="1"/>
  <c r="BC20" i="1"/>
  <c r="BD27" i="1"/>
  <c r="BD32" i="1"/>
  <c r="BE34" i="1"/>
  <c r="BD39" i="1"/>
  <c r="BC41" i="1"/>
  <c r="BB77" i="1"/>
  <c r="BF77" i="1" s="1"/>
  <c r="BE84" i="1"/>
  <c r="BE90" i="1"/>
  <c r="BE111" i="1"/>
  <c r="BB138" i="1"/>
  <c r="BE148" i="1"/>
  <c r="BC149" i="1"/>
  <c r="BC185" i="1"/>
  <c r="BA193" i="1"/>
  <c r="BE201" i="1"/>
  <c r="BB10" i="1"/>
  <c r="BA16" i="1"/>
  <c r="BE28" i="1"/>
  <c r="BA40" i="1"/>
  <c r="BF73" i="1"/>
  <c r="BE104" i="1"/>
  <c r="AR9" i="1"/>
  <c r="BE14" i="1"/>
  <c r="BB23" i="1"/>
  <c r="BA25" i="1"/>
  <c r="BE25" i="1"/>
  <c r="BB28" i="1"/>
  <c r="BC30" i="1"/>
  <c r="BA37" i="1"/>
  <c r="BE37" i="1"/>
  <c r="BB40" i="1"/>
  <c r="BD89" i="1"/>
  <c r="BD93" i="1"/>
  <c r="AV94" i="1"/>
  <c r="BD94" i="1" s="1"/>
  <c r="AZ94" i="1"/>
  <c r="BA99" i="1"/>
  <c r="BD103" i="1"/>
  <c r="BC105" i="1"/>
  <c r="BA148" i="1"/>
  <c r="BD151" i="1"/>
  <c r="BD159" i="1"/>
  <c r="BC189" i="1"/>
  <c r="BE205" i="1"/>
  <c r="BC209" i="1"/>
  <c r="BA11" i="1"/>
  <c r="BD12" i="1"/>
  <c r="BC18" i="1"/>
  <c r="BC26" i="1"/>
  <c r="BD36" i="1"/>
  <c r="BE44" i="1"/>
  <c r="BE76" i="1"/>
  <c r="BD81" i="1"/>
  <c r="BF81" i="1" s="1"/>
  <c r="BA82" i="1"/>
  <c r="BE83" i="1"/>
  <c r="BA96" i="1"/>
  <c r="BE96" i="1"/>
  <c r="BD98" i="1"/>
  <c r="BB99" i="1"/>
  <c r="BB106" i="1"/>
  <c r="BB113" i="1"/>
  <c r="BD142" i="1"/>
  <c r="BA153" i="1"/>
  <c r="BF153" i="1" s="1"/>
  <c r="BD43" i="1"/>
  <c r="BC45" i="1"/>
  <c r="BC66" i="1"/>
  <c r="BD70" i="1"/>
  <c r="BD86" i="1"/>
  <c r="BA101" i="1"/>
  <c r="BE101" i="1"/>
  <c r="BB104" i="1"/>
  <c r="BC115" i="1"/>
  <c r="BB134" i="1"/>
  <c r="BC136" i="1"/>
  <c r="BB139" i="1"/>
  <c r="BF139" i="1" s="1"/>
  <c r="BB162" i="1"/>
  <c r="BB183" i="1"/>
  <c r="BB187" i="1"/>
  <c r="BF187" i="1" s="1"/>
  <c r="BA201" i="1"/>
  <c r="BA205" i="1"/>
  <c r="BD248" i="1"/>
  <c r="BE9" i="1"/>
  <c r="BB32" i="1"/>
  <c r="BF32" i="1" s="1"/>
  <c r="BC34" i="1"/>
  <c r="BC40" i="1"/>
  <c r="BB72" i="1"/>
  <c r="BE32" i="1"/>
  <c r="AZ9" i="1"/>
  <c r="BD10" i="1"/>
  <c r="BB14" i="1"/>
  <c r="BC16" i="1"/>
  <c r="BA17" i="1"/>
  <c r="BB27" i="1"/>
  <c r="BB39" i="1"/>
  <c r="BA41" i="1"/>
  <c r="BE41" i="1"/>
  <c r="BB44" i="1"/>
  <c r="BE48" i="1"/>
  <c r="BD67" i="1"/>
  <c r="BE71" i="1"/>
  <c r="BD77" i="1"/>
  <c r="BA91" i="1"/>
  <c r="BF91" i="1" s="1"/>
  <c r="BE98" i="1"/>
  <c r="BD143" i="1"/>
  <c r="BB155" i="1"/>
  <c r="BE163" i="1"/>
  <c r="AH9" i="1"/>
  <c r="BE24" i="1"/>
  <c r="BB25" i="1"/>
  <c r="BB64" i="1"/>
  <c r="BE78" i="1"/>
  <c r="BD87" i="1"/>
  <c r="BA88" i="1"/>
  <c r="BF90" i="1"/>
  <c r="BA92" i="1"/>
  <c r="BF93" i="1"/>
  <c r="BA103" i="1"/>
  <c r="BA185" i="1"/>
  <c r="BD243" i="1"/>
  <c r="AJ9" i="1"/>
  <c r="BD23" i="1"/>
  <c r="BC25" i="1"/>
  <c r="BB36" i="1"/>
  <c r="BC37" i="1"/>
  <c r="AP94" i="1"/>
  <c r="BC94" i="1" s="1"/>
  <c r="BB103" i="1"/>
  <c r="BA105" i="1"/>
  <c r="BE115" i="1"/>
  <c r="BC116" i="1"/>
  <c r="BD256" i="1"/>
  <c r="BE116" i="1"/>
  <c r="BD119" i="1"/>
  <c r="BE138" i="1"/>
  <c r="BC141" i="1"/>
  <c r="BA142" i="1"/>
  <c r="BD147" i="1"/>
  <c r="BB148" i="1"/>
  <c r="BB158" i="1"/>
  <c r="BE162" i="1"/>
  <c r="BD166" i="1"/>
  <c r="BD168" i="1"/>
  <c r="BD177" i="1"/>
  <c r="BD183" i="1"/>
  <c r="BB195" i="1"/>
  <c r="BF195" i="1" s="1"/>
  <c r="BB203" i="1"/>
  <c r="BF203" i="1" s="1"/>
  <c r="AZ231" i="1"/>
  <c r="BE231" i="1" s="1"/>
  <c r="BE254" i="1"/>
  <c r="BE257" i="1"/>
  <c r="BD259" i="1"/>
  <c r="BB260" i="1"/>
  <c r="BE262" i="1"/>
  <c r="BD264" i="1"/>
  <c r="BD269" i="1"/>
  <c r="BF269" i="1" s="1"/>
  <c r="BB270" i="1"/>
  <c r="BE276" i="1"/>
  <c r="BC277" i="1"/>
  <c r="BE286" i="1"/>
  <c r="BE361" i="1"/>
  <c r="BA375" i="1"/>
  <c r="BE376" i="1"/>
  <c r="BC378" i="1"/>
  <c r="BB381" i="1"/>
  <c r="BD383" i="1"/>
  <c r="BF383" i="1" s="1"/>
  <c r="BD395" i="1"/>
  <c r="BE412" i="1"/>
  <c r="BD107" i="1"/>
  <c r="BC113" i="1"/>
  <c r="BE123" i="1"/>
  <c r="BE128" i="1"/>
  <c r="BB129" i="1"/>
  <c r="BF129" i="1" s="1"/>
  <c r="BC130" i="1"/>
  <c r="BD136" i="1"/>
  <c r="BD137" i="1"/>
  <c r="BA147" i="1"/>
  <c r="BE152" i="1"/>
  <c r="BA156" i="1"/>
  <c r="BD160" i="1"/>
  <c r="BD161" i="1"/>
  <c r="BC163" i="1"/>
  <c r="BB165" i="1"/>
  <c r="BB184" i="1"/>
  <c r="BF184" i="1" s="1"/>
  <c r="BB192" i="1"/>
  <c r="BD196" i="1"/>
  <c r="BB200" i="1"/>
  <c r="BD212" i="1"/>
  <c r="BA213" i="1"/>
  <c r="BE213" i="1"/>
  <c r="BB216" i="1"/>
  <c r="BF216" i="1" s="1"/>
  <c r="BA225" i="1"/>
  <c r="BB227" i="1"/>
  <c r="AX232" i="1"/>
  <c r="BE232" i="1" s="1"/>
  <c r="BE234" i="1"/>
  <c r="BA248" i="1"/>
  <c r="BE248" i="1"/>
  <c r="BC258" i="1"/>
  <c r="BC268" i="1"/>
  <c r="BD380" i="1"/>
  <c r="BE417" i="1"/>
  <c r="BD452" i="1"/>
  <c r="BF476" i="1"/>
  <c r="BD110" i="1"/>
  <c r="BD127" i="1"/>
  <c r="BE142" i="1"/>
  <c r="BA146" i="1"/>
  <c r="BB152" i="1"/>
  <c r="BB174" i="1"/>
  <c r="BC178" i="1"/>
  <c r="BC190" i="1"/>
  <c r="BC198" i="1"/>
  <c r="BC206" i="1"/>
  <c r="BE218" i="1"/>
  <c r="AT229" i="1"/>
  <c r="BD229" i="1" s="1"/>
  <c r="AL230" i="1"/>
  <c r="AZ232" i="1"/>
  <c r="BE239" i="1"/>
  <c r="AR247" i="1"/>
  <c r="BC247" i="1" s="1"/>
  <c r="BD250" i="1"/>
  <c r="BD273" i="1"/>
  <c r="BA110" i="1"/>
  <c r="BA127" i="1"/>
  <c r="BE132" i="1"/>
  <c r="BC134" i="1"/>
  <c r="BE137" i="1"/>
  <c r="BD140" i="1"/>
  <c r="BD141" i="1"/>
  <c r="BB147" i="1"/>
  <c r="BD150" i="1"/>
  <c r="BA151" i="1"/>
  <c r="BE156" i="1"/>
  <c r="BC167" i="1"/>
  <c r="BA168" i="1"/>
  <c r="BF168" i="1" s="1"/>
  <c r="BE181" i="1"/>
  <c r="BC182" i="1"/>
  <c r="BC211" i="1"/>
  <c r="BE215" i="1"/>
  <c r="BD217" i="1"/>
  <c r="AV229" i="1"/>
  <c r="AN230" i="1"/>
  <c r="BA241" i="1"/>
  <c r="BE243" i="1"/>
  <c r="AH246" i="1"/>
  <c r="BB254" i="1"/>
  <c r="BA256" i="1"/>
  <c r="BE256" i="1"/>
  <c r="BB265" i="1"/>
  <c r="BC270" i="1"/>
  <c r="BD277" i="1"/>
  <c r="BF277" i="1" s="1"/>
  <c r="BD114" i="1"/>
  <c r="BB115" i="1"/>
  <c r="BF115" i="1" s="1"/>
  <c r="BC124" i="1"/>
  <c r="BA126" i="1"/>
  <c r="BE127" i="1"/>
  <c r="BD131" i="1"/>
  <c r="BB132" i="1"/>
  <c r="BA150" i="1"/>
  <c r="BB156" i="1"/>
  <c r="BE171" i="1"/>
  <c r="BD219" i="1"/>
  <c r="BD233" i="1"/>
  <c r="BC255" i="1"/>
  <c r="BD258" i="1"/>
  <c r="BD268" i="1"/>
  <c r="BD374" i="1"/>
  <c r="BE378" i="1"/>
  <c r="BB382" i="1"/>
  <c r="BE388" i="1"/>
  <c r="BD429" i="1"/>
  <c r="BC451" i="1"/>
  <c r="BA114" i="1"/>
  <c r="BF114" i="1" s="1"/>
  <c r="BB119" i="1"/>
  <c r="BB127" i="1"/>
  <c r="BF127" i="1" s="1"/>
  <c r="BD130" i="1"/>
  <c r="BE136" i="1"/>
  <c r="BC138" i="1"/>
  <c r="BE141" i="1"/>
  <c r="BD144" i="1"/>
  <c r="BD145" i="1"/>
  <c r="BF145" i="1" s="1"/>
  <c r="BD154" i="1"/>
  <c r="BA155" i="1"/>
  <c r="BE160" i="1"/>
  <c r="BF161" i="1"/>
  <c r="BA164" i="1"/>
  <c r="BD165" i="1"/>
  <c r="BF177" i="1"/>
  <c r="BB179" i="1"/>
  <c r="BC180" i="1"/>
  <c r="BD235" i="1"/>
  <c r="AV247" i="1"/>
  <c r="BE250" i="1"/>
  <c r="BF376" i="1"/>
  <c r="BF385" i="1"/>
  <c r="BA107" i="1"/>
  <c r="BC108" i="1"/>
  <c r="BC111" i="1"/>
  <c r="BA113" i="1"/>
  <c r="BD117" i="1"/>
  <c r="BA118" i="1"/>
  <c r="BF118" i="1" s="1"/>
  <c r="BA130" i="1"/>
  <c r="BB146" i="1"/>
  <c r="BC152" i="1"/>
  <c r="BC153" i="1"/>
  <c r="BA154" i="1"/>
  <c r="BA166" i="1"/>
  <c r="BB191" i="1"/>
  <c r="BF191" i="1" s="1"/>
  <c r="BB199" i="1"/>
  <c r="BF199" i="1" s="1"/>
  <c r="BB207" i="1"/>
  <c r="BF207" i="1" s="1"/>
  <c r="BE209" i="1"/>
  <c r="BD211" i="1"/>
  <c r="BA221" i="1"/>
  <c r="BD227" i="1"/>
  <c r="BD242" i="1"/>
  <c r="BC254" i="1"/>
  <c r="BB264" i="1"/>
  <c r="BD270" i="1"/>
  <c r="BA277" i="1"/>
  <c r="BE277" i="1"/>
  <c r="BD384" i="1"/>
  <c r="BA109" i="1"/>
  <c r="BA117" i="1"/>
  <c r="BD124" i="1"/>
  <c r="BD125" i="1"/>
  <c r="BA135" i="1"/>
  <c r="BE140" i="1"/>
  <c r="BC142" i="1"/>
  <c r="BD148" i="1"/>
  <c r="BD149" i="1"/>
  <c r="BF149" i="1" s="1"/>
  <c r="BD158" i="1"/>
  <c r="BA159" i="1"/>
  <c r="BB164" i="1"/>
  <c r="BF164" i="1" s="1"/>
  <c r="BD174" i="1"/>
  <c r="BB196" i="1"/>
  <c r="BF196" i="1" s="1"/>
  <c r="BD200" i="1"/>
  <c r="BB204" i="1"/>
  <c r="BD208" i="1"/>
  <c r="BB212" i="1"/>
  <c r="AX230" i="1"/>
  <c r="AL232" i="1"/>
  <c r="BB232" i="1" s="1"/>
  <c r="AP246" i="1"/>
  <c r="BE258" i="1"/>
  <c r="BC267" i="1"/>
  <c r="BE268" i="1"/>
  <c r="BA274" i="1"/>
  <c r="BD283" i="1"/>
  <c r="BD349" i="1"/>
  <c r="BE371" i="1"/>
  <c r="BD375" i="1"/>
  <c r="BF375" i="1" s="1"/>
  <c r="BB380" i="1"/>
  <c r="BF380" i="1" s="1"/>
  <c r="BA387" i="1"/>
  <c r="BD451" i="1"/>
  <c r="BA454" i="1"/>
  <c r="BE113" i="1"/>
  <c r="BD121" i="1"/>
  <c r="BF121" i="1" s="1"/>
  <c r="BA122" i="1"/>
  <c r="BB126" i="1"/>
  <c r="BE130" i="1"/>
  <c r="BC132" i="1"/>
  <c r="BA134" i="1"/>
  <c r="BB140" i="1"/>
  <c r="BB150" i="1"/>
  <c r="BC157" i="1"/>
  <c r="BB181" i="1"/>
  <c r="BF181" i="1" s="1"/>
  <c r="BC186" i="1"/>
  <c r="BC194" i="1"/>
  <c r="BC197" i="1"/>
  <c r="BC202" i="1"/>
  <c r="BC210" i="1"/>
  <c r="AZ230" i="1"/>
  <c r="BD237" i="1"/>
  <c r="BB250" i="1"/>
  <c r="BA252" i="1"/>
  <c r="BE252" i="1"/>
  <c r="BE275" i="1"/>
  <c r="BC119" i="1"/>
  <c r="BC120" i="1"/>
  <c r="BA121" i="1"/>
  <c r="BA124" i="1"/>
  <c r="BE125" i="1"/>
  <c r="BD128" i="1"/>
  <c r="BD129" i="1"/>
  <c r="BB135" i="1"/>
  <c r="BD138" i="1"/>
  <c r="BE144" i="1"/>
  <c r="BC146" i="1"/>
  <c r="BD152" i="1"/>
  <c r="BD153" i="1"/>
  <c r="BA163" i="1"/>
  <c r="BC166" i="1"/>
  <c r="BE182" i="1"/>
  <c r="BC191" i="1"/>
  <c r="BE227" i="1"/>
  <c r="AH229" i="1"/>
  <c r="BD238" i="1"/>
  <c r="BC251" i="1"/>
  <c r="BD254" i="1"/>
  <c r="BA260" i="1"/>
  <c r="BC264" i="1"/>
  <c r="BA270" i="1"/>
  <c r="BF270" i="1" s="1"/>
  <c r="BE270" i="1"/>
  <c r="BD276" i="1"/>
  <c r="BB277" i="1"/>
  <c r="BB279" i="1"/>
  <c r="BB368" i="1"/>
  <c r="BA374" i="1"/>
  <c r="BE375" i="1"/>
  <c r="BA384" i="1"/>
  <c r="BA396" i="1"/>
  <c r="BA106" i="1"/>
  <c r="BE106" i="1"/>
  <c r="BE134" i="1"/>
  <c r="BA138" i="1"/>
  <c r="BB144" i="1"/>
  <c r="BB154" i="1"/>
  <c r="BE158" i="1"/>
  <c r="BA162" i="1"/>
  <c r="BC164" i="1"/>
  <c r="BE175" i="1"/>
  <c r="BC181" i="1"/>
  <c r="BB226" i="1"/>
  <c r="AJ229" i="1"/>
  <c r="BD234" i="1"/>
  <c r="BA235" i="1"/>
  <c r="BA237" i="1"/>
  <c r="BC239" i="1"/>
  <c r="BC383" i="1"/>
  <c r="BC387" i="1"/>
  <c r="BE427" i="1"/>
  <c r="BA111" i="1"/>
  <c r="BE112" i="1"/>
  <c r="BD115" i="1"/>
  <c r="BA116" i="1"/>
  <c r="BB117" i="1"/>
  <c r="BE121" i="1"/>
  <c r="BE124" i="1"/>
  <c r="BD133" i="1"/>
  <c r="BF133" i="1" s="1"/>
  <c r="BA143" i="1"/>
  <c r="BF143" i="1" s="1"/>
  <c r="BC150" i="1"/>
  <c r="BD156" i="1"/>
  <c r="BD157" i="1"/>
  <c r="BB163" i="1"/>
  <c r="BD179" i="1"/>
  <c r="BB219" i="1"/>
  <c r="BC221" i="1"/>
  <c r="BB242" i="1"/>
  <c r="AN247" i="1"/>
  <c r="BB247" i="1" s="1"/>
  <c r="BC250" i="1"/>
  <c r="BE318" i="1"/>
  <c r="BF374" i="1"/>
  <c r="BA281" i="1"/>
  <c r="BE281" i="1"/>
  <c r="BC287" i="1"/>
  <c r="BC289" i="1"/>
  <c r="BB291" i="1"/>
  <c r="BA292" i="1"/>
  <c r="BD294" i="1"/>
  <c r="BA295" i="1"/>
  <c r="BF295" i="1" s="1"/>
  <c r="BE297" i="1"/>
  <c r="BA299" i="1"/>
  <c r="BD302" i="1"/>
  <c r="BA303" i="1"/>
  <c r="BC310" i="1"/>
  <c r="BA311" i="1"/>
  <c r="BC314" i="1"/>
  <c r="BB315" i="1"/>
  <c r="BE322" i="1"/>
  <c r="BB325" i="1"/>
  <c r="BA328" i="1"/>
  <c r="BE331" i="1"/>
  <c r="BB338" i="1"/>
  <c r="BB339" i="1"/>
  <c r="BC343" i="1"/>
  <c r="BE345" i="1"/>
  <c r="BD350" i="1"/>
  <c r="BB351" i="1"/>
  <c r="BC353" i="1"/>
  <c r="BE359" i="1"/>
  <c r="BA366" i="1"/>
  <c r="BC372" i="1"/>
  <c r="BD390" i="1"/>
  <c r="BB406" i="1"/>
  <c r="BF406" i="1" s="1"/>
  <c r="BE409" i="1"/>
  <c r="BB413" i="1"/>
  <c r="BD415" i="1"/>
  <c r="BE424" i="1"/>
  <c r="BC433" i="1"/>
  <c r="BE435" i="1"/>
  <c r="BD436" i="1"/>
  <c r="AJ437" i="1"/>
  <c r="BD444" i="1"/>
  <c r="BB445" i="1"/>
  <c r="AL448" i="1"/>
  <c r="BB448" i="1" s="1"/>
  <c r="BD450" i="1"/>
  <c r="BD457" i="1"/>
  <c r="BE468" i="1"/>
  <c r="BE474" i="1"/>
  <c r="BD476" i="1"/>
  <c r="BD480" i="1"/>
  <c r="BE481" i="1"/>
  <c r="BA494" i="1"/>
  <c r="BF494" i="1" s="1"/>
  <c r="BA497" i="1"/>
  <c r="BF497" i="1" s="1"/>
  <c r="BB502" i="1"/>
  <c r="BD529" i="1"/>
  <c r="BD536" i="1"/>
  <c r="BB538" i="1"/>
  <c r="BF538" i="1" s="1"/>
  <c r="BB311" i="1"/>
  <c r="BF311" i="1" s="1"/>
  <c r="BC327" i="1"/>
  <c r="BD338" i="1"/>
  <c r="BB361" i="1"/>
  <c r="BB364" i="1"/>
  <c r="BB414" i="1"/>
  <c r="BC422" i="1"/>
  <c r="BC434" i="1"/>
  <c r="AN437" i="1"/>
  <c r="BB437" i="1" s="1"/>
  <c r="AT448" i="1"/>
  <c r="BD448" i="1" s="1"/>
  <c r="AL449" i="1"/>
  <c r="BB449" i="1" s="1"/>
  <c r="BA452" i="1"/>
  <c r="BF452" i="1" s="1"/>
  <c r="BA460" i="1"/>
  <c r="BE472" i="1"/>
  <c r="BC473" i="1"/>
  <c r="BE476" i="1"/>
  <c r="BA531" i="1"/>
  <c r="BB537" i="1"/>
  <c r="BC291" i="1"/>
  <c r="BC320" i="1"/>
  <c r="BC339" i="1"/>
  <c r="AX357" i="1"/>
  <c r="BD389" i="1"/>
  <c r="BE405" i="1"/>
  <c r="BC440" i="1"/>
  <c r="BE441" i="1"/>
  <c r="BA443" i="1"/>
  <c r="BC445" i="1"/>
  <c r="AZ447" i="1"/>
  <c r="BE447" i="1" s="1"/>
  <c r="AN449" i="1"/>
  <c r="BC459" i="1"/>
  <c r="BB466" i="1"/>
  <c r="BF466" i="1" s="1"/>
  <c r="BC467" i="1"/>
  <c r="BC475" i="1"/>
  <c r="BE480" i="1"/>
  <c r="BD482" i="1"/>
  <c r="BE489" i="1"/>
  <c r="BC490" i="1"/>
  <c r="BC492" i="1"/>
  <c r="BD493" i="1"/>
  <c r="BC279" i="1"/>
  <c r="BA285" i="1"/>
  <c r="BE285" i="1"/>
  <c r="BC295" i="1"/>
  <c r="BC299" i="1"/>
  <c r="BC303" i="1"/>
  <c r="BC344" i="1"/>
  <c r="BE348" i="1"/>
  <c r="BC358" i="1"/>
  <c r="BD362" i="1"/>
  <c r="BB390" i="1"/>
  <c r="BF390" i="1" s="1"/>
  <c r="BD422" i="1"/>
  <c r="BA427" i="1"/>
  <c r="BD428" i="1"/>
  <c r="BE433" i="1"/>
  <c r="BE436" i="1"/>
  <c r="AT449" i="1"/>
  <c r="BD449" i="1" s="1"/>
  <c r="BE450" i="1"/>
  <c r="BE452" i="1"/>
  <c r="BF468" i="1"/>
  <c r="BA493" i="1"/>
  <c r="BA496" i="1"/>
  <c r="BD510" i="1"/>
  <c r="BF510" i="1" s="1"/>
  <c r="BA515" i="1"/>
  <c r="BA529" i="1"/>
  <c r="BF529" i="1" s="1"/>
  <c r="BA536" i="1"/>
  <c r="BF283" i="1"/>
  <c r="BC300" i="1"/>
  <c r="BD303" i="1"/>
  <c r="BC304" i="1"/>
  <c r="BD325" i="1"/>
  <c r="BA342" i="1"/>
  <c r="BA355" i="1"/>
  <c r="BC393" i="1"/>
  <c r="BD394" i="1"/>
  <c r="BA397" i="1"/>
  <c r="BD406" i="1"/>
  <c r="BC414" i="1"/>
  <c r="BC420" i="1"/>
  <c r="BE429" i="1"/>
  <c r="BF435" i="1"/>
  <c r="AR437" i="1"/>
  <c r="BC437" i="1" s="1"/>
  <c r="AX448" i="1"/>
  <c r="BE448" i="1" s="1"/>
  <c r="BB450" i="1"/>
  <c r="BA280" i="1"/>
  <c r="BF280" i="1" s="1"/>
  <c r="BC281" i="1"/>
  <c r="BA287" i="1"/>
  <c r="BE287" i="1"/>
  <c r="BE291" i="1"/>
  <c r="BD292" i="1"/>
  <c r="BF309" i="1"/>
  <c r="BB318" i="1"/>
  <c r="BF352" i="1"/>
  <c r="BB359" i="1"/>
  <c r="AZ370" i="1"/>
  <c r="BE370" i="1" s="1"/>
  <c r="BA389" i="1"/>
  <c r="BE408" i="1"/>
  <c r="BC409" i="1"/>
  <c r="BE413" i="1"/>
  <c r="BD426" i="1"/>
  <c r="AT437" i="1"/>
  <c r="BD437" i="1" s="1"/>
  <c r="AZ448" i="1"/>
  <c r="BB457" i="1"/>
  <c r="BF457" i="1" s="1"/>
  <c r="BD459" i="1"/>
  <c r="BA463" i="1"/>
  <c r="BC468" i="1"/>
  <c r="BB472" i="1"/>
  <c r="BC477" i="1"/>
  <c r="BF496" i="1"/>
  <c r="BD498" i="1"/>
  <c r="BB499" i="1"/>
  <c r="BE504" i="1"/>
  <c r="BC508" i="1"/>
  <c r="BD530" i="1"/>
  <c r="BD279" i="1"/>
  <c r="BF279" i="1" s="1"/>
  <c r="BB285" i="1"/>
  <c r="BE325" i="1"/>
  <c r="BE327" i="1"/>
  <c r="BB329" i="1"/>
  <c r="BF342" i="1"/>
  <c r="BB399" i="1"/>
  <c r="BD414" i="1"/>
  <c r="BC424" i="1"/>
  <c r="BA428" i="1"/>
  <c r="BC435" i="1"/>
  <c r="AV437" i="1"/>
  <c r="BB441" i="1"/>
  <c r="BB443" i="1"/>
  <c r="BF443" i="1" s="1"/>
  <c r="BD445" i="1"/>
  <c r="AX449" i="1"/>
  <c r="BE449" i="1" s="1"/>
  <c r="BC454" i="1"/>
  <c r="BB465" i="1"/>
  <c r="BE467" i="1"/>
  <c r="BE473" i="1"/>
  <c r="BC474" i="1"/>
  <c r="BB480" i="1"/>
  <c r="BF480" i="1" s="1"/>
  <c r="BA482" i="1"/>
  <c r="BC485" i="1"/>
  <c r="BE500" i="1"/>
  <c r="BD514" i="1"/>
  <c r="BB519" i="1"/>
  <c r="BC283" i="1"/>
  <c r="BE292" i="1"/>
  <c r="BB294" i="1"/>
  <c r="BE303" i="1"/>
  <c r="BC305" i="1"/>
  <c r="BB330" i="1"/>
  <c r="AL357" i="1"/>
  <c r="BD366" i="1"/>
  <c r="AL369" i="1"/>
  <c r="BE406" i="1"/>
  <c r="BC407" i="1"/>
  <c r="BC412" i="1"/>
  <c r="AX437" i="1"/>
  <c r="BD281" i="1"/>
  <c r="BB287" i="1"/>
  <c r="BF298" i="1"/>
  <c r="BA327" i="1"/>
  <c r="BA339" i="1"/>
  <c r="BA351" i="1"/>
  <c r="BD359" i="1"/>
  <c r="BA416" i="1"/>
  <c r="BD417" i="1"/>
  <c r="BA419" i="1"/>
  <c r="BE423" i="1"/>
  <c r="AZ437" i="1"/>
  <c r="BB444" i="1"/>
  <c r="BF444" i="1" s="1"/>
  <c r="AH448" i="1"/>
  <c r="BC452" i="1"/>
  <c r="BB469" i="1"/>
  <c r="BD470" i="1"/>
  <c r="BF470" i="1" s="1"/>
  <c r="BC472" i="1"/>
  <c r="BC505" i="1"/>
  <c r="BA516" i="1"/>
  <c r="BA530" i="1"/>
  <c r="BE539" i="1"/>
  <c r="BC540" i="1"/>
  <c r="BF541" i="1"/>
  <c r="BA279" i="1"/>
  <c r="BE279" i="1"/>
  <c r="BA284" i="1"/>
  <c r="BE284" i="1"/>
  <c r="BC285" i="1"/>
  <c r="BD309" i="1"/>
  <c r="BB310" i="1"/>
  <c r="BF310" i="1" s="1"/>
  <c r="BB324" i="1"/>
  <c r="BE328" i="1"/>
  <c r="BD330" i="1"/>
  <c r="BD333" i="1"/>
  <c r="BB337" i="1"/>
  <c r="BB343" i="1"/>
  <c r="BE356" i="1"/>
  <c r="AP357" i="1"/>
  <c r="BC357" i="1" s="1"/>
  <c r="BC365" i="1"/>
  <c r="BD407" i="1"/>
  <c r="BE420" i="1"/>
  <c r="BD427" i="1"/>
  <c r="BB428" i="1"/>
  <c r="BC429" i="1"/>
  <c r="BF498" i="1"/>
  <c r="BC306" i="1"/>
  <c r="BA320" i="1"/>
  <c r="BD335" i="1"/>
  <c r="BD345" i="1"/>
  <c r="BC348" i="1"/>
  <c r="BB362" i="1"/>
  <c r="BD386" i="1"/>
  <c r="BD393" i="1"/>
  <c r="BF393" i="1" s="1"/>
  <c r="BB422" i="1"/>
  <c r="BB425" i="1"/>
  <c r="BA434" i="1"/>
  <c r="AH437" i="1"/>
  <c r="BC439" i="1"/>
  <c r="AT447" i="1"/>
  <c r="AH449" i="1"/>
  <c r="BA458" i="1"/>
  <c r="BE462" i="1"/>
  <c r="BA470" i="1"/>
  <c r="BB473" i="1"/>
  <c r="BF473" i="1" s="1"/>
  <c r="BD497" i="1"/>
  <c r="BB500" i="1"/>
  <c r="BF500" i="1" s="1"/>
  <c r="BD501" i="1"/>
  <c r="BA514" i="1"/>
  <c r="BE517" i="1"/>
  <c r="BE459" i="1"/>
  <c r="BE465" i="1"/>
  <c r="BD467" i="1"/>
  <c r="BA472" i="1"/>
  <c r="BD472" i="1"/>
  <c r="BA473" i="1"/>
  <c r="BA474" i="1"/>
  <c r="BF474" i="1" s="1"/>
  <c r="BD474" i="1"/>
  <c r="BC480" i="1"/>
  <c r="BB490" i="1"/>
  <c r="BE490" i="1"/>
  <c r="BB491" i="1"/>
  <c r="BE491" i="1"/>
  <c r="BE492" i="1"/>
  <c r="BD499" i="1"/>
  <c r="BA502" i="1"/>
  <c r="BF502" i="1" s="1"/>
  <c r="BD502" i="1"/>
  <c r="BA504" i="1"/>
  <c r="BD504" i="1"/>
  <c r="BC514" i="1"/>
  <c r="BC516" i="1"/>
  <c r="BE519" i="1"/>
  <c r="BA525" i="1"/>
  <c r="BF525" i="1" s="1"/>
  <c r="BD525" i="1"/>
  <c r="BC530" i="1"/>
  <c r="BC536" i="1"/>
  <c r="BA547" i="1"/>
  <c r="BD551" i="1"/>
  <c r="BA574" i="1"/>
  <c r="BB577" i="1"/>
  <c r="BF577" i="1" s="1"/>
  <c r="BA621" i="1"/>
  <c r="BE633" i="1"/>
  <c r="BE464" i="1"/>
  <c r="BA505" i="1"/>
  <c r="BA506" i="1"/>
  <c r="BD506" i="1"/>
  <c r="BA507" i="1"/>
  <c r="BA508" i="1"/>
  <c r="BD508" i="1"/>
  <c r="BA509" i="1"/>
  <c r="BC511" i="1"/>
  <c r="BF518" i="1"/>
  <c r="BA527" i="1"/>
  <c r="BD527" i="1"/>
  <c r="BA528" i="1"/>
  <c r="BC534" i="1"/>
  <c r="BC537" i="1"/>
  <c r="BC539" i="1"/>
  <c r="BC460" i="1"/>
  <c r="BD462" i="1"/>
  <c r="BD463" i="1"/>
  <c r="BE549" i="1"/>
  <c r="BD579" i="1"/>
  <c r="BE583" i="1"/>
  <c r="BD600" i="1"/>
  <c r="BC629" i="1"/>
  <c r="BD640" i="1"/>
  <c r="BB643" i="1"/>
  <c r="BF643" i="1" s="1"/>
  <c r="BF501" i="1"/>
  <c r="BF549" i="1"/>
  <c r="BD454" i="1"/>
  <c r="BE522" i="1"/>
  <c r="BD523" i="1"/>
  <c r="BD546" i="1"/>
  <c r="BB547" i="1"/>
  <c r="BF547" i="1" s="1"/>
  <c r="BD552" i="1"/>
  <c r="BB627" i="1"/>
  <c r="BA456" i="1"/>
  <c r="BF456" i="1" s="1"/>
  <c r="BD456" i="1"/>
  <c r="BC466" i="1"/>
  <c r="BB475" i="1"/>
  <c r="BD477" i="1"/>
  <c r="BA481" i="1"/>
  <c r="BC493" i="1"/>
  <c r="BC494" i="1"/>
  <c r="BC496" i="1"/>
  <c r="BC497" i="1"/>
  <c r="BC498" i="1"/>
  <c r="BE505" i="1"/>
  <c r="BB506" i="1"/>
  <c r="BE506" i="1"/>
  <c r="BB507" i="1"/>
  <c r="BE507" i="1"/>
  <c r="BB508" i="1"/>
  <c r="BF508" i="1" s="1"/>
  <c r="BE508" i="1"/>
  <c r="BB509" i="1"/>
  <c r="BE509" i="1"/>
  <c r="BD511" i="1"/>
  <c r="BB526" i="1"/>
  <c r="BB527" i="1"/>
  <c r="BE527" i="1"/>
  <c r="BB528" i="1"/>
  <c r="BE528" i="1"/>
  <c r="BD532" i="1"/>
  <c r="BD534" i="1"/>
  <c r="BA537" i="1"/>
  <c r="BD537" i="1"/>
  <c r="BA538" i="1"/>
  <c r="BA539" i="1"/>
  <c r="BD539" i="1"/>
  <c r="BC464" i="1"/>
  <c r="BD541" i="1"/>
  <c r="BF543" i="1"/>
  <c r="BC544" i="1"/>
  <c r="BC547" i="1"/>
  <c r="BB549" i="1"/>
  <c r="BB597" i="1"/>
  <c r="BB619" i="1"/>
  <c r="BB462" i="1"/>
  <c r="BC470" i="1"/>
  <c r="BE477" i="1"/>
  <c r="BB478" i="1"/>
  <c r="BF478" i="1" s="1"/>
  <c r="BE478" i="1"/>
  <c r="BA489" i="1"/>
  <c r="BC501" i="1"/>
  <c r="BB511" i="1"/>
  <c r="BF511" i="1" s="1"/>
  <c r="BB512" i="1"/>
  <c r="BF512" i="1" s="1"/>
  <c r="BE512" i="1"/>
  <c r="BB513" i="1"/>
  <c r="BE513" i="1"/>
  <c r="BC524" i="1"/>
  <c r="BE532" i="1"/>
  <c r="BB533" i="1"/>
  <c r="BF533" i="1" s="1"/>
  <c r="BE533" i="1"/>
  <c r="BB534" i="1"/>
  <c r="BE535" i="1"/>
  <c r="BA565" i="1"/>
  <c r="BD624" i="1"/>
  <c r="BD483" i="1"/>
  <c r="BD485" i="1"/>
  <c r="BD487" i="1"/>
  <c r="BA490" i="1"/>
  <c r="BD490" i="1"/>
  <c r="BA491" i="1"/>
  <c r="BA492" i="1"/>
  <c r="BD492" i="1"/>
  <c r="BC499" i="1"/>
  <c r="BC502" i="1"/>
  <c r="BC504" i="1"/>
  <c r="BB514" i="1"/>
  <c r="BE514" i="1"/>
  <c r="BB515" i="1"/>
  <c r="BE515" i="1"/>
  <c r="BB516" i="1"/>
  <c r="BF516" i="1" s="1"/>
  <c r="BE516" i="1"/>
  <c r="BD519" i="1"/>
  <c r="BC525" i="1"/>
  <c r="BB536" i="1"/>
  <c r="BE536" i="1"/>
  <c r="BD540" i="1"/>
  <c r="BE580" i="1"/>
  <c r="BD589" i="1"/>
  <c r="BB648" i="1"/>
  <c r="BF552" i="1"/>
  <c r="BB458" i="1"/>
  <c r="BF458" i="1" s="1"/>
  <c r="BE458" i="1"/>
  <c r="BB460" i="1"/>
  <c r="BF460" i="1" s="1"/>
  <c r="BC462" i="1"/>
  <c r="BC463" i="1"/>
  <c r="BA464" i="1"/>
  <c r="BF464" i="1" s="1"/>
  <c r="BD520" i="1"/>
  <c r="BB522" i="1"/>
  <c r="BD581" i="1"/>
  <c r="BC551" i="1"/>
  <c r="BA555" i="1"/>
  <c r="BE565" i="1"/>
  <c r="BB570" i="1"/>
  <c r="BD572" i="1"/>
  <c r="BE575" i="1"/>
  <c r="BC577" i="1"/>
  <c r="BA580" i="1"/>
  <c r="BA585" i="1"/>
  <c r="BF585" i="1" s="1"/>
  <c r="BE588" i="1"/>
  <c r="BD608" i="1"/>
  <c r="BE626" i="1"/>
  <c r="BE631" i="1"/>
  <c r="BA638" i="1"/>
  <c r="BE663" i="1"/>
  <c r="BE730" i="1"/>
  <c r="AZ779" i="1"/>
  <c r="AX779" i="1"/>
  <c r="BE779" i="1" s="1"/>
  <c r="BC545" i="1"/>
  <c r="BD556" i="1"/>
  <c r="BD563" i="1"/>
  <c r="BD569" i="1"/>
  <c r="BD594" i="1"/>
  <c r="AJ595" i="1"/>
  <c r="BA595" i="1" s="1"/>
  <c r="BF595" i="1" s="1"/>
  <c r="BD605" i="1"/>
  <c r="BD615" i="1"/>
  <c r="BD620" i="1"/>
  <c r="BE635" i="1"/>
  <c r="BC644" i="1"/>
  <c r="BD649" i="1"/>
  <c r="BB560" i="1"/>
  <c r="BB562" i="1"/>
  <c r="BE596" i="1"/>
  <c r="BD599" i="1"/>
  <c r="BD602" i="1"/>
  <c r="BA613" i="1"/>
  <c r="BF613" i="1" s="1"/>
  <c r="BE613" i="1"/>
  <c r="BE618" i="1"/>
  <c r="BD625" i="1"/>
  <c r="BD636" i="1"/>
  <c r="BE643" i="1"/>
  <c r="BA650" i="1"/>
  <c r="BA663" i="1"/>
  <c r="BB719" i="1"/>
  <c r="BE733" i="1"/>
  <c r="BB735" i="1"/>
  <c r="BA558" i="1"/>
  <c r="BF558" i="1" s="1"/>
  <c r="BA579" i="1"/>
  <c r="BC586" i="1"/>
  <c r="BE587" i="1"/>
  <c r="BA599" i="1"/>
  <c r="BA603" i="1"/>
  <c r="BB553" i="1"/>
  <c r="BD554" i="1"/>
  <c r="BD564" i="1"/>
  <c r="BB568" i="1"/>
  <c r="BC573" i="1"/>
  <c r="BC581" i="1"/>
  <c r="BE599" i="1"/>
  <c r="BC611" i="1"/>
  <c r="BA615" i="1"/>
  <c r="BE615" i="1"/>
  <c r="BD617" i="1"/>
  <c r="BD630" i="1"/>
  <c r="BD639" i="1"/>
  <c r="BD644" i="1"/>
  <c r="BC662" i="1"/>
  <c r="BF663" i="1"/>
  <c r="BF728" i="1"/>
  <c r="BD784" i="1"/>
  <c r="BC550" i="1"/>
  <c r="BC555" i="1"/>
  <c r="BA566" i="1"/>
  <c r="BE569" i="1"/>
  <c r="BB580" i="1"/>
  <c r="BF580" i="1" s="1"/>
  <c r="BE584" i="1"/>
  <c r="AP595" i="1"/>
  <c r="BC595" i="1" s="1"/>
  <c r="BD601" i="1"/>
  <c r="BB623" i="1"/>
  <c r="BA625" i="1"/>
  <c r="BC666" i="1"/>
  <c r="BA670" i="1"/>
  <c r="BB558" i="1"/>
  <c r="BB587" i="1"/>
  <c r="BF587" i="1" s="1"/>
  <c r="BC597" i="1"/>
  <c r="BE598" i="1"/>
  <c r="BE602" i="1"/>
  <c r="BA605" i="1"/>
  <c r="BC606" i="1"/>
  <c r="BB608" i="1"/>
  <c r="BC626" i="1"/>
  <c r="BD646" i="1"/>
  <c r="BC648" i="1"/>
  <c r="BA654" i="1"/>
  <c r="BD722" i="1"/>
  <c r="BC728" i="1"/>
  <c r="BA745" i="1"/>
  <c r="BB778" i="1"/>
  <c r="BD779" i="1"/>
  <c r="BD542" i="1"/>
  <c r="BD544" i="1"/>
  <c r="BF544" i="1" s="1"/>
  <c r="BA548" i="1"/>
  <c r="BE551" i="1"/>
  <c r="BD560" i="1"/>
  <c r="BD562" i="1"/>
  <c r="BF562" i="1" s="1"/>
  <c r="BE564" i="1"/>
  <c r="BB572" i="1"/>
  <c r="BF572" i="1" s="1"/>
  <c r="BD576" i="1"/>
  <c r="BF576" i="1" s="1"/>
  <c r="BC585" i="1"/>
  <c r="BA598" i="1"/>
  <c r="BB603" i="1"/>
  <c r="BA607" i="1"/>
  <c r="BD609" i="1"/>
  <c r="BD611" i="1"/>
  <c r="BA612" i="1"/>
  <c r="BA617" i="1"/>
  <c r="BE617" i="1"/>
  <c r="BA622" i="1"/>
  <c r="BE622" i="1"/>
  <c r="BE627" i="1"/>
  <c r="BB635" i="1"/>
  <c r="BE637" i="1"/>
  <c r="BC643" i="1"/>
  <c r="BB661" i="1"/>
  <c r="BC717" i="1"/>
  <c r="BA741" i="1"/>
  <c r="BA756" i="1"/>
  <c r="BA762" i="1"/>
  <c r="BE567" i="1"/>
  <c r="BB569" i="1"/>
  <c r="BB584" i="1"/>
  <c r="BF584" i="1" s="1"/>
  <c r="BB592" i="1"/>
  <c r="BB594" i="1"/>
  <c r="BC633" i="1"/>
  <c r="BE562" i="1"/>
  <c r="BA564" i="1"/>
  <c r="BA581" i="1"/>
  <c r="BB590" i="1"/>
  <c r="AV595" i="1"/>
  <c r="BA609" i="1"/>
  <c r="BF609" i="1" s="1"/>
  <c r="BA614" i="1"/>
  <c r="BE614" i="1"/>
  <c r="BA619" i="1"/>
  <c r="BE619" i="1"/>
  <c r="BD621" i="1"/>
  <c r="BA646" i="1"/>
  <c r="BB664" i="1"/>
  <c r="BE679" i="1"/>
  <c r="BF685" i="1"/>
  <c r="BC709" i="1"/>
  <c r="BE713" i="1"/>
  <c r="BB764" i="1"/>
  <c r="BF764" i="1" s="1"/>
  <c r="BB546" i="1"/>
  <c r="BE547" i="1"/>
  <c r="BE555" i="1"/>
  <c r="BE568" i="1"/>
  <c r="BA570" i="1"/>
  <c r="BC584" i="1"/>
  <c r="BF598" i="1"/>
  <c r="BA601" i="1"/>
  <c r="BF601" i="1" s="1"/>
  <c r="BE604" i="1"/>
  <c r="BE611" i="1"/>
  <c r="BF617" i="1"/>
  <c r="BA624" i="1"/>
  <c r="BD635" i="1"/>
  <c r="BD638" i="1"/>
  <c r="BC642" i="1"/>
  <c r="BC651" i="1"/>
  <c r="BB548" i="1"/>
  <c r="BF548" i="1" s="1"/>
  <c r="BE548" i="1"/>
  <c r="BD558" i="1"/>
  <c r="BA562" i="1"/>
  <c r="BD565" i="1"/>
  <c r="BF565" i="1" s="1"/>
  <c r="BB567" i="1"/>
  <c r="AZ595" i="1"/>
  <c r="BD613" i="1"/>
  <c r="BD623" i="1"/>
  <c r="BC625" i="1"/>
  <c r="BD626" i="1"/>
  <c r="BC630" i="1"/>
  <c r="BA637" i="1"/>
  <c r="BF644" i="1"/>
  <c r="BD656" i="1"/>
  <c r="BB686" i="1"/>
  <c r="BE728" i="1"/>
  <c r="BD755" i="1"/>
  <c r="BA777" i="1"/>
  <c r="AZ777" i="1"/>
  <c r="BD661" i="1"/>
  <c r="BC663" i="1"/>
  <c r="BE670" i="1"/>
  <c r="BE674" i="1"/>
  <c r="BD709" i="1"/>
  <c r="BB715" i="1"/>
  <c r="BB718" i="1"/>
  <c r="BE722" i="1"/>
  <c r="BD727" i="1"/>
  <c r="BE734" i="1"/>
  <c r="AH738" i="1"/>
  <c r="BA748" i="1"/>
  <c r="BA754" i="1"/>
  <c r="BA758" i="1"/>
  <c r="BA761" i="1"/>
  <c r="AX769" i="1"/>
  <c r="BA774" i="1"/>
  <c r="AX776" i="1"/>
  <c r="BC783" i="1"/>
  <c r="BA657" i="1"/>
  <c r="BE657" i="1"/>
  <c r="BE664" i="1"/>
  <c r="BD669" i="1"/>
  <c r="BD671" i="1"/>
  <c r="BE688" i="1"/>
  <c r="BC689" i="1"/>
  <c r="BA690" i="1"/>
  <c r="BD693" i="1"/>
  <c r="BC696" i="1"/>
  <c r="BE698" i="1"/>
  <c r="BC699" i="1"/>
  <c r="BA714" i="1"/>
  <c r="BE717" i="1"/>
  <c r="BD719" i="1"/>
  <c r="BA720" i="1"/>
  <c r="BE720" i="1"/>
  <c r="BA725" i="1"/>
  <c r="BF725" i="1" s="1"/>
  <c r="BD728" i="1"/>
  <c r="BA729" i="1"/>
  <c r="BA746" i="1"/>
  <c r="BD746" i="1"/>
  <c r="BD747" i="1"/>
  <c r="BB748" i="1"/>
  <c r="BD749" i="1"/>
  <c r="BD753" i="1"/>
  <c r="BF753" i="1" s="1"/>
  <c r="BD757" i="1"/>
  <c r="BB761" i="1"/>
  <c r="BC763" i="1"/>
  <c r="BE766" i="1"/>
  <c r="AZ769" i="1"/>
  <c r="AZ776" i="1"/>
  <c r="BB782" i="1"/>
  <c r="BC680" i="1"/>
  <c r="BD682" i="1"/>
  <c r="BF683" i="1"/>
  <c r="BE706" i="1"/>
  <c r="BC712" i="1"/>
  <c r="BE714" i="1"/>
  <c r="BB720" i="1"/>
  <c r="BF720" i="1" s="1"/>
  <c r="BB722" i="1"/>
  <c r="BE758" i="1"/>
  <c r="BD760" i="1"/>
  <c r="BB766" i="1"/>
  <c r="BA771" i="1"/>
  <c r="BA773" i="1"/>
  <c r="BF773" i="1" s="1"/>
  <c r="BC779" i="1"/>
  <c r="BB781" i="1"/>
  <c r="BB657" i="1"/>
  <c r="BD658" i="1"/>
  <c r="BF658" i="1" s="1"/>
  <c r="BC660" i="1"/>
  <c r="BA667" i="1"/>
  <c r="BE667" i="1"/>
  <c r="BB674" i="1"/>
  <c r="BD675" i="1"/>
  <c r="BC685" i="1"/>
  <c r="BD689" i="1"/>
  <c r="BD691" i="1"/>
  <c r="BE693" i="1"/>
  <c r="BD696" i="1"/>
  <c r="BB697" i="1"/>
  <c r="BE701" i="1"/>
  <c r="BD708" i="1"/>
  <c r="BC718" i="1"/>
  <c r="BD724" i="1"/>
  <c r="BD726" i="1"/>
  <c r="BF726" i="1" s="1"/>
  <c r="BA740" i="1"/>
  <c r="BD752" i="1"/>
  <c r="BA764" i="1"/>
  <c r="BB765" i="1"/>
  <c r="AX773" i="1"/>
  <c r="BE773" i="1" s="1"/>
  <c r="BA688" i="1"/>
  <c r="BA695" i="1"/>
  <c r="BC700" i="1"/>
  <c r="BE709" i="1"/>
  <c r="BA719" i="1"/>
  <c r="BF719" i="1" s="1"/>
  <c r="BE719" i="1"/>
  <c r="BB730" i="1"/>
  <c r="BF730" i="1" s="1"/>
  <c r="BB731" i="1"/>
  <c r="BF734" i="1"/>
  <c r="BD735" i="1"/>
  <c r="BB740" i="1"/>
  <c r="BE745" i="1"/>
  <c r="BC755" i="1"/>
  <c r="BD756" i="1"/>
  <c r="BE757" i="1"/>
  <c r="BB758" i="1"/>
  <c r="BD759" i="1"/>
  <c r="BF759" i="1" s="1"/>
  <c r="BE760" i="1"/>
  <c r="BE764" i="1"/>
  <c r="BC767" i="1"/>
  <c r="BD770" i="1"/>
  <c r="BA780" i="1"/>
  <c r="AX780" i="1"/>
  <c r="BA701" i="1"/>
  <c r="BB709" i="1"/>
  <c r="BD712" i="1"/>
  <c r="BC722" i="1"/>
  <c r="BE724" i="1"/>
  <c r="BC742" i="1"/>
  <c r="BA757" i="1"/>
  <c r="BB760" i="1"/>
  <c r="BA768" i="1"/>
  <c r="BD778" i="1"/>
  <c r="AZ780" i="1"/>
  <c r="BA783" i="1"/>
  <c r="BE682" i="1"/>
  <c r="BA716" i="1"/>
  <c r="BB729" i="1"/>
  <c r="BF729" i="1" s="1"/>
  <c r="BD762" i="1"/>
  <c r="BD763" i="1"/>
  <c r="BC774" i="1"/>
  <c r="BD783" i="1"/>
  <c r="BC714" i="1"/>
  <c r="BB733" i="1"/>
  <c r="BC746" i="1"/>
  <c r="BD748" i="1"/>
  <c r="BC754" i="1"/>
  <c r="BC758" i="1"/>
  <c r="BD761" i="1"/>
  <c r="BD767" i="1"/>
  <c r="BC771" i="1"/>
  <c r="BA772" i="1"/>
  <c r="AX783" i="1"/>
  <c r="BE783" i="1" s="1"/>
  <c r="BE653" i="1"/>
  <c r="BD660" i="1"/>
  <c r="BD672" i="1"/>
  <c r="BA675" i="1"/>
  <c r="BC681" i="1"/>
  <c r="BA689" i="1"/>
  <c r="BF693" i="1"/>
  <c r="BC698" i="1"/>
  <c r="BB703" i="1"/>
  <c r="BF703" i="1" s="1"/>
  <c r="BD707" i="1"/>
  <c r="BA708" i="1"/>
  <c r="BD711" i="1"/>
  <c r="BD718" i="1"/>
  <c r="BA724" i="1"/>
  <c r="BA735" i="1"/>
  <c r="BF751" i="1"/>
  <c r="BE772" i="1"/>
  <c r="BC654" i="1"/>
  <c r="BC667" i="1"/>
  <c r="BD668" i="1"/>
  <c r="BD676" i="1"/>
  <c r="BF676" i="1" s="1"/>
  <c r="BA687" i="1"/>
  <c r="BB708" i="1"/>
  <c r="BE718" i="1"/>
  <c r="BB752" i="1"/>
  <c r="BF752" i="1" s="1"/>
  <c r="BC764" i="1"/>
  <c r="BD766" i="1"/>
  <c r="AZ772" i="1"/>
  <c r="BD781" i="1"/>
  <c r="BA655" i="1"/>
  <c r="BE655" i="1"/>
  <c r="BB658" i="1"/>
  <c r="BE668" i="1"/>
  <c r="BB675" i="1"/>
  <c r="BF675" i="1" s="1"/>
  <c r="BC684" i="1"/>
  <c r="BF699" i="1"/>
  <c r="BC701" i="1"/>
  <c r="BA702" i="1"/>
  <c r="BE715" i="1"/>
  <c r="BD740" i="1"/>
  <c r="BA742" i="1"/>
  <c r="BD742" i="1"/>
  <c r="BA750" i="1"/>
  <c r="BB756" i="1"/>
  <c r="BD765" i="1"/>
  <c r="BA767" i="1"/>
  <c r="BE767" i="1"/>
  <c r="AZ775" i="1"/>
  <c r="BE775" i="1" s="1"/>
  <c r="BB777" i="1"/>
  <c r="BF777" i="1" s="1"/>
  <c r="BD657" i="1"/>
  <c r="BA662" i="1"/>
  <c r="BE662" i="1"/>
  <c r="BA672" i="1"/>
  <c r="BE672" i="1"/>
  <c r="BB677" i="1"/>
  <c r="BA700" i="1"/>
  <c r="BB704" i="1"/>
  <c r="BC705" i="1"/>
  <c r="BD731" i="1"/>
  <c r="BE732" i="1"/>
  <c r="BE750" i="1"/>
  <c r="BC768" i="1"/>
  <c r="BA769" i="1"/>
  <c r="AX770" i="1"/>
  <c r="BC775" i="1"/>
  <c r="BA776" i="1"/>
  <c r="BF776" i="1" s="1"/>
  <c r="BD372" i="1"/>
  <c r="BE372" i="1"/>
  <c r="BB369" i="1"/>
  <c r="BA8" i="1"/>
  <c r="BE8" i="1"/>
  <c r="BE10" i="1"/>
  <c r="BA13" i="1"/>
  <c r="BD13" i="1"/>
  <c r="BA14" i="1"/>
  <c r="BD15" i="1"/>
  <c r="BC19" i="1"/>
  <c r="BE22" i="1"/>
  <c r="BA23" i="1"/>
  <c r="BF23" i="1" s="1"/>
  <c r="BD25" i="1"/>
  <c r="BE27" i="1"/>
  <c r="BD29" i="1"/>
  <c r="BC31" i="1"/>
  <c r="BB33" i="1"/>
  <c r="BF33" i="1" s="1"/>
  <c r="BA35" i="1"/>
  <c r="BF36" i="1"/>
  <c r="BA39" i="1"/>
  <c r="BF39" i="1" s="1"/>
  <c r="BD41" i="1"/>
  <c r="BE43" i="1"/>
  <c r="BD44" i="1"/>
  <c r="BF44" i="1" s="1"/>
  <c r="BA47" i="1"/>
  <c r="BF47" i="1" s="1"/>
  <c r="BD78" i="1"/>
  <c r="BF78" i="1" s="1"/>
  <c r="BF10" i="1"/>
  <c r="BF11" i="1"/>
  <c r="BD16" i="1"/>
  <c r="BC21" i="1"/>
  <c r="BF29" i="1"/>
  <c r="BE38" i="1"/>
  <c r="BD66" i="1"/>
  <c r="BD8" i="1"/>
  <c r="BF14" i="1"/>
  <c r="BF28" i="1"/>
  <c r="BF41" i="1"/>
  <c r="BB8" i="1"/>
  <c r="BB13" i="1"/>
  <c r="BB15" i="1"/>
  <c r="BF15" i="1" s="1"/>
  <c r="BE15" i="1"/>
  <c r="BA19" i="1"/>
  <c r="BD20" i="1"/>
  <c r="BF20" i="1" s="1"/>
  <c r="BF25" i="1"/>
  <c r="BF35" i="1"/>
  <c r="BC38" i="1"/>
  <c r="BC46" i="1"/>
  <c r="BA49" i="1"/>
  <c r="BE49" i="1"/>
  <c r="BB50" i="1"/>
  <c r="BF50" i="1" s="1"/>
  <c r="BC51" i="1"/>
  <c r="BD52" i="1"/>
  <c r="BA53" i="1"/>
  <c r="BE53" i="1"/>
  <c r="BB54" i="1"/>
  <c r="BF54" i="1" s="1"/>
  <c r="BC55" i="1"/>
  <c r="BD56" i="1"/>
  <c r="BA57" i="1"/>
  <c r="BE57" i="1"/>
  <c r="BB58" i="1"/>
  <c r="BF58" i="1" s="1"/>
  <c r="BC59" i="1"/>
  <c r="BD60" i="1"/>
  <c r="BA61" i="1"/>
  <c r="BE61" i="1"/>
  <c r="BB62" i="1"/>
  <c r="BF62" i="1" s="1"/>
  <c r="BC63" i="1"/>
  <c r="BD64" i="1"/>
  <c r="BA65" i="1"/>
  <c r="BE65" i="1"/>
  <c r="BE68" i="1"/>
  <c r="BE80" i="1"/>
  <c r="BC8" i="1"/>
  <c r="BC9" i="1"/>
  <c r="BC10" i="1"/>
  <c r="BC11" i="1"/>
  <c r="BB16" i="1"/>
  <c r="BE17" i="1"/>
  <c r="BE18" i="1"/>
  <c r="BA21" i="1"/>
  <c r="BF21" i="1" s="1"/>
  <c r="BD21" i="1"/>
  <c r="BA22" i="1"/>
  <c r="BF22" i="1" s="1"/>
  <c r="BE23" i="1"/>
  <c r="BD24" i="1"/>
  <c r="BF24" i="1" s="1"/>
  <c r="BA27" i="1"/>
  <c r="BF27" i="1" s="1"/>
  <c r="BD37" i="1"/>
  <c r="BF37" i="1" s="1"/>
  <c r="BE39" i="1"/>
  <c r="BD40" i="1"/>
  <c r="BF40" i="1" s="1"/>
  <c r="BA43" i="1"/>
  <c r="BD45" i="1"/>
  <c r="BF45" i="1" s="1"/>
  <c r="BD48" i="1"/>
  <c r="BF48" i="1" s="1"/>
  <c r="BB66" i="1"/>
  <c r="BE66" i="1"/>
  <c r="BC13" i="1"/>
  <c r="BC14" i="1"/>
  <c r="BB17" i="1"/>
  <c r="BF17" i="1" s="1"/>
  <c r="BB19" i="1"/>
  <c r="BE19" i="1"/>
  <c r="BE26" i="1"/>
  <c r="BA38" i="1"/>
  <c r="BE42" i="1"/>
  <c r="BA46" i="1"/>
  <c r="BF46" i="1" s="1"/>
  <c r="BB49" i="1"/>
  <c r="BF49" i="1" s="1"/>
  <c r="BC50" i="1"/>
  <c r="BD51" i="1"/>
  <c r="BF51" i="1" s="1"/>
  <c r="BA52" i="1"/>
  <c r="BF52" i="1" s="1"/>
  <c r="BE52" i="1"/>
  <c r="BB53" i="1"/>
  <c r="BC54" i="1"/>
  <c r="BD55" i="1"/>
  <c r="BF55" i="1" s="1"/>
  <c r="BA56" i="1"/>
  <c r="BF56" i="1" s="1"/>
  <c r="BE56" i="1"/>
  <c r="BB57" i="1"/>
  <c r="BF57" i="1" s="1"/>
  <c r="BC58" i="1"/>
  <c r="BD59" i="1"/>
  <c r="BF59" i="1" s="1"/>
  <c r="BA60" i="1"/>
  <c r="BE60" i="1"/>
  <c r="BB61" i="1"/>
  <c r="BC62" i="1"/>
  <c r="BD63" i="1"/>
  <c r="BF63" i="1" s="1"/>
  <c r="BA64" i="1"/>
  <c r="BE64" i="1"/>
  <c r="BB65" i="1"/>
  <c r="BD74" i="1"/>
  <c r="BF43" i="1"/>
  <c r="BF60" i="1"/>
  <c r="BB70" i="1"/>
  <c r="BF70" i="1" s="1"/>
  <c r="BC76" i="1"/>
  <c r="BC77" i="1"/>
  <c r="BB83" i="1"/>
  <c r="BF83" i="1" s="1"/>
  <c r="BE88" i="1"/>
  <c r="BE94" i="1"/>
  <c r="BB96" i="1"/>
  <c r="BC97" i="1"/>
  <c r="BF103" i="1"/>
  <c r="BB105" i="1"/>
  <c r="BC107" i="1"/>
  <c r="BB108" i="1"/>
  <c r="BC114" i="1"/>
  <c r="BB116" i="1"/>
  <c r="BF116" i="1" s="1"/>
  <c r="BF122" i="1"/>
  <c r="BA123" i="1"/>
  <c r="BF130" i="1"/>
  <c r="BE131" i="1"/>
  <c r="BF136" i="1"/>
  <c r="BF146" i="1"/>
  <c r="BE147" i="1"/>
  <c r="BF152" i="1"/>
  <c r="BF162" i="1"/>
  <c r="BE167" i="1"/>
  <c r="BE168" i="1"/>
  <c r="BA76" i="1"/>
  <c r="BC68" i="1"/>
  <c r="BB74" i="1"/>
  <c r="BF74" i="1" s="1"/>
  <c r="BF76" i="1"/>
  <c r="BC80" i="1"/>
  <c r="BF95" i="1"/>
  <c r="BF112" i="1"/>
  <c r="BF126" i="1"/>
  <c r="BF132" i="1"/>
  <c r="BF142" i="1"/>
  <c r="BF148" i="1"/>
  <c r="BF158" i="1"/>
  <c r="BA68" i="1"/>
  <c r="BF68" i="1" s="1"/>
  <c r="BA80" i="1"/>
  <c r="BF80" i="1" s="1"/>
  <c r="BF85" i="1"/>
  <c r="BF92" i="1"/>
  <c r="BF111" i="1"/>
  <c r="BF135" i="1"/>
  <c r="BF151" i="1"/>
  <c r="BE169" i="1"/>
  <c r="BF179" i="1"/>
  <c r="BF182" i="1"/>
  <c r="BF192" i="1"/>
  <c r="BF208" i="1"/>
  <c r="BF101" i="1"/>
  <c r="BF104" i="1"/>
  <c r="BF107" i="1"/>
  <c r="BF109" i="1"/>
  <c r="BF128" i="1"/>
  <c r="BF138" i="1"/>
  <c r="BF144" i="1"/>
  <c r="BF154" i="1"/>
  <c r="BF160" i="1"/>
  <c r="BE73" i="1"/>
  <c r="BB75" i="1"/>
  <c r="BF75" i="1" s="1"/>
  <c r="BB86" i="1"/>
  <c r="BF86" i="1" s="1"/>
  <c r="BB88" i="1"/>
  <c r="BF88" i="1" s="1"/>
  <c r="BE99" i="1"/>
  <c r="BD100" i="1"/>
  <c r="BC106" i="1"/>
  <c r="BF117" i="1"/>
  <c r="BE118" i="1"/>
  <c r="BD120" i="1"/>
  <c r="BF125" i="1"/>
  <c r="BF131" i="1"/>
  <c r="BF141" i="1"/>
  <c r="BF147" i="1"/>
  <c r="BF157" i="1"/>
  <c r="BA167" i="1"/>
  <c r="BF183" i="1"/>
  <c r="BF188" i="1"/>
  <c r="BF204" i="1"/>
  <c r="BC72" i="1"/>
  <c r="BC73" i="1"/>
  <c r="BD79" i="1"/>
  <c r="BF79" i="1" s="1"/>
  <c r="BB82" i="1"/>
  <c r="BF82" i="1" s="1"/>
  <c r="BE92" i="1"/>
  <c r="BA94" i="1"/>
  <c r="BC95" i="1"/>
  <c r="BD96" i="1"/>
  <c r="BB97" i="1"/>
  <c r="BF97" i="1" s="1"/>
  <c r="BA98" i="1"/>
  <c r="BF98" i="1" s="1"/>
  <c r="BF102" i="1"/>
  <c r="BD105" i="1"/>
  <c r="BE107" i="1"/>
  <c r="BD108" i="1"/>
  <c r="BF110" i="1"/>
  <c r="BC118" i="1"/>
  <c r="BB120" i="1"/>
  <c r="BF123" i="1"/>
  <c r="BF124" i="1"/>
  <c r="BF134" i="1"/>
  <c r="BE135" i="1"/>
  <c r="BF140" i="1"/>
  <c r="BF150" i="1"/>
  <c r="BE151" i="1"/>
  <c r="BF156" i="1"/>
  <c r="BA174" i="1"/>
  <c r="BF174" i="1" s="1"/>
  <c r="BF211" i="1"/>
  <c r="BA71" i="1"/>
  <c r="BF71" i="1" s="1"/>
  <c r="BA72" i="1"/>
  <c r="BF100" i="1"/>
  <c r="BF113" i="1"/>
  <c r="BF137" i="1"/>
  <c r="BF167" i="1"/>
  <c r="BC184" i="1"/>
  <c r="BD186" i="1"/>
  <c r="BC188" i="1"/>
  <c r="BD190" i="1"/>
  <c r="BC192" i="1"/>
  <c r="BD194" i="1"/>
  <c r="BC196" i="1"/>
  <c r="BD198" i="1"/>
  <c r="BC200" i="1"/>
  <c r="BD202" i="1"/>
  <c r="BC204" i="1"/>
  <c r="BD206" i="1"/>
  <c r="BC208" i="1"/>
  <c r="BD210" i="1"/>
  <c r="BC212" i="1"/>
  <c r="BD213" i="1"/>
  <c r="BF213" i="1" s="1"/>
  <c r="BA218" i="1"/>
  <c r="BF218" i="1" s="1"/>
  <c r="BC237" i="1"/>
  <c r="BF242" i="1"/>
  <c r="BD260" i="1"/>
  <c r="BF260" i="1" s="1"/>
  <c r="AN94" i="1"/>
  <c r="BD163" i="1"/>
  <c r="BF163" i="1" s="1"/>
  <c r="BB166" i="1"/>
  <c r="BF166" i="1" s="1"/>
  <c r="BD185" i="1"/>
  <c r="BD189" i="1"/>
  <c r="BD193" i="1"/>
  <c r="BD197" i="1"/>
  <c r="BD201" i="1"/>
  <c r="BD205" i="1"/>
  <c r="BD209" i="1"/>
  <c r="BB214" i="1"/>
  <c r="BF214" i="1" s="1"/>
  <c r="BE216" i="1"/>
  <c r="BB220" i="1"/>
  <c r="BF220" i="1" s="1"/>
  <c r="BE220" i="1"/>
  <c r="BD221" i="1"/>
  <c r="BB224" i="1"/>
  <c r="BE224" i="1"/>
  <c r="BD225" i="1"/>
  <c r="BB228" i="1"/>
  <c r="BE228" i="1"/>
  <c r="BB233" i="1"/>
  <c r="BD239" i="1"/>
  <c r="BE173" i="1"/>
  <c r="BB180" i="1"/>
  <c r="BF180" i="1" s="1"/>
  <c r="BA215" i="1"/>
  <c r="BC241" i="1"/>
  <c r="BF251" i="1"/>
  <c r="BE177" i="1"/>
  <c r="BA178" i="1"/>
  <c r="BF178" i="1" s="1"/>
  <c r="BB185" i="1"/>
  <c r="BB189" i="1"/>
  <c r="BB193" i="1"/>
  <c r="BB197" i="1"/>
  <c r="BB201" i="1"/>
  <c r="BB205" i="1"/>
  <c r="BF205" i="1" s="1"/>
  <c r="BB209" i="1"/>
  <c r="BF209" i="1" s="1"/>
  <c r="BC216" i="1"/>
  <c r="BA217" i="1"/>
  <c r="BA222" i="1"/>
  <c r="BF222" i="1" s="1"/>
  <c r="BD222" i="1"/>
  <c r="BE225" i="1"/>
  <c r="BA226" i="1"/>
  <c r="BD226" i="1"/>
  <c r="BC233" i="1"/>
  <c r="BF212" i="1"/>
  <c r="BF221" i="1"/>
  <c r="BF225" i="1"/>
  <c r="BD178" i="1"/>
  <c r="BA214" i="1"/>
  <c r="BA219" i="1"/>
  <c r="BA223" i="1"/>
  <c r="BA227" i="1"/>
  <c r="BF227" i="1" s="1"/>
  <c r="BA233" i="1"/>
  <c r="BC236" i="1"/>
  <c r="BF236" i="1"/>
  <c r="BD172" i="1"/>
  <c r="BD176" i="1"/>
  <c r="BA182" i="1"/>
  <c r="BE184" i="1"/>
  <c r="BA186" i="1"/>
  <c r="BE188" i="1"/>
  <c r="BA190" i="1"/>
  <c r="BE192" i="1"/>
  <c r="BA194" i="1"/>
  <c r="BF194" i="1" s="1"/>
  <c r="BE196" i="1"/>
  <c r="BA198" i="1"/>
  <c r="BE200" i="1"/>
  <c r="BA202" i="1"/>
  <c r="BF202" i="1" s="1"/>
  <c r="BE204" i="1"/>
  <c r="BA206" i="1"/>
  <c r="BF206" i="1" s="1"/>
  <c r="BE208" i="1"/>
  <c r="BA210" i="1"/>
  <c r="BF210" i="1" s="1"/>
  <c r="BE212" i="1"/>
  <c r="BB217" i="1"/>
  <c r="BF217" i="1" s="1"/>
  <c r="BC218" i="1"/>
  <c r="BD220" i="1"/>
  <c r="BD224" i="1"/>
  <c r="BD228" i="1"/>
  <c r="BD230" i="1"/>
  <c r="BC234" i="1"/>
  <c r="BF234" i="1"/>
  <c r="BB235" i="1"/>
  <c r="BF238" i="1"/>
  <c r="BF240" i="1"/>
  <c r="BF215" i="1"/>
  <c r="BF223" i="1"/>
  <c r="BA259" i="1"/>
  <c r="BF259" i="1" s="1"/>
  <c r="BE260" i="1"/>
  <c r="BB262" i="1"/>
  <c r="BC263" i="1"/>
  <c r="BE267" i="1"/>
  <c r="BA268" i="1"/>
  <c r="BE269" i="1"/>
  <c r="BA271" i="1"/>
  <c r="BE271" i="1"/>
  <c r="BB272" i="1"/>
  <c r="BD282" i="1"/>
  <c r="BB284" i="1"/>
  <c r="BF284" i="1" s="1"/>
  <c r="BF287" i="1"/>
  <c r="AN229" i="1"/>
  <c r="BB229" i="1" s="1"/>
  <c r="BF264" i="1"/>
  <c r="BB237" i="1"/>
  <c r="BF237" i="1" s="1"/>
  <c r="BB241" i="1"/>
  <c r="BF241" i="1" s="1"/>
  <c r="BE242" i="1"/>
  <c r="BB248" i="1"/>
  <c r="BF248" i="1" s="1"/>
  <c r="BB252" i="1"/>
  <c r="BF252" i="1" s="1"/>
  <c r="BB256" i="1"/>
  <c r="BF256" i="1" s="1"/>
  <c r="BC260" i="1"/>
  <c r="BE264" i="1"/>
  <c r="BB266" i="1"/>
  <c r="BF266" i="1" s="1"/>
  <c r="BF271" i="1"/>
  <c r="BF276" i="1"/>
  <c r="BF282" i="1"/>
  <c r="BF285" i="1"/>
  <c r="BE237" i="1"/>
  <c r="BA239" i="1"/>
  <c r="BE241" i="1"/>
  <c r="BD247" i="1"/>
  <c r="BD251" i="1"/>
  <c r="BD255" i="1"/>
  <c r="BF255" i="1" s="1"/>
  <c r="BA258" i="1"/>
  <c r="BC262" i="1"/>
  <c r="BD263" i="1"/>
  <c r="BF263" i="1" s="1"/>
  <c r="BA265" i="1"/>
  <c r="BF265" i="1" s="1"/>
  <c r="BE266" i="1"/>
  <c r="BB268" i="1"/>
  <c r="BD272" i="1"/>
  <c r="BF274" i="1"/>
  <c r="BB275" i="1"/>
  <c r="BF275" i="1" s="1"/>
  <c r="BA278" i="1"/>
  <c r="BE282" i="1"/>
  <c r="BC284" i="1"/>
  <c r="BA286" i="1"/>
  <c r="BA245" i="1"/>
  <c r="BF245" i="1" s="1"/>
  <c r="BC248" i="1"/>
  <c r="BC252" i="1"/>
  <c r="BC256" i="1"/>
  <c r="BA262" i="1"/>
  <c r="BC266" i="1"/>
  <c r="BF273" i="1"/>
  <c r="BB239" i="1"/>
  <c r="BF239" i="1" s="1"/>
  <c r="BB243" i="1"/>
  <c r="BD245" i="1"/>
  <c r="BE247" i="1"/>
  <c r="BA249" i="1"/>
  <c r="BF249" i="1" s="1"/>
  <c r="BF250" i="1"/>
  <c r="BE251" i="1"/>
  <c r="BA253" i="1"/>
  <c r="BF253" i="1" s="1"/>
  <c r="BF254" i="1"/>
  <c r="BE255" i="1"/>
  <c r="BA257" i="1"/>
  <c r="BF257" i="1" s="1"/>
  <c r="BF258" i="1"/>
  <c r="BC259" i="1"/>
  <c r="BE263" i="1"/>
  <c r="BD271" i="1"/>
  <c r="BE272" i="1"/>
  <c r="BB278" i="1"/>
  <c r="BF281" i="1"/>
  <c r="BD284" i="1"/>
  <c r="BB286" i="1"/>
  <c r="BF286" i="1" s="1"/>
  <c r="BF290" i="1"/>
  <c r="BF292" i="1"/>
  <c r="BF300" i="1"/>
  <c r="BF322" i="1"/>
  <c r="AN246" i="1"/>
  <c r="BB246" i="1" s="1"/>
  <c r="AV246" i="1"/>
  <c r="BD246" i="1" s="1"/>
  <c r="BB293" i="1"/>
  <c r="BD297" i="1"/>
  <c r="BB301" i="1"/>
  <c r="BF301" i="1" s="1"/>
  <c r="BD305" i="1"/>
  <c r="BD306" i="1"/>
  <c r="BD307" i="1"/>
  <c r="BD308" i="1"/>
  <c r="BD312" i="1"/>
  <c r="BD313" i="1"/>
  <c r="BA317" i="1"/>
  <c r="BE317" i="1"/>
  <c r="BB320" i="1"/>
  <c r="BB321" i="1"/>
  <c r="BC324" i="1"/>
  <c r="BB326" i="1"/>
  <c r="BF326" i="1" s="1"/>
  <c r="BD341" i="1"/>
  <c r="BF344" i="1"/>
  <c r="BB288" i="1"/>
  <c r="BF288" i="1" s="1"/>
  <c r="BF294" i="1"/>
  <c r="BF302" i="1"/>
  <c r="BF318" i="1"/>
  <c r="BF319" i="1"/>
  <c r="BF303" i="1"/>
  <c r="BF316" i="1"/>
  <c r="BF317" i="1"/>
  <c r="BF296" i="1"/>
  <c r="BF304" i="1"/>
  <c r="BF314" i="1"/>
  <c r="BF315" i="1"/>
  <c r="BD323" i="1"/>
  <c r="BF323" i="1" s="1"/>
  <c r="BF328" i="1"/>
  <c r="AJ246" i="1"/>
  <c r="AR246" i="1"/>
  <c r="BD293" i="1"/>
  <c r="BB297" i="1"/>
  <c r="BF297" i="1" s="1"/>
  <c r="BD301" i="1"/>
  <c r="BB305" i="1"/>
  <c r="BB306" i="1"/>
  <c r="BF306" i="1" s="1"/>
  <c r="BB307" i="1"/>
  <c r="BB308" i="1"/>
  <c r="BB312" i="1"/>
  <c r="BF312" i="1" s="1"/>
  <c r="BB313" i="1"/>
  <c r="BC316" i="1"/>
  <c r="BD320" i="1"/>
  <c r="BD321" i="1"/>
  <c r="BA325" i="1"/>
  <c r="BF340" i="1"/>
  <c r="BF382" i="1"/>
  <c r="BF289" i="1"/>
  <c r="BF291" i="1"/>
  <c r="BF299" i="1"/>
  <c r="BF324" i="1"/>
  <c r="BF325" i="1"/>
  <c r="BE329" i="1"/>
  <c r="BE330" i="1"/>
  <c r="BD343" i="1"/>
  <c r="BF343" i="1" s="1"/>
  <c r="BC346" i="1"/>
  <c r="BB347" i="1"/>
  <c r="BF347" i="1" s="1"/>
  <c r="BA348" i="1"/>
  <c r="BD348" i="1"/>
  <c r="BF348" i="1" s="1"/>
  <c r="BC349" i="1"/>
  <c r="BB350" i="1"/>
  <c r="BF350" i="1" s="1"/>
  <c r="BE350" i="1"/>
  <c r="BD351" i="1"/>
  <c r="BF351" i="1" s="1"/>
  <c r="BB353" i="1"/>
  <c r="BD354" i="1"/>
  <c r="BF354" i="1" s="1"/>
  <c r="BB360" i="1"/>
  <c r="BA362" i="1"/>
  <c r="BA381" i="1"/>
  <c r="BF381" i="1" s="1"/>
  <c r="BC381" i="1"/>
  <c r="BE381" i="1"/>
  <c r="BA386" i="1"/>
  <c r="BC386" i="1"/>
  <c r="BE386" i="1"/>
  <c r="BA388" i="1"/>
  <c r="BF388" i="1" s="1"/>
  <c r="BB389" i="1"/>
  <c r="BF389" i="1" s="1"/>
  <c r="BE389" i="1"/>
  <c r="BC392" i="1"/>
  <c r="BB402" i="1"/>
  <c r="BB345" i="1"/>
  <c r="BF345" i="1" s="1"/>
  <c r="BB356" i="1"/>
  <c r="BE363" i="1"/>
  <c r="BE367" i="1"/>
  <c r="BB371" i="1"/>
  <c r="BA373" i="1"/>
  <c r="BF373" i="1" s="1"/>
  <c r="BC373" i="1"/>
  <c r="BA377" i="1"/>
  <c r="BF377" i="1" s="1"/>
  <c r="BC377" i="1"/>
  <c r="BE377" i="1"/>
  <c r="BA382" i="1"/>
  <c r="BC382" i="1"/>
  <c r="BE382" i="1"/>
  <c r="BB384" i="1"/>
  <c r="BE391" i="1"/>
  <c r="BB394" i="1"/>
  <c r="BF394" i="1" s="1"/>
  <c r="BF448" i="1"/>
  <c r="BE337" i="1"/>
  <c r="BE338" i="1"/>
  <c r="BE343" i="1"/>
  <c r="BD346" i="1"/>
  <c r="BF346" i="1" s="1"/>
  <c r="BC363" i="1"/>
  <c r="BB367" i="1"/>
  <c r="BB372" i="1"/>
  <c r="BF372" i="1" s="1"/>
  <c r="BC395" i="1"/>
  <c r="BB341" i="1"/>
  <c r="BF341" i="1" s="1"/>
  <c r="BF386" i="1"/>
  <c r="BF339" i="1"/>
  <c r="BE369" i="1"/>
  <c r="BB327" i="1"/>
  <c r="BF327" i="1" s="1"/>
  <c r="BE333" i="1"/>
  <c r="BB349" i="1"/>
  <c r="BF349" i="1" s="1"/>
  <c r="BE355" i="1"/>
  <c r="BE357" i="1"/>
  <c r="BA365" i="1"/>
  <c r="BE366" i="1"/>
  <c r="AV371" i="1"/>
  <c r="AJ371" i="1"/>
  <c r="AT371" i="1"/>
  <c r="AH371" i="1"/>
  <c r="AH786" i="1" s="1"/>
  <c r="BF378" i="1"/>
  <c r="BB387" i="1"/>
  <c r="BF387" i="1" s="1"/>
  <c r="BA391" i="1"/>
  <c r="BE392" i="1"/>
  <c r="BD410" i="1"/>
  <c r="BA353" i="1"/>
  <c r="BC354" i="1"/>
  <c r="BB355" i="1"/>
  <c r="BF355" i="1" s="1"/>
  <c r="BA356" i="1"/>
  <c r="BB357" i="1"/>
  <c r="BF357" i="1" s="1"/>
  <c r="BA358" i="1"/>
  <c r="BD358" i="1"/>
  <c r="BD363" i="1"/>
  <c r="BB366" i="1"/>
  <c r="BD367" i="1"/>
  <c r="BE387" i="1"/>
  <c r="BF392" i="1"/>
  <c r="BF397" i="1"/>
  <c r="BE393" i="1"/>
  <c r="BD398" i="1"/>
  <c r="BD401" i="1"/>
  <c r="BA403" i="1"/>
  <c r="BD403" i="1"/>
  <c r="BA410" i="1"/>
  <c r="BE414" i="1"/>
  <c r="BA415" i="1"/>
  <c r="BE422" i="1"/>
  <c r="BE426" i="1"/>
  <c r="BC465" i="1"/>
  <c r="BB391" i="1"/>
  <c r="BB395" i="1"/>
  <c r="BB398" i="1"/>
  <c r="BB401" i="1"/>
  <c r="BD404" i="1"/>
  <c r="BE410" i="1"/>
  <c r="BC413" i="1"/>
  <c r="BB415" i="1"/>
  <c r="BF415" i="1" s="1"/>
  <c r="BE415" i="1"/>
  <c r="BA417" i="1"/>
  <c r="BA418" i="1"/>
  <c r="BD419" i="1"/>
  <c r="BF419" i="1" s="1"/>
  <c r="BC421" i="1"/>
  <c r="BB423" i="1"/>
  <c r="BC425" i="1"/>
  <c r="BB427" i="1"/>
  <c r="BF427" i="1" s="1"/>
  <c r="BD432" i="1"/>
  <c r="BF462" i="1"/>
  <c r="AN370" i="1"/>
  <c r="BB370" i="1" s="1"/>
  <c r="BD399" i="1"/>
  <c r="BE401" i="1"/>
  <c r="BE416" i="1"/>
  <c r="BF428" i="1"/>
  <c r="BF445" i="1"/>
  <c r="BA405" i="1"/>
  <c r="BD405" i="1"/>
  <c r="BC406" i="1"/>
  <c r="BB407" i="1"/>
  <c r="BF407" i="1" s="1"/>
  <c r="BE407" i="1"/>
  <c r="BA408" i="1"/>
  <c r="BF408" i="1" s="1"/>
  <c r="BD408" i="1"/>
  <c r="BB411" i="1"/>
  <c r="BF411" i="1" s="1"/>
  <c r="BE411" i="1"/>
  <c r="BA412" i="1"/>
  <c r="BD412" i="1"/>
  <c r="BB416" i="1"/>
  <c r="BF416" i="1" s="1"/>
  <c r="BE418" i="1"/>
  <c r="BE419" i="1"/>
  <c r="BA420" i="1"/>
  <c r="BF420" i="1" s="1"/>
  <c r="BD420" i="1"/>
  <c r="BA424" i="1"/>
  <c r="BD424" i="1"/>
  <c r="BF424" i="1" s="1"/>
  <c r="BF454" i="1"/>
  <c r="BF555" i="1"/>
  <c r="BB396" i="1"/>
  <c r="BF396" i="1" s="1"/>
  <c r="BC398" i="1"/>
  <c r="BC401" i="1"/>
  <c r="BD402" i="1"/>
  <c r="BB404" i="1"/>
  <c r="BE404" i="1"/>
  <c r="BC410" i="1"/>
  <c r="BA413" i="1"/>
  <c r="BF413" i="1" s="1"/>
  <c r="BD413" i="1"/>
  <c r="BC415" i="1"/>
  <c r="BB417" i="1"/>
  <c r="BB418" i="1"/>
  <c r="BF418" i="1" s="1"/>
  <c r="BA421" i="1"/>
  <c r="BD421" i="1"/>
  <c r="BF421" i="1" s="1"/>
  <c r="BD423" i="1"/>
  <c r="BA425" i="1"/>
  <c r="BD425" i="1"/>
  <c r="BF429" i="1"/>
  <c r="BE438" i="1"/>
  <c r="BE400" i="1"/>
  <c r="BA409" i="1"/>
  <c r="BD409" i="1"/>
  <c r="BA414" i="1"/>
  <c r="BF414" i="1" s="1"/>
  <c r="BA422" i="1"/>
  <c r="BF422" i="1" s="1"/>
  <c r="BA426" i="1"/>
  <c r="BF426" i="1" s="1"/>
  <c r="BA395" i="1"/>
  <c r="BE402" i="1"/>
  <c r="BD431" i="1"/>
  <c r="BF431" i="1" s="1"/>
  <c r="BD433" i="1"/>
  <c r="BB434" i="1"/>
  <c r="BA441" i="1"/>
  <c r="BD447" i="1"/>
  <c r="BF447" i="1" s="1"/>
  <c r="BA461" i="1"/>
  <c r="BF461" i="1" s="1"/>
  <c r="BC461" i="1"/>
  <c r="BE461" i="1"/>
  <c r="BB463" i="1"/>
  <c r="BF463" i="1" s="1"/>
  <c r="BB467" i="1"/>
  <c r="BF467" i="1" s="1"/>
  <c r="BA475" i="1"/>
  <c r="BE475" i="1"/>
  <c r="BB485" i="1"/>
  <c r="BF485" i="1" s="1"/>
  <c r="BF495" i="1"/>
  <c r="BA511" i="1"/>
  <c r="BE511" i="1"/>
  <c r="BB517" i="1"/>
  <c r="BF517" i="1" s="1"/>
  <c r="BD522" i="1"/>
  <c r="BF522" i="1" s="1"/>
  <c r="BE523" i="1"/>
  <c r="BA526" i="1"/>
  <c r="BF526" i="1" s="1"/>
  <c r="BE526" i="1"/>
  <c r="BB532" i="1"/>
  <c r="BF532" i="1" s="1"/>
  <c r="BF542" i="1"/>
  <c r="BE550" i="1"/>
  <c r="BF551" i="1"/>
  <c r="BE553" i="1"/>
  <c r="BE428" i="1"/>
  <c r="BF438" i="1"/>
  <c r="BA439" i="1"/>
  <c r="BD439" i="1"/>
  <c r="BD442" i="1"/>
  <c r="BA446" i="1"/>
  <c r="BC446" i="1"/>
  <c r="BE446" i="1"/>
  <c r="BB453" i="1"/>
  <c r="BA455" i="1"/>
  <c r="BE455" i="1"/>
  <c r="BA471" i="1"/>
  <c r="BE471" i="1"/>
  <c r="BB479" i="1"/>
  <c r="BF487" i="1"/>
  <c r="BA503" i="1"/>
  <c r="BE503" i="1"/>
  <c r="BF509" i="1"/>
  <c r="BF520" i="1"/>
  <c r="BB524" i="1"/>
  <c r="BF524" i="1" s="1"/>
  <c r="BA550" i="1"/>
  <c r="BB554" i="1"/>
  <c r="BF554" i="1" s="1"/>
  <c r="BB433" i="1"/>
  <c r="BF469" i="1"/>
  <c r="BF489" i="1"/>
  <c r="BF499" i="1"/>
  <c r="BB523" i="1"/>
  <c r="BF523" i="1" s="1"/>
  <c r="BF536" i="1"/>
  <c r="BC438" i="1"/>
  <c r="BF475" i="1"/>
  <c r="BF492" i="1"/>
  <c r="BF539" i="1"/>
  <c r="BF442" i="1"/>
  <c r="BF451" i="1"/>
  <c r="BF465" i="1"/>
  <c r="BF481" i="1"/>
  <c r="BF491" i="1"/>
  <c r="BF504" i="1"/>
  <c r="BF513" i="1"/>
  <c r="BF528" i="1"/>
  <c r="BB432" i="1"/>
  <c r="BF432" i="1" s="1"/>
  <c r="BB440" i="1"/>
  <c r="BF440" i="1" s="1"/>
  <c r="BE444" i="1"/>
  <c r="BB446" i="1"/>
  <c r="BA453" i="1"/>
  <c r="BC453" i="1"/>
  <c r="BE453" i="1"/>
  <c r="BB455" i="1"/>
  <c r="BB471" i="1"/>
  <c r="BA479" i="1"/>
  <c r="BE479" i="1"/>
  <c r="BA487" i="1"/>
  <c r="BE487" i="1"/>
  <c r="BB493" i="1"/>
  <c r="BF493" i="1" s="1"/>
  <c r="BF503" i="1"/>
  <c r="BE518" i="1"/>
  <c r="BE521" i="1"/>
  <c r="BF531" i="1"/>
  <c r="BA534" i="1"/>
  <c r="BF534" i="1" s="1"/>
  <c r="BE534" i="1"/>
  <c r="BB540" i="1"/>
  <c r="BF540" i="1" s="1"/>
  <c r="BF550" i="1"/>
  <c r="BD438" i="1"/>
  <c r="BD441" i="1"/>
  <c r="BC442" i="1"/>
  <c r="BE443" i="1"/>
  <c r="BA457" i="1"/>
  <c r="BC457" i="1"/>
  <c r="BE457" i="1"/>
  <c r="BB459" i="1"/>
  <c r="BF459" i="1" s="1"/>
  <c r="BA469" i="1"/>
  <c r="BC469" i="1"/>
  <c r="BE469" i="1"/>
  <c r="BB477" i="1"/>
  <c r="BF477" i="1" s="1"/>
  <c r="BF483" i="1"/>
  <c r="BA499" i="1"/>
  <c r="BE499" i="1"/>
  <c r="BB505" i="1"/>
  <c r="BF505" i="1" s="1"/>
  <c r="BF515" i="1"/>
  <c r="BE520" i="1"/>
  <c r="BF530" i="1"/>
  <c r="BA546" i="1"/>
  <c r="BF546" i="1" s="1"/>
  <c r="BE546" i="1"/>
  <c r="BF553" i="1"/>
  <c r="BD555" i="1"/>
  <c r="BA561" i="1"/>
  <c r="BF569" i="1"/>
  <c r="BE571" i="1"/>
  <c r="BA582" i="1"/>
  <c r="BF582" i="1" s="1"/>
  <c r="BE589" i="1"/>
  <c r="BF592" i="1"/>
  <c r="BD593" i="1"/>
  <c r="BE595" i="1"/>
  <c r="BC560" i="1"/>
  <c r="BB561" i="1"/>
  <c r="BF561" i="1" s="1"/>
  <c r="BE561" i="1"/>
  <c r="BB564" i="1"/>
  <c r="BF564" i="1" s="1"/>
  <c r="BD566" i="1"/>
  <c r="BF566" i="1" s="1"/>
  <c r="BD567" i="1"/>
  <c r="BF567" i="1" s="1"/>
  <c r="BA573" i="1"/>
  <c r="BB575" i="1"/>
  <c r="BF575" i="1" s="1"/>
  <c r="BE578" i="1"/>
  <c r="BC579" i="1"/>
  <c r="BB583" i="1"/>
  <c r="BF583" i="1" s="1"/>
  <c r="BD586" i="1"/>
  <c r="BF586" i="1" s="1"/>
  <c r="BC588" i="1"/>
  <c r="BA589" i="1"/>
  <c r="BE592" i="1"/>
  <c r="BA594" i="1"/>
  <c r="BF596" i="1"/>
  <c r="BA597" i="1"/>
  <c r="BF597" i="1" s="1"/>
  <c r="BB556" i="1"/>
  <c r="BF556" i="1" s="1"/>
  <c r="BA563" i="1"/>
  <c r="BF563" i="1" s="1"/>
  <c r="BD568" i="1"/>
  <c r="BF568" i="1" s="1"/>
  <c r="BE577" i="1"/>
  <c r="BC578" i="1"/>
  <c r="BE585" i="1"/>
  <c r="BA586" i="1"/>
  <c r="BA588" i="1"/>
  <c r="BC592" i="1"/>
  <c r="BA559" i="1"/>
  <c r="BF559" i="1" s="1"/>
  <c r="BD559" i="1"/>
  <c r="BB573" i="1"/>
  <c r="BE573" i="1"/>
  <c r="BF590" i="1"/>
  <c r="BF593" i="1"/>
  <c r="BF581" i="1"/>
  <c r="BF594" i="1"/>
  <c r="BD557" i="1"/>
  <c r="BF557" i="1" s="1"/>
  <c r="BC558" i="1"/>
  <c r="BE559" i="1"/>
  <c r="BD570" i="1"/>
  <c r="BF570" i="1" s="1"/>
  <c r="BA571" i="1"/>
  <c r="BD571" i="1"/>
  <c r="BC575" i="1"/>
  <c r="BB579" i="1"/>
  <c r="BF579" i="1" s="1"/>
  <c r="BE582" i="1"/>
  <c r="BC583" i="1"/>
  <c r="BE591" i="1"/>
  <c r="BE594" i="1"/>
  <c r="BD595" i="1"/>
  <c r="BF560" i="1"/>
  <c r="BF574" i="1"/>
  <c r="BE574" i="1"/>
  <c r="BE581" i="1"/>
  <c r="BB588" i="1"/>
  <c r="BE590" i="1"/>
  <c r="BC600" i="1"/>
  <c r="BC601" i="1"/>
  <c r="BE603" i="1"/>
  <c r="BC605" i="1"/>
  <c r="BE609" i="1"/>
  <c r="BB610" i="1"/>
  <c r="BA611" i="1"/>
  <c r="BF611" i="1" s="1"/>
  <c r="BD614" i="1"/>
  <c r="BF614" i="1" s="1"/>
  <c r="BC615" i="1"/>
  <c r="BF615" i="1"/>
  <c r="BC619" i="1"/>
  <c r="BF619" i="1"/>
  <c r="BB620" i="1"/>
  <c r="BF620" i="1" s="1"/>
  <c r="BD622" i="1"/>
  <c r="BA627" i="1"/>
  <c r="BF627" i="1" s="1"/>
  <c r="BE628" i="1"/>
  <c r="BB630" i="1"/>
  <c r="BE630" i="1"/>
  <c r="BD633" i="1"/>
  <c r="BF633" i="1" s="1"/>
  <c r="BB637" i="1"/>
  <c r="BF637" i="1" s="1"/>
  <c r="BE638" i="1"/>
  <c r="BF645" i="1"/>
  <c r="BA600" i="1"/>
  <c r="BF600" i="1" s="1"/>
  <c r="BD604" i="1"/>
  <c r="BF604" i="1" s="1"/>
  <c r="BB606" i="1"/>
  <c r="BE612" i="1"/>
  <c r="BB616" i="1"/>
  <c r="BF616" i="1" s="1"/>
  <c r="BD618" i="1"/>
  <c r="BA623" i="1"/>
  <c r="BF623" i="1" s="1"/>
  <c r="BE624" i="1"/>
  <c r="BB626" i="1"/>
  <c r="BD629" i="1"/>
  <c r="BF629" i="1" s="1"/>
  <c r="BC632" i="1"/>
  <c r="BA640" i="1"/>
  <c r="BF640" i="1" s="1"/>
  <c r="BE641" i="1"/>
  <c r="BC647" i="1"/>
  <c r="BF622" i="1"/>
  <c r="BF639" i="1"/>
  <c r="BB602" i="1"/>
  <c r="BF602" i="1" s="1"/>
  <c r="BB605" i="1"/>
  <c r="BF605" i="1" s="1"/>
  <c r="BC622" i="1"/>
  <c r="BA630" i="1"/>
  <c r="BC639" i="1"/>
  <c r="BC655" i="1"/>
  <c r="BB599" i="1"/>
  <c r="BF599" i="1" s="1"/>
  <c r="BD603" i="1"/>
  <c r="BF603" i="1" s="1"/>
  <c r="BD607" i="1"/>
  <c r="BC608" i="1"/>
  <c r="BD610" i="1"/>
  <c r="BC616" i="1"/>
  <c r="BB621" i="1"/>
  <c r="BF621" i="1" s="1"/>
  <c r="BE623" i="1"/>
  <c r="BA626" i="1"/>
  <c r="BC631" i="1"/>
  <c r="BB632" i="1"/>
  <c r="BF632" i="1" s="1"/>
  <c r="BE640" i="1"/>
  <c r="BA641" i="1"/>
  <c r="BB642" i="1"/>
  <c r="BF642" i="1" s="1"/>
  <c r="BF652" i="1"/>
  <c r="BF659" i="1"/>
  <c r="BF628" i="1"/>
  <c r="BE601" i="1"/>
  <c r="BD606" i="1"/>
  <c r="BB607" i="1"/>
  <c r="BE607" i="1"/>
  <c r="BA608" i="1"/>
  <c r="BF608" i="1" s="1"/>
  <c r="BB612" i="1"/>
  <c r="BF612" i="1" s="1"/>
  <c r="BA616" i="1"/>
  <c r="BA618" i="1"/>
  <c r="BF618" i="1" s="1"/>
  <c r="BC623" i="1"/>
  <c r="BB624" i="1"/>
  <c r="BA631" i="1"/>
  <c r="BF631" i="1" s="1"/>
  <c r="BE632" i="1"/>
  <c r="BB634" i="1"/>
  <c r="BF634" i="1" s="1"/>
  <c r="BE634" i="1"/>
  <c r="BB636" i="1"/>
  <c r="BF636" i="1" s="1"/>
  <c r="BF638" i="1"/>
  <c r="BC640" i="1"/>
  <c r="BB641" i="1"/>
  <c r="BA643" i="1"/>
  <c r="BD651" i="1"/>
  <c r="BF651" i="1" s="1"/>
  <c r="BB649" i="1"/>
  <c r="BF649" i="1" s="1"/>
  <c r="BB650" i="1"/>
  <c r="BF650" i="1" s="1"/>
  <c r="BD655" i="1"/>
  <c r="BF655" i="1" s="1"/>
  <c r="BA659" i="1"/>
  <c r="BB660" i="1"/>
  <c r="BA666" i="1"/>
  <c r="BB671" i="1"/>
  <c r="BF671" i="1" s="1"/>
  <c r="BF673" i="1"/>
  <c r="BE650" i="1"/>
  <c r="BD654" i="1"/>
  <c r="BF654" i="1" s="1"/>
  <c r="BE660" i="1"/>
  <c r="BB662" i="1"/>
  <c r="BE665" i="1"/>
  <c r="BD666" i="1"/>
  <c r="BF668" i="1"/>
  <c r="BA669" i="1"/>
  <c r="BF669" i="1" s="1"/>
  <c r="BB646" i="1"/>
  <c r="BF646" i="1" s="1"/>
  <c r="BF664" i="1"/>
  <c r="BA658" i="1"/>
  <c r="BF666" i="1"/>
  <c r="BA648" i="1"/>
  <c r="BF648" i="1" s="1"/>
  <c r="BE654" i="1"/>
  <c r="BF665" i="1"/>
  <c r="BE666" i="1"/>
  <c r="BA656" i="1"/>
  <c r="BF656" i="1" s="1"/>
  <c r="BA660" i="1"/>
  <c r="BE661" i="1"/>
  <c r="BC664" i="1"/>
  <c r="BD667" i="1"/>
  <c r="BE669" i="1"/>
  <c r="BD670" i="1"/>
  <c r="BA674" i="1"/>
  <c r="BF674" i="1" s="1"/>
  <c r="BF690" i="1"/>
  <c r="BE658" i="1"/>
  <c r="BC661" i="1"/>
  <c r="BD662" i="1"/>
  <c r="BA664" i="1"/>
  <c r="BB667" i="1"/>
  <c r="BC669" i="1"/>
  <c r="BB670" i="1"/>
  <c r="BB695" i="1"/>
  <c r="BA710" i="1"/>
  <c r="BB672" i="1"/>
  <c r="BF672" i="1" s="1"/>
  <c r="BC674" i="1"/>
  <c r="BA677" i="1"/>
  <c r="BD677" i="1"/>
  <c r="BC678" i="1"/>
  <c r="BD684" i="1"/>
  <c r="BC687" i="1"/>
  <c r="BB696" i="1"/>
  <c r="BF696" i="1" s="1"/>
  <c r="BF722" i="1"/>
  <c r="BF686" i="1"/>
  <c r="BF687" i="1"/>
  <c r="BF698" i="1"/>
  <c r="BD673" i="1"/>
  <c r="BB682" i="1"/>
  <c r="BF682" i="1" s="1"/>
  <c r="BB684" i="1"/>
  <c r="BF684" i="1" s="1"/>
  <c r="BC697" i="1"/>
  <c r="BF709" i="1"/>
  <c r="BF689" i="1"/>
  <c r="BF691" i="1"/>
  <c r="BF694" i="1"/>
  <c r="BD695" i="1"/>
  <c r="BF702" i="1"/>
  <c r="BB678" i="1"/>
  <c r="BF678" i="1" s="1"/>
  <c r="BF680" i="1"/>
  <c r="BD679" i="1"/>
  <c r="BF679" i="1" s="1"/>
  <c r="BA681" i="1"/>
  <c r="BF681" i="1" s="1"/>
  <c r="BD681" i="1"/>
  <c r="BC682" i="1"/>
  <c r="BA692" i="1"/>
  <c r="BA697" i="1"/>
  <c r="BA698" i="1"/>
  <c r="BD698" i="1"/>
  <c r="BB692" i="1"/>
  <c r="BF692" i="1" s="1"/>
  <c r="BE712" i="1"/>
  <c r="BB688" i="1"/>
  <c r="BF688" i="1" s="1"/>
  <c r="BD701" i="1"/>
  <c r="BF701" i="1" s="1"/>
  <c r="BD706" i="1"/>
  <c r="BD717" i="1"/>
  <c r="BF717" i="1" s="1"/>
  <c r="BE739" i="1"/>
  <c r="BE702" i="1"/>
  <c r="BF705" i="1"/>
  <c r="BF708" i="1"/>
  <c r="BF713" i="1"/>
  <c r="BF724" i="1"/>
  <c r="BF727" i="1"/>
  <c r="BB700" i="1"/>
  <c r="BF700" i="1" s="1"/>
  <c r="BD704" i="1"/>
  <c r="BE710" i="1"/>
  <c r="BF711" i="1"/>
  <c r="BF715" i="1"/>
  <c r="BD697" i="1"/>
  <c r="BA703" i="1"/>
  <c r="BD716" i="1"/>
  <c r="BE704" i="1"/>
  <c r="BC708" i="1"/>
  <c r="BE708" i="1"/>
  <c r="BE716" i="1"/>
  <c r="BE723" i="1"/>
  <c r="BA731" i="1"/>
  <c r="BF731" i="1" s="1"/>
  <c r="BB741" i="1"/>
  <c r="BF741" i="1" s="1"/>
  <c r="BB762" i="1"/>
  <c r="BF762" i="1" s="1"/>
  <c r="BF766" i="1"/>
  <c r="BB770" i="1"/>
  <c r="BF770" i="1" s="1"/>
  <c r="BD771" i="1"/>
  <c r="BF736" i="1"/>
  <c r="BF750" i="1"/>
  <c r="BF758" i="1"/>
  <c r="BF780" i="1"/>
  <c r="BB710" i="1"/>
  <c r="BB712" i="1"/>
  <c r="BF712" i="1" s="1"/>
  <c r="BE721" i="1"/>
  <c r="BF740" i="1"/>
  <c r="BC743" i="1"/>
  <c r="BD745" i="1"/>
  <c r="BE748" i="1"/>
  <c r="BF761" i="1"/>
  <c r="BF768" i="1"/>
  <c r="BE768" i="1"/>
  <c r="AX771" i="1"/>
  <c r="BE771" i="1" s="1"/>
  <c r="BE705" i="1"/>
  <c r="BF733" i="1"/>
  <c r="BF774" i="1"/>
  <c r="BD775" i="1"/>
  <c r="BF782" i="1"/>
  <c r="BB706" i="1"/>
  <c r="BF706" i="1" s="1"/>
  <c r="BA707" i="1"/>
  <c r="BF707" i="1" s="1"/>
  <c r="BC707" i="1"/>
  <c r="BB714" i="1"/>
  <c r="BF714" i="1" s="1"/>
  <c r="BB716" i="1"/>
  <c r="BF716" i="1" s="1"/>
  <c r="BB721" i="1"/>
  <c r="BF721" i="1" s="1"/>
  <c r="BA727" i="1"/>
  <c r="BE740" i="1"/>
  <c r="BA743" i="1"/>
  <c r="BF743" i="1" s="1"/>
  <c r="BB745" i="1"/>
  <c r="BF745" i="1" s="1"/>
  <c r="BC748" i="1"/>
  <c r="BD754" i="1"/>
  <c r="BF754" i="1" s="1"/>
  <c r="BF757" i="1"/>
  <c r="BF769" i="1"/>
  <c r="BF772" i="1"/>
  <c r="BC780" i="1"/>
  <c r="BF781" i="1"/>
  <c r="AX782" i="1"/>
  <c r="BE782" i="1" s="1"/>
  <c r="AZ782" i="1"/>
  <c r="BE747" i="1"/>
  <c r="AZ738" i="1"/>
  <c r="BE738" i="1" s="1"/>
  <c r="AR738" i="1"/>
  <c r="AJ738" i="1"/>
  <c r="BA738" i="1" s="1"/>
  <c r="AT738" i="1"/>
  <c r="BD738" i="1" s="1"/>
  <c r="AL738" i="1"/>
  <c r="BB738" i="1" s="1"/>
  <c r="AP738" i="1"/>
  <c r="AP786" i="1" s="1"/>
  <c r="BE752" i="1"/>
  <c r="BE753" i="1"/>
  <c r="BE759" i="1"/>
  <c r="BB767" i="1"/>
  <c r="AZ784" i="1"/>
  <c r="BE784" i="1" s="1"/>
  <c r="BC731" i="1"/>
  <c r="BE731" i="1"/>
  <c r="BA739" i="1"/>
  <c r="BF739" i="1" s="1"/>
  <c r="BC739" i="1"/>
  <c r="BB746" i="1"/>
  <c r="BF746" i="1" s="1"/>
  <c r="BA747" i="1"/>
  <c r="BF747" i="1" s="1"/>
  <c r="BC747" i="1"/>
  <c r="BB749" i="1"/>
  <c r="BF749" i="1" s="1"/>
  <c r="BE749" i="1"/>
  <c r="BC751" i="1"/>
  <c r="BC752" i="1"/>
  <c r="BA760" i="1"/>
  <c r="BF760" i="1" s="1"/>
  <c r="BC760" i="1"/>
  <c r="BB771" i="1"/>
  <c r="BF771" i="1" s="1"/>
  <c r="BB775" i="1"/>
  <c r="BC756" i="1"/>
  <c r="BC761" i="1"/>
  <c r="BE761" i="1"/>
  <c r="BE769" i="1"/>
  <c r="AZ770" i="1"/>
  <c r="BE770" i="1" s="1"/>
  <c r="AZ774" i="1"/>
  <c r="BE774" i="1" s="1"/>
  <c r="BB742" i="1"/>
  <c r="BF742" i="1" s="1"/>
  <c r="BB763" i="1"/>
  <c r="BF763" i="1" s="1"/>
  <c r="BC769" i="1"/>
  <c r="BC773" i="1"/>
  <c r="BF735" i="1"/>
  <c r="BC772" i="1"/>
  <c r="BC776" i="1"/>
  <c r="BC777" i="1"/>
  <c r="BE777" i="1"/>
  <c r="AX778" i="1"/>
  <c r="AZ778" i="1"/>
  <c r="BB779" i="1"/>
  <c r="BF779" i="1" s="1"/>
  <c r="BA784" i="1"/>
  <c r="BF784" i="1" s="1"/>
  <c r="BC784" i="1"/>
  <c r="BE736" i="1"/>
  <c r="AV737" i="1"/>
  <c r="BD737" i="1" s="1"/>
  <c r="AJ737" i="1"/>
  <c r="AX737" i="1"/>
  <c r="BE737" i="1" s="1"/>
  <c r="AL737" i="1"/>
  <c r="BB737" i="1" s="1"/>
  <c r="BC744" i="1"/>
  <c r="BE744" i="1"/>
  <c r="BB755" i="1"/>
  <c r="BF755" i="1" s="1"/>
  <c r="BC765" i="1"/>
  <c r="BE765" i="1"/>
  <c r="BC781" i="1"/>
  <c r="BE781" i="1"/>
  <c r="BB783" i="1"/>
  <c r="BF783" i="1" s="1"/>
  <c r="BF449" i="1" l="1"/>
  <c r="BF695" i="1"/>
  <c r="BF626" i="1"/>
  <c r="BF571" i="1"/>
  <c r="BF439" i="1"/>
  <c r="BF417" i="1"/>
  <c r="BF226" i="1"/>
  <c r="BF228" i="1"/>
  <c r="BF190" i="1"/>
  <c r="BF657" i="1"/>
  <c r="BF625" i="1"/>
  <c r="BF506" i="1"/>
  <c r="BF490" i="1"/>
  <c r="BA9" i="1"/>
  <c r="BF9" i="1" s="1"/>
  <c r="BF293" i="1"/>
  <c r="BF748" i="1"/>
  <c r="BF718" i="1"/>
  <c r="BF756" i="1"/>
  <c r="BF482" i="1"/>
  <c r="BF434" i="1"/>
  <c r="BF409" i="1"/>
  <c r="BF403" i="1"/>
  <c r="BF358" i="1"/>
  <c r="BD371" i="1"/>
  <c r="BF320" i="1"/>
  <c r="BF186" i="1"/>
  <c r="BF105" i="1"/>
  <c r="BE776" i="1"/>
  <c r="BF527" i="1"/>
  <c r="BF537" i="1"/>
  <c r="BF155" i="1"/>
  <c r="BF106" i="1"/>
  <c r="BF441" i="1"/>
  <c r="BF697" i="1"/>
  <c r="BF247" i="1"/>
  <c r="BF219" i="1"/>
  <c r="BF224" i="1"/>
  <c r="BE780" i="1"/>
  <c r="BF765" i="1"/>
  <c r="BF384" i="1"/>
  <c r="BF356" i="1"/>
  <c r="AR786" i="1"/>
  <c r="BF661" i="1"/>
  <c r="BE230" i="1"/>
  <c r="BF624" i="1"/>
  <c r="BF405" i="1"/>
  <c r="BF395" i="1"/>
  <c r="AJ786" i="1"/>
  <c r="BF64" i="1"/>
  <c r="BF514" i="1"/>
  <c r="BF235" i="1"/>
  <c r="AN786" i="1"/>
  <c r="BF778" i="1"/>
  <c r="BF200" i="1"/>
  <c r="BF159" i="1"/>
  <c r="BF767" i="1"/>
  <c r="BF677" i="1"/>
  <c r="BF662" i="1"/>
  <c r="BF425" i="1"/>
  <c r="BF268" i="1"/>
  <c r="BF635" i="1"/>
  <c r="BF472" i="1"/>
  <c r="BF450" i="1"/>
  <c r="BF589" i="1"/>
  <c r="BF455" i="1"/>
  <c r="BF410" i="1"/>
  <c r="BA246" i="1"/>
  <c r="BF246" i="1" s="1"/>
  <c r="BE437" i="1"/>
  <c r="BF710" i="1"/>
  <c r="BF704" i="1"/>
  <c r="BF412" i="1"/>
  <c r="BF197" i="1"/>
  <c r="BF72" i="1"/>
  <c r="BF519" i="1"/>
  <c r="BF307" i="1"/>
  <c r="BF198" i="1"/>
  <c r="BF193" i="1"/>
  <c r="BF233" i="1"/>
  <c r="BF507" i="1"/>
  <c r="BA437" i="1"/>
  <c r="BF437" i="1" s="1"/>
  <c r="BF119" i="1"/>
  <c r="BB230" i="1"/>
  <c r="BF165" i="1"/>
  <c r="BF391" i="1"/>
  <c r="BF305" i="1"/>
  <c r="BC246" i="1"/>
  <c r="BF120" i="1"/>
  <c r="BF19" i="1"/>
  <c r="BF8" i="1"/>
  <c r="AT786" i="1"/>
  <c r="AX786" i="1"/>
  <c r="BE778" i="1"/>
  <c r="BF775" i="1"/>
  <c r="BF670" i="1"/>
  <c r="BF610" i="1"/>
  <c r="BF201" i="1"/>
  <c r="BF108" i="1"/>
  <c r="AL786" i="1"/>
  <c r="BF453" i="1"/>
  <c r="BC786" i="1"/>
  <c r="AZ786" i="1"/>
  <c r="BF667" i="1"/>
  <c r="BF588" i="1"/>
  <c r="BF573" i="1"/>
  <c r="BF446" i="1"/>
  <c r="BF433" i="1"/>
  <c r="BF353" i="1"/>
  <c r="BF313" i="1"/>
  <c r="BF61" i="1"/>
  <c r="AV786" i="1"/>
  <c r="BF402" i="1"/>
  <c r="BF189" i="1"/>
  <c r="BB94" i="1"/>
  <c r="BF94" i="1" s="1"/>
  <c r="BC738" i="1"/>
  <c r="BF607" i="1"/>
  <c r="BF479" i="1"/>
  <c r="BF404" i="1"/>
  <c r="BF401" i="1"/>
  <c r="BF308" i="1"/>
  <c r="BF185" i="1"/>
  <c r="BF53" i="1"/>
  <c r="BF13" i="1"/>
  <c r="BF738" i="1"/>
  <c r="BF641" i="1"/>
  <c r="BF606" i="1"/>
  <c r="BF630" i="1"/>
  <c r="BF471" i="1"/>
  <c r="BF398" i="1"/>
  <c r="BF321" i="1"/>
  <c r="BF262" i="1"/>
  <c r="BF96" i="1"/>
  <c r="BF65" i="1"/>
  <c r="BF66" i="1"/>
  <c r="BF16" i="1"/>
  <c r="BF737" i="1"/>
  <c r="BF660" i="1"/>
  <c r="BF278" i="1"/>
  <c r="BD786" i="1"/>
  <c r="BE786" i="1"/>
  <c r="BF786" i="1" l="1"/>
  <c r="BA786" i="1"/>
  <c r="BB786" i="1"/>
</calcChain>
</file>

<file path=xl/sharedStrings.xml><?xml version="1.0" encoding="utf-8"?>
<sst xmlns="http://schemas.openxmlformats.org/spreadsheetml/2006/main" count="1595" uniqueCount="794">
  <si>
    <t>DESIGNATION</t>
  </si>
  <si>
    <t>QUANTITE STOCK</t>
  </si>
  <si>
    <t>Qté totale STOCK</t>
  </si>
  <si>
    <t>Unité</t>
  </si>
  <si>
    <t>Prix Unit</t>
  </si>
  <si>
    <t>Stock SENELEC au Dépôt BARGNY</t>
  </si>
  <si>
    <t>Stock SENELEC au Dépôt COSELEC</t>
  </si>
  <si>
    <t>STOCK (hors Senelec, SICAP, BRT, AEE Power et Proquelec)  au Dépôt BARGNY</t>
  </si>
  <si>
    <t>STOCK STOCK (hors Senelec, SICAP, BRT, AEE Power et Proquelec) Dépôt COSELEC</t>
  </si>
  <si>
    <t>STOCK PROQUELEC au Dépôt BARGNY</t>
  </si>
  <si>
    <t>STOCK PROQUELEC Dépôt COSELEC</t>
  </si>
  <si>
    <t>STOCK BRT au Dépôt BARGNY</t>
  </si>
  <si>
    <t>STOCK BRT Dépôt COSELEC</t>
  </si>
  <si>
    <t>STOCK AEE Power au Dépôt BARGNY</t>
  </si>
  <si>
    <t>STOCK AEE Power Dépôt COSELEC</t>
  </si>
  <si>
    <t>Valeur  stock SENELEC</t>
  </si>
  <si>
    <t xml:space="preserve">Valeur  STOCK (hors Senelec, SICAP, BRT, AEE Power et Proquelec) </t>
  </si>
  <si>
    <t>Valeur  STOCK PROQUELEC</t>
  </si>
  <si>
    <t>Valeur  STOCK BRT</t>
  </si>
  <si>
    <t>Valeur  STOCK AEE Power</t>
  </si>
  <si>
    <t>Valeur totale STOCK COSELEC</t>
  </si>
  <si>
    <t>DEPOT BARGNY</t>
  </si>
  <si>
    <t>DEPOT COSELEC</t>
  </si>
  <si>
    <t>Qté</t>
  </si>
  <si>
    <t>Valeur en Fcfa</t>
  </si>
  <si>
    <t>Qté dispo</t>
  </si>
  <si>
    <t>PRO</t>
  </si>
  <si>
    <t>BRT1</t>
  </si>
  <si>
    <t>AEE</t>
  </si>
  <si>
    <t>SICAP</t>
  </si>
  <si>
    <t>AO86</t>
  </si>
  <si>
    <t>GAUFF</t>
  </si>
  <si>
    <t>AO 06</t>
  </si>
  <si>
    <t>AO O7</t>
  </si>
  <si>
    <t>AO62</t>
  </si>
  <si>
    <t>AO24</t>
  </si>
  <si>
    <t>PASE</t>
  </si>
  <si>
    <t>HID</t>
  </si>
  <si>
    <t>AUTRES</t>
  </si>
  <si>
    <t>AO 86</t>
  </si>
  <si>
    <t>AO 07</t>
  </si>
  <si>
    <t>AFFICHE ALLU CONSIGNES GNRLE AM18</t>
  </si>
  <si>
    <t>u</t>
  </si>
  <si>
    <t>AFFICHE ALLU DEF D'OUVRIR AM-140</t>
  </si>
  <si>
    <t>AFFICHE ALLU HOMME FOUDROYE AM41/1</t>
  </si>
  <si>
    <t>AFFICHE ALLU POSTE TRANSFORMATION AM61</t>
  </si>
  <si>
    <t>AFFICHE ALLU SOINS AU ELECT AM20 E</t>
  </si>
  <si>
    <t>AFFICHE ALLU TERRE MASSES AM 346</t>
  </si>
  <si>
    <t>AFFICHE ALU SOINS AUX ELECT AM20E</t>
  </si>
  <si>
    <t>AFFICHE HOMME FOUDROYE AM41/1</t>
  </si>
  <si>
    <t>AFFICHE ALLU TERRE DE NEUTRE AM 345</t>
  </si>
  <si>
    <t>AMPEREMETRE DE 10 220 - 5A</t>
  </si>
  <si>
    <t>AMPEREMETRE DE 0 -120 Réf: M10220</t>
  </si>
  <si>
    <t>AMPOULE MAF INDIRECTE 70W E27</t>
  </si>
  <si>
    <t>AMPOULE MAF MBF 125W</t>
  </si>
  <si>
    <t>AMPOULE OSRHM 125-W-E27</t>
  </si>
  <si>
    <t>AMPOULE MBF INDIRECTE 120W E27</t>
  </si>
  <si>
    <t>AMPOULE MMF DIRECTE 70W E27</t>
  </si>
  <si>
    <t>AMPOULE STD 100W B22 230V</t>
  </si>
  <si>
    <t>AMPOULE STD INGELEC 15W</t>
  </si>
  <si>
    <t>AMPOULE MASTER SON 400W E40</t>
  </si>
  <si>
    <t>ADHESIVE BLACK 10,3 M-1 structural sealant single tube</t>
  </si>
  <si>
    <t>AVERTISSEUR INDUSTRIEL Réf:41521</t>
  </si>
  <si>
    <t>AUTOCOLLANT 32065</t>
  </si>
  <si>
    <t>ARMEMENT TRIANGLE</t>
  </si>
  <si>
    <t>AIR TERM AL 1/2 X 24 SAFETY TIPPED</t>
  </si>
  <si>
    <t>BALL SOCKET DE 16</t>
  </si>
  <si>
    <t>BA AUTOMATISM 380/415V 50/60H2 REF 29377</t>
  </si>
  <si>
    <t>BALLAST 70W A VAPEUR DE SODUIM 200V 50 HZ</t>
  </si>
  <si>
    <t>BALLADEUSE Réf: 08965</t>
  </si>
  <si>
    <t>BARRE CUIVRE (TOUCHE BOEUF) 10 X 32 X 1</t>
  </si>
  <si>
    <t>BARRE CUIVRE (TOUCHE BOEUF) 2 X 20 X 1</t>
  </si>
  <si>
    <t>BARRE CUIVRE (TOUCHE BOEUF) 4 X 32 X 1</t>
  </si>
  <si>
    <t>BARRE CUIVRE PERFOREE 80 X 10 REF 04528</t>
  </si>
  <si>
    <t>BARRE CUIVRE PLEINE CUIVRE 40 X 5 x 4000</t>
  </si>
  <si>
    <t xml:space="preserve">BARRE CUIVRE PLEINE CUIVRE 50 X 10 X 1000 REF 04545  </t>
  </si>
  <si>
    <t>BARRE CUIVRE PLEINE CUIVRE 50 X 5 X 4000</t>
  </si>
  <si>
    <t>BARRETTE DE DOMINO DE 10 Réf: 34215</t>
  </si>
  <si>
    <t>BARRETTE DE DOMINO DE 16 Réf: 34217</t>
  </si>
  <si>
    <t>BARRETTE DE DOMINO DE 6 Réf: 34213</t>
  </si>
  <si>
    <t>BLOC AUT. DE SEC. A INCANDESCENCE STD 45LUM 1H REF 62525</t>
  </si>
  <si>
    <t>ATTACHE SPIRALE LIGATURE 54.6 OAAO93-099A</t>
  </si>
  <si>
    <t>BATTERIE ONDULEUR 12V 150</t>
  </si>
  <si>
    <t>BATTERIE ONDULEUR 12V 2000</t>
  </si>
  <si>
    <t>BLOC DE CONTACTS AUXI Réf : LA1DN31</t>
  </si>
  <si>
    <t>BLOC DE CONTACTS AUXI Réf/ LA1BN11</t>
  </si>
  <si>
    <t>BLOC DE CONTACTS Réf: ZB2BE102</t>
  </si>
  <si>
    <t>BLOC DIFFERENTIEL 30 mA C60 4P 25A REF 26531</t>
  </si>
  <si>
    <t>BLOC DIFFERENTIEL 300mA 4P Réf : 26533</t>
  </si>
  <si>
    <t>BLOC DIFFERENTIEL 30mA 2P 25A Réf:26509</t>
  </si>
  <si>
    <t>BLOC DIF+A400FERENTIEL 30mA 4P 25A Réf 26531</t>
  </si>
  <si>
    <t>BLOC DIFFERENTIEL 30mA 125A 500V REF 19051</t>
  </si>
  <si>
    <t>BLOC DIFFERENTIEL 4P 125A  Réf LC1 D80004M7</t>
  </si>
  <si>
    <t>BLOC DIFFERENTIEL 4P 65A Réf LC1 D65004M5</t>
  </si>
  <si>
    <t>BLOC DIFFERENTIEL 63A Ref 19004BA</t>
  </si>
  <si>
    <t>BLOC DIFFERENTIEL Réf NG125 4P Réf: 63A REF 19004</t>
  </si>
  <si>
    <t>BOITE DERIVATION 100X100</t>
  </si>
  <si>
    <t>BOITE DE DERIVATION 180 X 140</t>
  </si>
  <si>
    <t>BOITE DE DERIVATION 360 X 270 Réf:92094</t>
  </si>
  <si>
    <t>BOITE DE DERIVATION PLEXO 160 X 220</t>
  </si>
  <si>
    <t>BLOC DE DEDOUBLEMENT</t>
  </si>
  <si>
    <t>BOITE EXTREMITE A FROID 240-70</t>
  </si>
  <si>
    <t xml:space="preserve">BOITE DEXTREMITE THERMORETRACTABLE </t>
  </si>
  <si>
    <t>BOITE DE JONCTION NEXANS13UP°RFRSM36°95</t>
  </si>
  <si>
    <t>BOITE DE JONCTION BT 92-A3F</t>
  </si>
  <si>
    <t>BORNIER VIKING DE 2,5MM² Réf: 371-60</t>
  </si>
  <si>
    <t>BORNIER VIKING 04mm² 371 61 LEGRAND</t>
  </si>
  <si>
    <t>BORNIER VIKING 06mm² 371 62  LEGRAND</t>
  </si>
  <si>
    <t>BORNIER VIKING 10mm² 371 63 LEGRAND</t>
  </si>
  <si>
    <t>BORNIER VIKING 16mm² 371 64  LEGRAND</t>
  </si>
  <si>
    <t>BORNIER VIKING DE 35 MM² 371 65 LEGRAND</t>
  </si>
  <si>
    <t>BORNIER DE 50 MM² VIKING LEGRAND</t>
  </si>
  <si>
    <t>BORNIER VIKING V/J DE 2,5 mm² Réf : 39370 LEGRAND</t>
  </si>
  <si>
    <t>BORNIER VIKING V/J DE 10mm² Réf :371 73 LEGRAND</t>
  </si>
  <si>
    <t>BORNIER VIKING V/J DE 4mm² Réf : 39371 LEGRAND</t>
  </si>
  <si>
    <t>BORNIER LEGRAND 6mm² V/J</t>
  </si>
  <si>
    <t>BOUTON MARCHE GHG411810OR0011</t>
  </si>
  <si>
    <t>BOULON GALVANISE A CHAUD BH 10 X 40</t>
  </si>
  <si>
    <t>BOULON GALVANISE A CHAUD BH 10 X 50</t>
  </si>
  <si>
    <t>BOULON GALVA A CHAUD BH 14X400</t>
  </si>
  <si>
    <t>BARETTE DE TERRE 351X51X6,4mm</t>
  </si>
  <si>
    <t>BOULON GALVA A CHAUD BH 14X250</t>
  </si>
  <si>
    <t>BOULON GALVA A CHAUD BH 12X70</t>
  </si>
  <si>
    <t>BOULON GALVANISE A CHAUD BH 14 X 350</t>
  </si>
  <si>
    <t>BOULON GALVANISE A CHAUD BH 14 X 300</t>
  </si>
  <si>
    <t>BOULON GALVANISE A CHAUD BH 14 X 30</t>
  </si>
  <si>
    <t>BOULON GALVANISE A CHAUD BH 24 X 300</t>
  </si>
  <si>
    <t>BOULON GALVANISE A CHAUD BH 16 X 500</t>
  </si>
  <si>
    <t>BOULON GALVANISE A CHAUD BH 12 X 40</t>
  </si>
  <si>
    <t>BOUTON POUSSOIR Réf: SB4BA42</t>
  </si>
  <si>
    <t>BUSES PVC DE 150</t>
  </si>
  <si>
    <t>BRAS HORIZONTAL BP 70 - 68</t>
  </si>
  <si>
    <t>BUTEE BORNIER P68 REF 37511</t>
  </si>
  <si>
    <t>BUTEE D'ARRET 35/2</t>
  </si>
  <si>
    <t>BALL SOCKET BS 1601</t>
  </si>
  <si>
    <t>BALL SOCKET BS 18 MAX</t>
  </si>
  <si>
    <t>CABLE MT S23 HN33S23 3 X 240</t>
  </si>
  <si>
    <t>km</t>
  </si>
  <si>
    <t>BRAS DE TETE BT 70-150</t>
  </si>
  <si>
    <t>CABLE MT S23 HN33S26 3 X 300mm2</t>
  </si>
  <si>
    <t>CABLE HN 33 S33 3X1X150mm2</t>
  </si>
  <si>
    <t>CABLE ALU 18/30 KV 3 X 150</t>
  </si>
  <si>
    <t>CABLE ALU ALMELEC 54.6mm²</t>
  </si>
  <si>
    <t>CABLE ARVFV 4X25mm2</t>
  </si>
  <si>
    <t>CABLE ALU PREAS 4X16</t>
  </si>
  <si>
    <t>CABLE ALMELEC 75,5</t>
  </si>
  <si>
    <t>m</t>
  </si>
  <si>
    <t>CABLE ALMELEC 148mm2</t>
  </si>
  <si>
    <t>CABLE ALU ARVFV 3 X 150+70</t>
  </si>
  <si>
    <t>CABLE ALU HN33S33 3 X 95+50mm²</t>
  </si>
  <si>
    <t>CABLE ALU MT 18/30 KV 1 X 50</t>
  </si>
  <si>
    <t>CABLE ALU PREAS 3 X 35+54.6+16mm²</t>
  </si>
  <si>
    <t>CABLE ARVFV 3X95+50mm2</t>
  </si>
  <si>
    <t>CABLE ARVFV 3X150+70mm2</t>
  </si>
  <si>
    <t>CABLE ALU PREAS 3 X 70+54.6+25mm²</t>
  </si>
  <si>
    <t>CABLE ARVFV 1X185</t>
  </si>
  <si>
    <t>CABLE ARVFV 3 X 240 + 90mm2</t>
  </si>
  <si>
    <t>CABLE CUIVRE  U1000 RO2V 1 X 300mm²</t>
  </si>
  <si>
    <t>CABLE CUIVRE NU 38mm²</t>
  </si>
  <si>
    <t>CABLE CUIVRE TELEPHONIQUE 6/10 3P</t>
  </si>
  <si>
    <t>CABLE CUIVRE TELEPHONIQUE 6/10 4P</t>
  </si>
  <si>
    <t>CABLE CUIVRE TELEPHONIQUE 6/10 5P</t>
  </si>
  <si>
    <t>CABLE CUIVRE TELEPHONIQUE 9/10 10P</t>
  </si>
  <si>
    <t>CABLE CUIVRE U1000 RO2V 3 X 70+35</t>
  </si>
  <si>
    <t>CABLE CUIVRE U1000 RO2V 3 X 95+50</t>
  </si>
  <si>
    <t>CABLE CUIVRE U1000 RO2V 4G16mm²</t>
  </si>
  <si>
    <t>CABLE CUIVRE U1000 RO2V 4X50mm²</t>
  </si>
  <si>
    <t>CABLE CUIVRE U1000 RO2V 4X6mm²</t>
  </si>
  <si>
    <t>CABLE CUIVRE U1000 RO2V 4X4mm²</t>
  </si>
  <si>
    <t>CABLE CUIVRE U1000   RO2V 5X4 mm²</t>
  </si>
  <si>
    <t>CABLE CUIVRE U1000 RO2V 3X1,5</t>
  </si>
  <si>
    <t>CABLE CUIVRE U1000  RO2V 3 X2,5</t>
  </si>
  <si>
    <t>CABLE CUIVRE U1000 RO2V 5X10mm²</t>
  </si>
  <si>
    <t>CABLE CUIVRE U1000 RO2V 5x6mm²</t>
  </si>
  <si>
    <t>CABLE CUIVRE U1000 RO2V 7X2.5mm²</t>
  </si>
  <si>
    <t>CABLE CUIVRE U1000 RVFV 12 X 2.5</t>
  </si>
  <si>
    <t>CABLE CUIVRE U1000 RO2V 3X2,5mm²</t>
  </si>
  <si>
    <t>CABLE CUIVRE V/J DE 35 RIGIDE</t>
  </si>
  <si>
    <t>CABLE RO2V 3X2,5mm²</t>
  </si>
  <si>
    <t>CABLE CUIVRE U1000 RVFV 3X95+50mm</t>
  </si>
  <si>
    <t>CABLE CUIVRE U1000 RVFV 3X95+50mm²</t>
  </si>
  <si>
    <t>CABLE CUIVRE U1000 RVFV 4X1.5mm²</t>
  </si>
  <si>
    <t>CABLE CUIVRE U1000 RVFV 4X6mm²</t>
  </si>
  <si>
    <t>CABLE CUIVRE U1000 RVFV 5X6mm²</t>
  </si>
  <si>
    <t>CABLE CUIVRE VGV 2 X 1.5mm²</t>
  </si>
  <si>
    <t>CABLE CUIVRE VGV 3 X 1.5mm²</t>
  </si>
  <si>
    <t>CABLE CUIVRE VGV 3 X 2.5 mm²</t>
  </si>
  <si>
    <t>CABLE CUIVRE VK V/J 16 mm² SOUPLE</t>
  </si>
  <si>
    <t>CABLE CUIVRE VK V/J 25 mm² SOUPLE</t>
  </si>
  <si>
    <t>CAPUCHON D'EXTREMITE RETRACTABLE CRR16-70</t>
  </si>
  <si>
    <t>CARTOUCHE FUSIBLE 8X31 20A</t>
  </si>
  <si>
    <t>CARTOUCHE FUSIBLE 8X31 4A</t>
  </si>
  <si>
    <t>CARTOUCHE FUSIBLE 10 X 38 500V 4A</t>
  </si>
  <si>
    <t>CARTOUCHE FUSIBLE 10 X 38 gG 2A</t>
  </si>
  <si>
    <t>CARTOUCHE FUSIBLE 22 X 58 gG 32A</t>
  </si>
  <si>
    <t>CARTOUCH FUSIBLE 22X58 AD40</t>
  </si>
  <si>
    <t>CARTOUCHE FUSIBLE 22 X 58 gL 63A</t>
  </si>
  <si>
    <t>CABLE ARVFV 3X240+115mm2</t>
  </si>
  <si>
    <t>CABLE CUIVRE NU 35mm²</t>
  </si>
  <si>
    <t>CABLE VERT/JAUNE DE 35</t>
  </si>
  <si>
    <t>CABLE ARFV 5X70</t>
  </si>
  <si>
    <t xml:space="preserve">CABLE RVFV 3X2,5 </t>
  </si>
  <si>
    <t>CABLE INFORMATIQUE 2 PAIRES REF:5485</t>
  </si>
  <si>
    <t>CABLE SMOOTHXEAVE CU 29X17 GAUGE</t>
  </si>
  <si>
    <t>CANDELABRE DE 7m</t>
  </si>
  <si>
    <t>CANDELABRE DE 3m</t>
  </si>
  <si>
    <t>CAPUCHON D'EXTREMITE RERACTABLE CRR 16-70</t>
  </si>
  <si>
    <t>CARTOUCHE FUSIBLE HPC 36 KV 25A DIAM 45</t>
  </si>
  <si>
    <t>CARTOUCHE FUSIBLE HPC 36 KV 25A DIAM 55</t>
  </si>
  <si>
    <t>CARTOUCHE FUSIBLE HPC 36KV 31.5A DIAM 45</t>
  </si>
  <si>
    <t>CARTOUCHE FUSIBLE HPC 36KV 32A DIAM 55</t>
  </si>
  <si>
    <t>CARTOUCHE FUSIBLE HPC 36KV 16 A DIAM55</t>
  </si>
  <si>
    <t>CARTOUCHE FUSIBLE HPC 36KV 32 A DIAM 55</t>
  </si>
  <si>
    <t>CARTOUCHE FUSIBLE HPC 36KV 20A</t>
  </si>
  <si>
    <t>CELLULE INTERRUPTEUR TYPE GIS ORMAZABAL</t>
  </si>
  <si>
    <t>CELLULE PROTECTION TRANSFO TYPE GIS ORMAZABAL</t>
  </si>
  <si>
    <t>CHARNIERE PINET REF 8572209 GM</t>
  </si>
  <si>
    <t>CHARNIERE PINET REF PM</t>
  </si>
  <si>
    <t>CHEMIN DE CABLE GALVANISE DE 50X70</t>
  </si>
  <si>
    <t>CHEMIN DE CABLE GALVANISE DE100</t>
  </si>
  <si>
    <t>CHEMIN DE CABLE GALVANISE DE200</t>
  </si>
  <si>
    <t>CHEMIN DE CABLE GALVANISE DE300X70</t>
  </si>
  <si>
    <t>CADDY REF 170030 4H58P7</t>
  </si>
  <si>
    <t>CADDY REF 178530 4H58CTP21</t>
  </si>
  <si>
    <t>ECLISSE SCHNEIDER REF 4565205</t>
  </si>
  <si>
    <t>VISSE CHEMIN DE CABLE DE 10 (ECLISSE)</t>
  </si>
  <si>
    <t>CHEVILLE BEIGE REF .9910</t>
  </si>
  <si>
    <t>CHEVILLE ORANGE PLASIQUE 14</t>
  </si>
  <si>
    <t>CHEVILLE PLASTIQUE 10 REF 9910</t>
  </si>
  <si>
    <t>CHEVILLE PLASTIQUE 6 REF 9906</t>
  </si>
  <si>
    <t>CHEVILLE PLASTIQUE 7 REF/9907</t>
  </si>
  <si>
    <t>CHEVILLE PLASTIQUE 8 REF.9908</t>
  </si>
  <si>
    <t>CHEVILLE VERT PLASTIQUE  6</t>
  </si>
  <si>
    <t>CLOISON TERMINAL 10-16 Réf.39452</t>
  </si>
  <si>
    <t>CLOISON TERMINAL 6-10 Réf 39 388</t>
  </si>
  <si>
    <t>CLOISON TERMINAL Réf.394 51</t>
  </si>
  <si>
    <t>CLOISON TERMINAL2.5-4 Réf 39 450</t>
  </si>
  <si>
    <t>CLOISON TERMINAL 39596</t>
  </si>
  <si>
    <t>CLOISON TERMINAL 375  50</t>
  </si>
  <si>
    <t>CACHE BORNIER 394  51</t>
  </si>
  <si>
    <t>COFFRET TELECOMMANDE REF D3901</t>
  </si>
  <si>
    <t>COFFRET Réf:38071</t>
  </si>
  <si>
    <t>COFRET ET PREFABRIQUE 1894 40A REF.7811</t>
  </si>
  <si>
    <t>COFFRET A GANT ISOLANT CG-35/1 CATU</t>
  </si>
  <si>
    <t>CARTOUCHE FUSIBLE HPC 30 KV 10A</t>
  </si>
  <si>
    <t>CARTOUCHE FUSIBLE HPC 30 KV 6,3A</t>
  </si>
  <si>
    <t>COLLIER ATLAS DE 10 SANS VIS</t>
  </si>
  <si>
    <t>COLLIER ATLAS DE 12</t>
  </si>
  <si>
    <t>COLLIER ATLAS DE 20</t>
  </si>
  <si>
    <t>COLLIER COLSON 9 X 92</t>
  </si>
  <si>
    <t>COLLIER COLSON 9 X 62</t>
  </si>
  <si>
    <t>COLLIER COLSON DE 115 X 7.5</t>
  </si>
  <si>
    <t>COLLIER INCOLORE 140x3,6</t>
  </si>
  <si>
    <t>COLLIER COLSON DE 200 X 7.5</t>
  </si>
  <si>
    <t>COLLIER COLSON DE 42</t>
  </si>
  <si>
    <t>COLLIER INCOLORE 2.4 X 95</t>
  </si>
  <si>
    <t>CARD CLOTH CABLE CLEANING BRUSH</t>
  </si>
  <si>
    <t>COMMUTATEUR 3 POSITIONS Réf XB4 DB33</t>
  </si>
  <si>
    <t>CADWELD Ref: 165703</t>
  </si>
  <si>
    <t>CADWELD Ref: 165704</t>
  </si>
  <si>
    <t>CADWELD Ref: 165705</t>
  </si>
  <si>
    <t>CADWELD Ref: 165707</t>
  </si>
  <si>
    <t>CADWELD PLUS GROUNDING WELDING TYPE F-20</t>
  </si>
  <si>
    <t>CONSOLE DE SUSPENSION CS14</t>
  </si>
  <si>
    <t>COFFRET EP</t>
  </si>
  <si>
    <t>COMMITATEUR Réf: K1C003QCH</t>
  </si>
  <si>
    <t>COMMITATEUR Réf: XB4-BD33</t>
  </si>
  <si>
    <t>CONSOLE ANCRAGE CS10</t>
  </si>
  <si>
    <t>COFFRET DE SECURITE REF 38027</t>
  </si>
  <si>
    <t>CHAPES POUR FEUILLARD</t>
  </si>
  <si>
    <t>COFFRET S20 SOCLE SIMPLE</t>
  </si>
  <si>
    <t>COLLIER COLRING</t>
  </si>
  <si>
    <t>CONSOLE D'ANCRAGE CS10</t>
  </si>
  <si>
    <t>CONNECTEUR CDR-CT70</t>
  </si>
  <si>
    <t>CONNECTEUR CT 25</t>
  </si>
  <si>
    <t>CONNECTEUR TTDR82</t>
  </si>
  <si>
    <t>CONNECTEUR TTD 201F 35-95/25-95</t>
  </si>
  <si>
    <t>CONNECTEUR TTD 151 16-95/25-95</t>
  </si>
  <si>
    <t>CONNECTEUR TTD 051 35-95/1,3-10</t>
  </si>
  <si>
    <t xml:space="preserve">CONNECTEUR CT 95 </t>
  </si>
  <si>
    <t>CONNECTEUR SEPARABLE EN T PME 250A 24KV</t>
  </si>
  <si>
    <t>CONNECTEUR SEPARABLE EN T PME 400A 36KV</t>
  </si>
  <si>
    <t>CONSOLES POUR LANTERNE</t>
  </si>
  <si>
    <t>CONTACTEUR REF LC1D65004</t>
  </si>
  <si>
    <t>CONTACTEUR REF LCD 80</t>
  </si>
  <si>
    <t>CONTACTEUR LC1 1040A</t>
  </si>
  <si>
    <t xml:space="preserve">CONTACTEUR REF LC1D80004 </t>
  </si>
  <si>
    <t>CONTACTEUR DISJONCTEUR + INTEGRAL 32 LD1 LC030 + LB1 LC03M22</t>
  </si>
  <si>
    <t xml:space="preserve">CONTACTEUR DISJONCTEUR + INTEGRAL 18 LC1 LB030 + LB1 LB03P13 </t>
  </si>
  <si>
    <t>CONTACTEUR DISJONCTEUR + INTEGRAL 18 LC1 LB030 + LB1 LB03P17</t>
  </si>
  <si>
    <t>CONTACTEUR DISJONCTEUR + INTEGRAL 18 LC1 LB030 + LB1 LB03P08</t>
  </si>
  <si>
    <t>CONTACTEUR DISJ+ INTEGRAL 18 INVERSEUR 3P LC1 LB030 + LB1 LB03P06</t>
  </si>
  <si>
    <t>CONTACTEUR DISJ+INTEGRALLD4LC130</t>
  </si>
  <si>
    <t>CONTACTEUR DISJ+ INTEGRAL 18 INVERSEUR 3P LC1 LB130 + LB1 LB03P13</t>
  </si>
  <si>
    <t>CORNIERE FIXATION EH61</t>
  </si>
  <si>
    <t>COSSE ALU 148 CN2AA</t>
  </si>
  <si>
    <t>COSSE ALU C4A 50</t>
  </si>
  <si>
    <t>COSSE DE 35 AU</t>
  </si>
  <si>
    <t>CONNECTEUR SEPARABLE 95X240/25mm2</t>
  </si>
  <si>
    <t>CONNECTEUR SEPARABLE CW5 400A 36KV 35-95</t>
  </si>
  <si>
    <t>CONNECTEUR SEPARABLE CTS 630A 36KV 240-40</t>
  </si>
  <si>
    <t>COOPER BIMETAL THRU ROOF CONNECTOR ONLY</t>
  </si>
  <si>
    <t>COOPER BONDED GROUND ROD 10MIL</t>
  </si>
  <si>
    <t>COSSE BIMETALE 1/48 CN2 AU 240</t>
  </si>
  <si>
    <t xml:space="preserve">COSSE DE 50 ALU </t>
  </si>
  <si>
    <t>COUPE CIRCUIT C23</t>
  </si>
  <si>
    <t>COUPE CIRCUIT REF 15718 22X58</t>
  </si>
  <si>
    <t>COUPE CIRCUIT 2P 16 A REF 15646</t>
  </si>
  <si>
    <t>COUPE CIRCUIT 3P+N 10X38 REF 15658</t>
  </si>
  <si>
    <t>COUPE CIRCUIT REF 454125</t>
  </si>
  <si>
    <t>COSSE ALU/CU C0 AU 16</t>
  </si>
  <si>
    <t>COSSE ALU/CU C1 AU 50</t>
  </si>
  <si>
    <t>COSSE ALU/CU C1 AU 70</t>
  </si>
  <si>
    <t>COSSE ALU/CU C2 AU 150</t>
  </si>
  <si>
    <t>COSSE ALU/CU C4 AU 240</t>
  </si>
  <si>
    <t>COSSE ALU/CU DE 95</t>
  </si>
  <si>
    <t>COSSE ALU/CU C5 AU 50</t>
  </si>
  <si>
    <t>COSSE DE 300 ALU/CU</t>
  </si>
  <si>
    <t>COSSE ALU/CU CN AU 54/60</t>
  </si>
  <si>
    <t>COSSE ALU/CU CN 2AU 34/38</t>
  </si>
  <si>
    <t>COSSE ALU/CU DE 35 COAU</t>
  </si>
  <si>
    <t>COSSE A BRIDE DE 70-50</t>
  </si>
  <si>
    <t>COSSE CUIVRE  XCX 50</t>
  </si>
  <si>
    <t>COSSE CUIVRE 10 x 5  XCT</t>
  </si>
  <si>
    <t>COSSE CUIVRE 16 X 6 X CT</t>
  </si>
  <si>
    <t>COSSE CUIVRE 185-14</t>
  </si>
  <si>
    <t>COSSE CUIVRE 25 X 8 X CT</t>
  </si>
  <si>
    <t>COSSE CUIVRE 35 - 8</t>
  </si>
  <si>
    <t>COSSE CUIVRE 50mm² XCT</t>
  </si>
  <si>
    <t>COSSE CUIVRE CU 50 REF.50HUR 12</t>
  </si>
  <si>
    <t>COSSE CUIVRE DE 150 X 12 XCT</t>
  </si>
  <si>
    <t>COSSE CUIVRE DE 240-16 XCT</t>
  </si>
  <si>
    <t>COSSE CUIVRE 400-10</t>
  </si>
  <si>
    <t>COSSE CUIVRE DE 25/8 XCT</t>
  </si>
  <si>
    <t>COSSE CUIVRE DE 300 X 14 XCT</t>
  </si>
  <si>
    <t>COSSE CUIVRE DE35/8 XCT</t>
  </si>
  <si>
    <t>COSSE DEPORTEE A PLGE RONDE DROITE CD 25A 12 25 à 120</t>
  </si>
  <si>
    <t>COSSE CUIVRE 95-10</t>
  </si>
  <si>
    <t>COSSE PREISOLE PGC 1,5 - 5</t>
  </si>
  <si>
    <t>COSSE ŒILLET FEMELLE 1,5 - 6,3X0,8</t>
  </si>
  <si>
    <t>COSSE ŒILLET FEMELLE 2,5 - 6,3X0,8</t>
  </si>
  <si>
    <t>COSSE FOURCHE 2,5 - 5</t>
  </si>
  <si>
    <t>COSSE PREISOLE PGC 2,5 - 8</t>
  </si>
  <si>
    <t>COSSE PREISOLE PGC 2,5 - 5</t>
  </si>
  <si>
    <t>COSSE PREISOLE PGC 6 - 8</t>
  </si>
  <si>
    <t>COSSE PREISOLE CPT AU35</t>
  </si>
  <si>
    <t>COSSE ŒILLET FEMELLE 6   6,3X0,8</t>
  </si>
  <si>
    <t>COSSE ŒILLET MALE 6 -   6,3X0,8</t>
  </si>
  <si>
    <t>COSSE FOURCHE 6 - 6</t>
  </si>
  <si>
    <t>COSSE CUIVRE DPD 7 - 50</t>
  </si>
  <si>
    <t>COSSE LAITON CD 25 - 120 A12</t>
  </si>
  <si>
    <t>COSSE PREISOLE CPT AV 16</t>
  </si>
  <si>
    <t>COSSE PREISOLEE ROUGE 0,5-1,5(620/5E)</t>
  </si>
  <si>
    <t>COSSE ŒILLET 720E (0,25-1,5-6,3x05)</t>
  </si>
  <si>
    <t>COSSE CUIVRE 300-10</t>
  </si>
  <si>
    <t>COSSE CUIVRE 240-10</t>
  </si>
  <si>
    <t>COSSE CUIVRE 185-10</t>
  </si>
  <si>
    <t>COSSE CUIVRE 120-10</t>
  </si>
  <si>
    <t>COSSE CUIVRE 100-10</t>
  </si>
  <si>
    <t>COSSE CUIVRE 70-10</t>
  </si>
  <si>
    <t>COSSE CUIVRE 50-10</t>
  </si>
  <si>
    <t>COSSE CUIVRE 35-10</t>
  </si>
  <si>
    <t>COSSE CUIVRE 16-10</t>
  </si>
  <si>
    <t>COSSE CUIVRE 10-10</t>
  </si>
  <si>
    <t>COSSE LAITON DB IBR1125</t>
  </si>
  <si>
    <t>CHEVILLE ORANGE PLASTIQUE 14</t>
  </si>
  <si>
    <t>CHEVILLE PLASTIQUE INGELEC</t>
  </si>
  <si>
    <t>CHEVILLE PLASTIQUE 6 PLOMBELEC</t>
  </si>
  <si>
    <t>CHEVILLE PLASTIQUE 7</t>
  </si>
  <si>
    <t>CHEVILLE PLASTIQUE 8 PLOMBELEC</t>
  </si>
  <si>
    <t>COSSE PREISOLE CPT AU 35</t>
  </si>
  <si>
    <t>COSSE PREISOLE CPT AU 50</t>
  </si>
  <si>
    <t>COSSE PREISOLE CPT AU 54</t>
  </si>
  <si>
    <t>COSSE PREISOLE CPT AU 70</t>
  </si>
  <si>
    <t>COSSE PREISOLE CPT AU 150</t>
  </si>
  <si>
    <t>COUPE CIRCUIT 2P 10A REF 05820</t>
  </si>
  <si>
    <t>COUPE CIRCUIT 2P 10A REF 15718</t>
  </si>
  <si>
    <t>COUPE CIRCUIT 3P + N 10X38 REF 15658</t>
  </si>
  <si>
    <t>COUPE CIRCUIT 4 X 60A REF 0224031</t>
  </si>
  <si>
    <t>COUPE CIRCUIT 22X58  3P+N REF 454 125</t>
  </si>
  <si>
    <t>CROSSES DE 1,5m</t>
  </si>
  <si>
    <t>ETRIERS BRIDES DE 16</t>
  </si>
  <si>
    <t>DISJONCTEUR DHP TYPE D265T 160 KVA REF CARDY</t>
  </si>
  <si>
    <t>DISJONCTEUR HAUT DE POTEAU DHP</t>
  </si>
  <si>
    <t>DETECTEUR DE DEFAUT</t>
  </si>
  <si>
    <t>DISTRIPOLE  B4 9m</t>
  </si>
  <si>
    <t>DISTRIPOLE B3  9m</t>
  </si>
  <si>
    <t>ETRIERS DE 16 X 70 120</t>
  </si>
  <si>
    <t>ETRIERS DE 18 X 70</t>
  </si>
  <si>
    <t>DOMINO DE 4</t>
  </si>
  <si>
    <t>DOMINO DE 6</t>
  </si>
  <si>
    <t>DOMINO DE 10</t>
  </si>
  <si>
    <t>DOMINO DE 16</t>
  </si>
  <si>
    <t>?????</t>
  </si>
  <si>
    <t>EJASE 240-95/54,6-70</t>
  </si>
  <si>
    <t>EJASE A50°70</t>
  </si>
  <si>
    <t>EJASE - 240-95/70-54,6</t>
  </si>
  <si>
    <t>EJASE 95-50/35 -54,6</t>
  </si>
  <si>
    <t>EJASE 95-70/54,6</t>
  </si>
  <si>
    <t>EMBASE CHEVILLE REF 07020</t>
  </si>
  <si>
    <t>EMBASE CHEVILLE DE 5</t>
  </si>
  <si>
    <t>EMBASE CHEVILLE REF.31955</t>
  </si>
  <si>
    <t>EMBASE CHEVILLE REF.9900</t>
  </si>
  <si>
    <t>EMBOUT 16 mm² REF.37672 LG</t>
  </si>
  <si>
    <t>EMBOUT 2.5 mm² REF.37666LG</t>
  </si>
  <si>
    <t>EMBOUT 6 mm² REF.37668 LG</t>
  </si>
  <si>
    <t>EMBOUT NOIRE 1.5mm²  376  64</t>
  </si>
  <si>
    <t>EMBOUT DE 4mm² REF 376 67</t>
  </si>
  <si>
    <t>EMBOUT  10mm² REF 376 69</t>
  </si>
  <si>
    <t>ETRIERS BRIDE 14 X 70</t>
  </si>
  <si>
    <t>EXTRACTEUR D'AIR Réf.07989</t>
  </si>
  <si>
    <t>ECROU PE 13 REF 98033</t>
  </si>
  <si>
    <t>ECROU PE 16 REF 98034</t>
  </si>
  <si>
    <t>ECROU PE 21 REF 98035</t>
  </si>
  <si>
    <t>ECROU PE 29 REF 98036</t>
  </si>
  <si>
    <t>ECROU PE 34</t>
  </si>
  <si>
    <t>ECROU PE 36 REF 98037</t>
  </si>
  <si>
    <t>EQUERRE EH61</t>
  </si>
  <si>
    <t>EJASE 240/70</t>
  </si>
  <si>
    <t>PINCE PA600</t>
  </si>
  <si>
    <t>FIL SOUPLE BLEU 2,5mm</t>
  </si>
  <si>
    <t>FLASHING BOOT DIAM 6-50mm</t>
  </si>
  <si>
    <t>FERRURE TETE FTX - Y</t>
  </si>
  <si>
    <t>ISOLATEUR COMPOSITE  3 JUPES</t>
  </si>
  <si>
    <t>INVERSEUR COMPACT NS 1600TH</t>
  </si>
  <si>
    <t>FUSIBLE GARDE</t>
  </si>
  <si>
    <t>OEILLET OR 16</t>
  </si>
  <si>
    <t>FUSIBLE A COUTEAUX 200A</t>
  </si>
  <si>
    <t>FUSIBLE A COUTEAUX 400A</t>
  </si>
  <si>
    <t>GANT ISOLANT CG4036KV</t>
  </si>
  <si>
    <t>GOULOTTE 40X40</t>
  </si>
  <si>
    <t>GOULOTTE DNG 49 X 37 REF TEH DNG 50037</t>
  </si>
  <si>
    <t>GOULOTTE 16/40</t>
  </si>
  <si>
    <t>GOULOTTE DNG 49 X 49 REF TEH DNG 50050</t>
  </si>
  <si>
    <t>GOULOTTE 4111130</t>
  </si>
  <si>
    <t>GOULOTTE TEH DNG 75100</t>
  </si>
  <si>
    <t>GRILLAGE AVERTISSEUR ROUGE 0.25</t>
  </si>
  <si>
    <t>GAINE DE PROTECTION GPTP 60</t>
  </si>
  <si>
    <t>GOULOTTE DE PROTECTION BT</t>
  </si>
  <si>
    <t>GRILLE FAUSSE COUPURE 240 mm²</t>
  </si>
  <si>
    <t>GRILLE REPICAGE 35 mm² Réf . 0224031</t>
  </si>
  <si>
    <t>GRILLE FAUSSE COUPURE DE 150mm2</t>
  </si>
  <si>
    <t>GRILLE FAUSSE COUPURE DE 95mm2</t>
  </si>
  <si>
    <t>GRILLE ETOILEMENT</t>
  </si>
  <si>
    <t>HERSE D'ANCRAGE CORNIERE DE 80 FC 1700</t>
  </si>
  <si>
    <t>HUBLOT ETANCHE ROND 100W  REF Résidence</t>
  </si>
  <si>
    <t>HERSE D'ANCRAGE SIMPLE</t>
  </si>
  <si>
    <t>INTERRUPTEUR AERIEN  36KV /400A(IACM)</t>
  </si>
  <si>
    <t>ISOLATEUR COMPOSITE BS16-CS40 A 8 JUPES</t>
  </si>
  <si>
    <t>ISOLATEUR COMPOSITE N5 BS16 A 73JUPES</t>
  </si>
  <si>
    <t>ISOLATEUR COMPOSITE BS.11.CS40A8 JUPES</t>
  </si>
  <si>
    <t>ISOLATEUR COMPOSITE BS11-CS40 A 8 JUPES</t>
  </si>
  <si>
    <t>LANTERNE AVEC VASQUE 70W E27</t>
  </si>
  <si>
    <t>LIMITATEUR DE SURTENSION REF 5011 VIGILONM CARDEW</t>
  </si>
  <si>
    <t>ISOLATEUR RIGIDE COMPOSITE VHT 37</t>
  </si>
  <si>
    <t>MANCHON D'ANCRAGE MA 148</t>
  </si>
  <si>
    <t>LIGATURES</t>
  </si>
  <si>
    <t>PINCE PA 54.6mm² - 5D93</t>
  </si>
  <si>
    <t>PINCE ANCRAGE PAL 54,6-3D76</t>
  </si>
  <si>
    <t>ISOLATEUR VHT  37</t>
  </si>
  <si>
    <t>PINCE PAL 54.6 - 3D76</t>
  </si>
  <si>
    <t>PRISE MOBILE EQUERRE PME 1X50/16mm 36KV</t>
  </si>
  <si>
    <t>PINCE PAM 1500</t>
  </si>
  <si>
    <t>DISJONCTEUR 3P+N 25A 300mA</t>
  </si>
  <si>
    <t>DISJONCTEUR NS 400</t>
  </si>
  <si>
    <t>DISJONCTEUR NS 630</t>
  </si>
  <si>
    <t>DISJONCTEUR  MASTERPACK 800A</t>
  </si>
  <si>
    <t>DISJONCTEUR  MASTERPACK 1000A</t>
  </si>
  <si>
    <t>DISJONCTEUR MASTERPACK 2000A</t>
  </si>
  <si>
    <t>DISJONCTEUR MASTERPACK 3200A</t>
  </si>
  <si>
    <t>DETECTEUR DE NIVEAU</t>
  </si>
  <si>
    <t>DIFFUSEUR SONORE REF 41508</t>
  </si>
  <si>
    <t>MANCHON CAB 3 DE REPERAGE ISOLANT 388 49</t>
  </si>
  <si>
    <t>MANCHON CAB 3 DE REPERAGE ISOLANT388 50</t>
  </si>
  <si>
    <t>MANCHON CAB 3 DE REPERAGE ISOLANT388 51</t>
  </si>
  <si>
    <t>MANCHON CAB 3 DE REPERAGE ISOLANT388 52</t>
  </si>
  <si>
    <t>MANCHON CAB 3 DE REPERAGE ISOLANT 388 54</t>
  </si>
  <si>
    <t>MANCHON CAB 3 DE REPERAGE ISOLANT 388 60</t>
  </si>
  <si>
    <t>MANCHON CAB 3 DE REPERAGE ISOLANT 388 61</t>
  </si>
  <si>
    <t>MANCHON CAB 3 DE REPERAGE ISOLANT 388 62</t>
  </si>
  <si>
    <t>MANCHON CAB 3 DE REPERAGE ISOLANT 388 63</t>
  </si>
  <si>
    <t>MANCHON CAB 3 DE REPERAGE ISOLANT 388 64</t>
  </si>
  <si>
    <t>MANCHON CAB 3 DE REPERAGE ISOLANT 388 66</t>
  </si>
  <si>
    <t>MANCHON CAB 3 DE REPERAGE ISOLANT 388 67</t>
  </si>
  <si>
    <t>MANCHON CAB 3 DE REPERAGE ISOLANT 388 68</t>
  </si>
  <si>
    <t>MANCHON CAB 3 DE REPERAGE ISOLANT 388 69</t>
  </si>
  <si>
    <t>MANCHON CAB 3 DE REPERAGE ISOLANT 388 70</t>
  </si>
  <si>
    <t>MANCHON CAB 3 DE REPERAGE ISOLANT 388 72</t>
  </si>
  <si>
    <t>FERRURE H61</t>
  </si>
  <si>
    <t>CORNIERE DE 70</t>
  </si>
  <si>
    <t>FER UPN DE 120X60X6000</t>
  </si>
  <si>
    <t>TUBE RONDE DE 35X6000</t>
  </si>
  <si>
    <t>FER PLAT DE 50</t>
  </si>
  <si>
    <t>FER U DE 40</t>
  </si>
  <si>
    <t>FER ROND 35X6000</t>
  </si>
  <si>
    <t>FIL RIGIDE TH 4mm² V/J</t>
  </si>
  <si>
    <t>FIL RIGIDE TH V/J 1,5mm²</t>
  </si>
  <si>
    <t>FIL RIGIDE TH ROUGE 1,5mm²</t>
  </si>
  <si>
    <t>FIL RIGIDE TH BLEU 1,5mm²</t>
  </si>
  <si>
    <t>FIL RIGIDE MARRON 6mm²</t>
  </si>
  <si>
    <t>FIL RIGIDE TH BLEU 4mm²</t>
  </si>
  <si>
    <t>FIL RIGIDE TH ROUGE 2.5mm²</t>
  </si>
  <si>
    <t>FIL RIGIDE TH ROUGE 4mm²</t>
  </si>
  <si>
    <t>FIL RIGIDE TH V/J 10mm²</t>
  </si>
  <si>
    <t>FIL VERT JAUNE 10mm²</t>
  </si>
  <si>
    <t>FIL RIGIDE TH V/J 2.5mm²</t>
  </si>
  <si>
    <t>FIL SOUPLE NOIR H07VK 10mm²</t>
  </si>
  <si>
    <t>FIL SOUPLE V/J 1.5 mm²</t>
  </si>
  <si>
    <t>TUBE ANNELE DE 32 GRIS (rouleau de 100)</t>
  </si>
  <si>
    <t>TUBE ANNELE DE 11 GRIS (rouleau de 100)</t>
  </si>
  <si>
    <t>GAINE ORANGE LISSE DE 11</t>
  </si>
  <si>
    <t>GAINE SPIRALE 19-9/25-80mm</t>
  </si>
  <si>
    <t>GAINE SPIRALE 9-9/10-40mm</t>
  </si>
  <si>
    <t>GAINE SPIRALE REF 19-9</t>
  </si>
  <si>
    <t>GAINE SPIRALE REF 9-9</t>
  </si>
  <si>
    <t>GAINE ORANGE LISSE DE 13</t>
  </si>
  <si>
    <t>GAINE REMONTEE DE PROTECTION BT (GPTP 30)</t>
  </si>
  <si>
    <t>GAINE REMONTEE DE PROTECTION GPTP 60</t>
  </si>
  <si>
    <t>GAINE REMONTEE DE PROTECTION MT (GPTP 90)</t>
  </si>
  <si>
    <t>HUBLOT ETANCHE ROND B22 OPALE</t>
  </si>
  <si>
    <t>INTERRUPTEUR COMPACT C1251 NI 600V 1250A Réf:</t>
  </si>
  <si>
    <t>DISJONTEUR MASTERPART NW20HA UI 1000VA UTH 2000A</t>
  </si>
  <si>
    <t>INTERRUPTEUR CREPUSCULAIRE REF 15268</t>
  </si>
  <si>
    <t>INTERRUPTEUR HORAIRE REF 03710</t>
  </si>
  <si>
    <t>INTERRUPTEUR HORAIRE REF 15365  (M-G)</t>
  </si>
  <si>
    <t>INTERRUPTEUR DIFF 4P 25A 300mA</t>
  </si>
  <si>
    <t>INTERRUPTEUR IMMEQUADRI 36KV /400A</t>
  </si>
  <si>
    <t>INTERRUPTEUR UNIPOLAIRE</t>
  </si>
  <si>
    <t>INTER IBERICA 36KV / 400A</t>
  </si>
  <si>
    <t>INTERRUPTEUR VA ET VIEN PLEXO REF 69711</t>
  </si>
  <si>
    <t>INTERRUPTEUR VA ET VIENT LE GRAND</t>
  </si>
  <si>
    <t>INTERRUPTEUR VA ET VIENT INGELEC</t>
  </si>
  <si>
    <t>ISOLATEUR BLANC70 cm 12 ERICO</t>
  </si>
  <si>
    <t>FOURREAU PROTECTION BT</t>
  </si>
  <si>
    <t>FUSIBLE HPC 16A 36KV</t>
  </si>
  <si>
    <t>FUSIBLE HPC 25A 36KV</t>
  </si>
  <si>
    <t>FUSIBLE HPC 20A 36KV</t>
  </si>
  <si>
    <t>FUSIBLE HPC 32A 36KV</t>
  </si>
  <si>
    <t>GRILLE DE REPIQUAGE</t>
  </si>
  <si>
    <t>IMPROVED DESIGN CADWELD</t>
  </si>
  <si>
    <t>ISOLATEUR LLF TYPE H8-170 36KV</t>
  </si>
  <si>
    <t>LANTERNE LED 30W</t>
  </si>
  <si>
    <t>LUMINAIRE REF 21731400</t>
  </si>
  <si>
    <t>LUMINAIRE REF 21725300</t>
  </si>
  <si>
    <t>LUMINAIRE REF 21718500</t>
  </si>
  <si>
    <t>MACHOIRE DIAMETRE 45</t>
  </si>
  <si>
    <t>MANCHON DE JONCTION ALU  4A 240</t>
  </si>
  <si>
    <t>MANCHON DE JONCTION ALU  RJ2AU-150-95</t>
  </si>
  <si>
    <t>MANCHON DE JONCTION ALU  RJ1AU-240-240</t>
  </si>
  <si>
    <t>MANCHON DE JONCTION ALU MJ N54</t>
  </si>
  <si>
    <t>MANCHON DE JONCTION ALU RJ 2A 150</t>
  </si>
  <si>
    <t>MANCHON DE JONCTION ALU RJ1AU-240-150</t>
  </si>
  <si>
    <t>MANCHON ALU DE 54-70</t>
  </si>
  <si>
    <t>MANCHON DE JONCTION ALU/CU 240-70</t>
  </si>
  <si>
    <t>MANCHON DE JONCTION ALU/CU 240-240</t>
  </si>
  <si>
    <t>MANCHON DE JONCTION ALU/CU 150-150</t>
  </si>
  <si>
    <t>MANCHON DE JONCTION ALU/CU 150-95</t>
  </si>
  <si>
    <t>MANCHON DE JONCTION ALU RJ2AU 150-150</t>
  </si>
  <si>
    <t>MANCHON DE JONCTION ALU RJ2AU -150-95</t>
  </si>
  <si>
    <t>MANCHON DE JONCTION MJ 150</t>
  </si>
  <si>
    <t>MANCHON DE JONCTION ALU XN 8S 70 50</t>
  </si>
  <si>
    <t>MANCHON DE JONCTION CUIVRE DE 25</t>
  </si>
  <si>
    <t>MANCHON DE JONCTION CUIVRE DE 50</t>
  </si>
  <si>
    <t>MANCHON DE JONCTION CUIVRE DE 70</t>
  </si>
  <si>
    <t>MANCHON DE JONCTION CUIVRE DE 95</t>
  </si>
  <si>
    <t>MANCHON DE JONCTION PREISOLE 6 JAUNE</t>
  </si>
  <si>
    <t>MANCHON DE JONCTION PREISOLE BLEU DE 2.5</t>
  </si>
  <si>
    <t>LANTERNE LED 50W</t>
  </si>
  <si>
    <t>MANCHON R9 2N50</t>
  </si>
  <si>
    <t>U</t>
  </si>
  <si>
    <t>MANCHONN DE JONCTION EJPT 35,54</t>
  </si>
  <si>
    <t>MANCHON DE JONCTION PREISOLE EJPT  70-35/54.6</t>
  </si>
  <si>
    <t>MANCHON DE JONCTION PREISOLE MJPT 16</t>
  </si>
  <si>
    <t>MANCHON DE JONCTION PREISOLE EJPT 35-25</t>
  </si>
  <si>
    <t>MANCHON DE JONCTION PREISOLE EJPT 35-16</t>
  </si>
  <si>
    <t>MANCHON DE JONCTION PREISOLE MJPT 54</t>
  </si>
  <si>
    <t>MANCHON DE JONCTION PREISOLE MJPT 70</t>
  </si>
  <si>
    <t>MANCHON DE JONCTION PREISOLE ROUGE DE 1.5</t>
  </si>
  <si>
    <t>MANCHON DE JONCTION CUIVRE MJPT DE 25</t>
  </si>
  <si>
    <t>MOULE TA-T HORIZONTALE TACY5Y2 (95-35)</t>
  </si>
  <si>
    <t>MOULE PG- HORIZONTALE PGCY5Y2 (35-35)</t>
  </si>
  <si>
    <t>MOULE RT-CABLE PARALLELE RTPY2 (35-20à40)</t>
  </si>
  <si>
    <t>NUT HEX 1/4-20 18-8SSTL</t>
  </si>
  <si>
    <t>MOLD CABLE TO GRD ROD VERT TEE HORZ THRU</t>
  </si>
  <si>
    <t>MOLD CABLE TO GRD ROD VERT X HORZ THRU CABLE</t>
  </si>
  <si>
    <t>MOLD GYR 188C</t>
  </si>
  <si>
    <t>MANCHON EJPT35-54.6</t>
  </si>
  <si>
    <t>MANCHON MT 148</t>
  </si>
  <si>
    <t>MAT-JARDIN 21725300</t>
  </si>
  <si>
    <t>MAT DE 3,5m</t>
  </si>
  <si>
    <t>NAPPE VOUTE 70 X 70 NV2  SIMPLE</t>
  </si>
  <si>
    <t>MICROBLOC DE 500/5 3 X 30V</t>
  </si>
  <si>
    <t>NAPPE VOUTE 70 X 70 NV5 COMPLET</t>
  </si>
  <si>
    <t>PARAFOUDRE A9L 166793 P+N 8KVA</t>
  </si>
  <si>
    <t>PARAFOUDRE MT 24KV</t>
  </si>
  <si>
    <t>OEILLET OR 11</t>
  </si>
  <si>
    <t>PARAFOUDRE MT 36KV -10KA (jeu de 3)</t>
  </si>
  <si>
    <t>PLAQUETTE DE SERRAGE PR 35</t>
  </si>
  <si>
    <t>PLAQUETTE_PR_55</t>
  </si>
  <si>
    <t>PLAQUETTE PTR</t>
  </si>
  <si>
    <t>PERCHE DE SAUVETAGE 45 KV AVEC SUPPORT M%URAL REF CS-45</t>
  </si>
  <si>
    <t>PIQUET DE TERRE GALVA 20/27</t>
  </si>
  <si>
    <t>PLINTHE BLANCHE 16/40 STD</t>
  </si>
  <si>
    <t>PORTE FUSIBLE MURAL CI 23</t>
  </si>
  <si>
    <t>PINCE SUSPENSION PS 54</t>
  </si>
  <si>
    <t>PINCE D'ANCRAGE PA1500</t>
  </si>
  <si>
    <t>PINCE DE SUSPENSION ES 54</t>
  </si>
  <si>
    <t>PIPE BOND CU 2-3-4 OD</t>
  </si>
  <si>
    <t>PIPE BOND CU 4-1-2 OD</t>
  </si>
  <si>
    <t>ENSEMBLE DE SUSPENSION ES 54</t>
  </si>
  <si>
    <t>PORTE REPERE Réf: 39596</t>
  </si>
  <si>
    <t>PORTE REPERE Réf: 38450</t>
  </si>
  <si>
    <t>PORTE REPERE Réf:39596</t>
  </si>
  <si>
    <t>POSTE PREFABRIQUE 3MD ENERGY</t>
  </si>
  <si>
    <t>POTEAU BETON AR 400 9m</t>
  </si>
  <si>
    <t>PORTE FUSIBLE SBI 2258</t>
  </si>
  <si>
    <t>POTEAU BETON AR 300 - 9m</t>
  </si>
  <si>
    <t>POTEAU BETON AR1600 - 12m</t>
  </si>
  <si>
    <t>POTEAU BETON AR650 9m</t>
  </si>
  <si>
    <t>POTEAU BETON12 B2000</t>
  </si>
  <si>
    <t>POTEAU BETON AR 150 - 9m SSBA</t>
  </si>
  <si>
    <t>POTEAU BOIS - 9m</t>
  </si>
  <si>
    <t>POTEAU BOIS -8m</t>
  </si>
  <si>
    <t>POTEAU BETON AR500-12m</t>
  </si>
  <si>
    <t>POTEAU BETON AR650 12m</t>
  </si>
  <si>
    <t>POTEAU BOIS -9m EIFFORSA</t>
  </si>
  <si>
    <t>POTEAU BOIS S140-12m</t>
  </si>
  <si>
    <t>POUTRELLE IPE 330-10m</t>
  </si>
  <si>
    <t>PIQUET DE TERRE CUIVRE</t>
  </si>
  <si>
    <t>PRESSE ETOUPE PLAST DE 13 Ref 98013</t>
  </si>
  <si>
    <t>PRESSE ETOUPE PLAST DE 11 Réf 98012</t>
  </si>
  <si>
    <t>PRESSE ETOUPE PLAST DE 16 Réf 98014</t>
  </si>
  <si>
    <t>PRESSE ETOUPE PLAST DE 29 Ref 98016</t>
  </si>
  <si>
    <t>PRESSE ETOUPE PLAST DE 36 Ref 98017</t>
  </si>
  <si>
    <t>PRISE 2P +T ETANCHE REF 91655</t>
  </si>
  <si>
    <t>PRISE ETANCHE 2P+T REF 69731</t>
  </si>
  <si>
    <t>PRISE ETANCHE 2P+T REF 91655</t>
  </si>
  <si>
    <t>PRISE NEPTUNE 2P+T  REF 78701</t>
  </si>
  <si>
    <t>PRISE 2P+T REF 88629 (Legrand)</t>
  </si>
  <si>
    <t>PRISE NEPTUNE 2P+T  REF 806  29</t>
  </si>
  <si>
    <t>PRISE PME 250A / 24KV 16-95 POUR TRANSFORMATEUR</t>
  </si>
  <si>
    <t>PRISE PME 400 POUR TRANFORMATEUR 240 AU</t>
  </si>
  <si>
    <t>PRISE CSE 400 - 36250</t>
  </si>
  <si>
    <t>PRISE EQUERRE 400V -  REF 62719 E NEXANS</t>
  </si>
  <si>
    <t>PRISE EQUERRE CSE 400V Ref 95409 E NEXANS</t>
  </si>
  <si>
    <t>PRISE EQUERRE CSE 400V 254 Ref 36250</t>
  </si>
  <si>
    <t>POTEAU BOIS 12m EIFFORSA</t>
  </si>
  <si>
    <t>POUDRE CADWELD PLUS TACY5Y2(95-35)</t>
  </si>
  <si>
    <t>POUDRE CADWELD PLUS PVGYY2(35-35)</t>
  </si>
  <si>
    <t>POUDRE CADWELD PLUS RTPY2(35-20à40)</t>
  </si>
  <si>
    <t>RACCORD A GRIFFE   6 à 50mm2</t>
  </si>
  <si>
    <t>RACCORD A GRIFFE DA 50</t>
  </si>
  <si>
    <t>RACCORD A GRIFFE RG 25-150</t>
  </si>
  <si>
    <t>RACCORD ALU 25 A 150mm²</t>
  </si>
  <si>
    <t>RACCORD ALUPGA 502GC</t>
  </si>
  <si>
    <t>RACCORD ALUPGA 102GC</t>
  </si>
  <si>
    <t>RACCORD DERIVATION DB 202</t>
  </si>
  <si>
    <t>RAIL DYNE</t>
  </si>
  <si>
    <t>RAIL OMEGA</t>
  </si>
  <si>
    <t>RAIL OMEGA ALU</t>
  </si>
  <si>
    <t>RAIL SOCOMMEC 35/35</t>
  </si>
  <si>
    <t>RAIL SOMMEC 30/15</t>
  </si>
  <si>
    <t>RALLONGE RL 40 300</t>
  </si>
  <si>
    <t>RALLONGE RL 70  X 300</t>
  </si>
  <si>
    <t>RELAIS TEMPORISE</t>
  </si>
  <si>
    <t>RELAIS EMBRO 24V Ref RXN41 G11 ED</t>
  </si>
  <si>
    <t>RELAIS EMBRO 24V Ref RXN41 G11B7 48V</t>
  </si>
  <si>
    <t>RELAIS EMBRO 24V Ref RXN41 G12P7 230V</t>
  </si>
  <si>
    <t>RALLONGE 50X300</t>
  </si>
  <si>
    <t>REGLETTE ETANCHE 136 CP</t>
  </si>
  <si>
    <t>REPARTITEUR MULTICLIP</t>
  </si>
  <si>
    <t>REGLETTE  1.58</t>
  </si>
  <si>
    <t>REGLETTE  TMW065</t>
  </si>
  <si>
    <t>RELAIS EMBRO 24V Réf: RXN41 G11 ED</t>
  </si>
  <si>
    <t>RELAIS EMBRO 24V Réf: RXN41 G11B7</t>
  </si>
  <si>
    <t>RELAIS EMBRO 24V Réf: RXN41 G12P7 230V</t>
  </si>
  <si>
    <t>RELAIS MINIATURE 230 AC</t>
  </si>
  <si>
    <t>RELAIS homopolaire (CAHORS)</t>
  </si>
  <si>
    <t>RELAIS Réf 48V RXN41 G11</t>
  </si>
  <si>
    <t>REPERE DUPLIX CHIFFRE"0" REF 38400</t>
  </si>
  <si>
    <t>REPERE DUPLIX CHIFFRE"1" REF 38401</t>
  </si>
  <si>
    <t>REPERE DUPLIX CHIFFRE "2" REF : 38402</t>
  </si>
  <si>
    <t>REPERE DUPLIX CHIFFRE "3" REF : 38403</t>
  </si>
  <si>
    <t>REPERE DUPLIX CHIFFRE"4" REF 38404</t>
  </si>
  <si>
    <t>BORNIER VIKING DE 10MM² Réf: 37173</t>
  </si>
  <si>
    <t>REPERE BORNIER REF 395  10</t>
  </si>
  <si>
    <t>REPERE BORNIER REF 395  20</t>
  </si>
  <si>
    <t>REPERE BORNIER REF 395  30</t>
  </si>
  <si>
    <t>REPERE DUPLIX CHIFFRE "5" REF : 38450</t>
  </si>
  <si>
    <t>REPERE DUPLIX CHIFFRE "6" REF : 38006</t>
  </si>
  <si>
    <t>REPERE DUPLIX CHIFFRE "7" REF : 38407</t>
  </si>
  <si>
    <t>REPERE DUPLIX CHIFFRE "8" REF : 38408</t>
  </si>
  <si>
    <t>REPERE DUPLIX CHIFFRE "9" REF : 38409</t>
  </si>
  <si>
    <t>REPERE DUPLIX CHIFFRE "A" REF : 38410</t>
  </si>
  <si>
    <t>REPERE DUPLIX CHIFFRE "B" REF : 38411</t>
  </si>
  <si>
    <t>REPERE DUPLIX CHIFFRE "C" REF : 38412</t>
  </si>
  <si>
    <t>REPERE DUPLIX "D"</t>
  </si>
  <si>
    <t>REPERE DUPLIX "E"</t>
  </si>
  <si>
    <t>REPERE DUPLIX CHIFFRE "F" ref : 38415</t>
  </si>
  <si>
    <t>REPERE DUPLIX "G"</t>
  </si>
  <si>
    <t>REPERE DUPLIX "H"</t>
  </si>
  <si>
    <t>REPERE DUPLIX "I"</t>
  </si>
  <si>
    <t>REPERE DUPLIX "J"</t>
  </si>
  <si>
    <t>REPERE DUPLIX "K"</t>
  </si>
  <si>
    <t>REPERE DUPLIX "L"</t>
  </si>
  <si>
    <t>REPERE DUPLIX "M"</t>
  </si>
  <si>
    <t>REPERE DUPLIX "N"</t>
  </si>
  <si>
    <t>REPERE DUPLIX "O"</t>
  </si>
  <si>
    <t xml:space="preserve">REPERE DUPLIX "P" </t>
  </si>
  <si>
    <t>REPERE DUPLIX "Q"</t>
  </si>
  <si>
    <t>REPERE DUPLIX "R"</t>
  </si>
  <si>
    <t>REPERE DUPLIX "S"</t>
  </si>
  <si>
    <t>REPERE DUPLIX "U"</t>
  </si>
  <si>
    <t>REPERE DUPLIX "T"</t>
  </si>
  <si>
    <t>REPERE DUPLIX "V"</t>
  </si>
  <si>
    <t>REPERE DUPLIX "W"</t>
  </si>
  <si>
    <t>REPERE DUPLIX "X"</t>
  </si>
  <si>
    <t>REPERE DUPLIX "Y"</t>
  </si>
  <si>
    <t>REPERE DUPLIXCHIFFRE "0" REF : 38400</t>
  </si>
  <si>
    <t>REPERE FIL CAB 31.5 CHIFFRE 0 Réf</t>
  </si>
  <si>
    <t>REPERE FIL CAB 31.5 CHIFFRE 2 Réf</t>
  </si>
  <si>
    <t>REPERE FIL CAB 31.5 CHIFFRE 4 Réf</t>
  </si>
  <si>
    <t>BORNIER VIKING DE 35 MM² 37165</t>
  </si>
  <si>
    <t>REPERE FIL CAB 31.5 CHIFFRE 6 Réf</t>
  </si>
  <si>
    <t>REPERE FIL CAB 31.5 CHIFFRE 7 Réf</t>
  </si>
  <si>
    <t>REPERE FIL CAB 31.5 CHIFFRE 8 Réf</t>
  </si>
  <si>
    <t>REPERE FIL DE A-Z . 2X5mm</t>
  </si>
  <si>
    <t>REPERE FIL DE W-X-Y</t>
  </si>
  <si>
    <t>REPERE DUPLIX LETTRE DE A . Z .</t>
  </si>
  <si>
    <t>RONDELLEZING PLAT DE 12 REF 38130</t>
  </si>
  <si>
    <t>RONDELLEZING PLAT DE 12 REF 37420</t>
  </si>
  <si>
    <t>RIDOIRE DE 70</t>
  </si>
  <si>
    <t>ROULEAU FEUILLARD INOX (50m)</t>
  </si>
  <si>
    <t>RUBAN CUIVRE ETAME 30/2</t>
  </si>
  <si>
    <t>SECTIONNEUR 36 KV 400A</t>
  </si>
  <si>
    <t>SUPPORT PARAFOUDRE</t>
  </si>
  <si>
    <t>SERRURE DENY FONTAINE  POUR POSTE</t>
  </si>
  <si>
    <t>SOCLE CARDEW 250V REF</t>
  </si>
  <si>
    <t>LIMITEUR DE SURTENSION REF 50 130 VIGILONM CARDEW</t>
  </si>
  <si>
    <t>SUPPORT H61</t>
  </si>
  <si>
    <t>SUPPORT TUBE DE COMMANDE POUR IACM</t>
  </si>
  <si>
    <t>SECONDARY BONDING LUG ALUM</t>
  </si>
  <si>
    <t>SPLICER CU PARALLELE 2 CONTACT</t>
  </si>
  <si>
    <t>SOFT SOLID ROUND ALUM 4 AWG</t>
  </si>
  <si>
    <t>SPLICER CU PARALLELE 1-1-2  CONTACT</t>
  </si>
  <si>
    <t>STEEL DRIVING SLEEVE FOR 3/4 COOPER BONDED POINTED</t>
  </si>
  <si>
    <t>TABOURET INTERIEUR 40KV MONOBLOC</t>
  </si>
  <si>
    <t>TABLEAU TUR T8 1200</t>
  </si>
  <si>
    <t>TABOURET INTERIEUR 40V MONOBLOC</t>
  </si>
  <si>
    <t>TELERUPTEUR TL 2P 16A Réf 15520</t>
  </si>
  <si>
    <t>THERMOSTAT</t>
  </si>
  <si>
    <t>TIGE JUMELAGE TG 24 - 300</t>
  </si>
  <si>
    <t>TIGE JUMELAGE TG16 - 300</t>
  </si>
  <si>
    <t>TIGE JUMELAGE 16.500</t>
  </si>
  <si>
    <t>TIGE RENFORCEE TR 25 - 285-80</t>
  </si>
  <si>
    <t>TIGE FILETEE GALVA12 X 1000</t>
  </si>
  <si>
    <t>TIGE FILETEE GALVA14 X 1000</t>
  </si>
  <si>
    <t>TIGE FILETEE GALVA16 X 1000</t>
  </si>
  <si>
    <t>TIGE FILETEE ZINGUEE 12 X 1000</t>
  </si>
  <si>
    <t>TIGE FILETEE ZINGUEE 14 X 1000</t>
  </si>
  <si>
    <t>TIGE FILETEE ZINGUEE 8mm²</t>
  </si>
  <si>
    <t>TIRE FOND TETE HEXAGONALE VH 10X40 08280</t>
  </si>
  <si>
    <t>TIRE FOND TETE HEXAGONALE VH 12.70</t>
  </si>
  <si>
    <t>TRANSFORMATEUR TC10 1000/5A</t>
  </si>
  <si>
    <t>TRANSFORMATEUR DE SECURITE P230/400V1000 VA ABL6TD100B</t>
  </si>
  <si>
    <t>TRANSFORMTEUR H59 630 KVA 30KV/B2</t>
  </si>
  <si>
    <t>TRANSFORMTEUR H59 400 KVA 30KV/B2 ALSTHOM (2nd main)</t>
  </si>
  <si>
    <t>TRANSFO TORE 50/5</t>
  </si>
  <si>
    <t>TRANSFORMTEUR H59 400 KVA 30KV-3MD ENERGY</t>
  </si>
  <si>
    <t>TRANSFORMATEUR H59 250KVA 30 KV</t>
  </si>
  <si>
    <t>TRANSFORMTEUR H61 100 KVA 30KV/B2 BELTRANSFO</t>
  </si>
  <si>
    <t>TRANSFORMTEUR H61 160 KVA 30KV/B2</t>
  </si>
  <si>
    <t>TRANFORMATEUR 50KVA ….. KV / ….) ASTOR</t>
  </si>
  <si>
    <t>TRANFORMATEUR 800KVA ….. KV /.... V  (2nd main) CONTI-TRANSFO</t>
  </si>
  <si>
    <t>TRANSFORMTEUR H61 50 KVA 30KV/B2</t>
  </si>
  <si>
    <t>TRESSE CUIVRE ETAME 20 X 2</t>
  </si>
  <si>
    <t>TUBE EN FER GALVA PRES DE 20/27</t>
  </si>
  <si>
    <t>TUBE EN FER URO DE9</t>
  </si>
  <si>
    <t>TORE MF1 2200 REF 59963</t>
  </si>
  <si>
    <t>TORE REF 50441</t>
  </si>
  <si>
    <t>TORE IA80 REF 50439</t>
  </si>
  <si>
    <t>TORE MA 120 REF 50440</t>
  </si>
  <si>
    <t>MAT-JARDIN 21718500</t>
  </si>
  <si>
    <t>MAT-JARDIN 21731400</t>
  </si>
  <si>
    <t>BLOC APPAREIL EGP 140CDM-T 70W (jardin)</t>
  </si>
  <si>
    <t>MAT LAMPE JARDIN REF 21725300</t>
  </si>
  <si>
    <t>LUMINAIRE - APP - FERM REF 21718500</t>
  </si>
  <si>
    <t>RALLONGE A.F.K7/R50X300</t>
  </si>
  <si>
    <t>TUBE ANNELE DE 13 GRIS (rouleau de 100)</t>
  </si>
  <si>
    <t>VOYANT ROUGE SB4 BV B4</t>
  </si>
  <si>
    <t>VOYANT ROUGE SB4 BV G4</t>
  </si>
  <si>
    <t>VOYANT VERT SB4 BV B3</t>
  </si>
  <si>
    <t>VOYANT JAUNE SB4 BV B5</t>
  </si>
  <si>
    <t>DOMINO DE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</si>
</sst>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sz val="8"/>
      <name val="Arial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4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/>
    <xf numFmtId="0" fontId="3" fillId="0" borderId="7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/>
    </xf>
    <xf numFmtId="0" fontId="8" fillId="10" borderId="1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49" fontId="9" fillId="0" borderId="9" xfId="2" applyNumberFormat="1" applyFont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1" fillId="0" borderId="13" xfId="1" applyBorder="1" applyAlignment="1">
      <alignment horizontal="center"/>
    </xf>
    <xf numFmtId="3" fontId="1" fillId="0" borderId="13" xfId="1" applyNumberFormat="1" applyBorder="1"/>
    <xf numFmtId="3" fontId="1" fillId="0" borderId="14" xfId="1" applyNumberFormat="1" applyBorder="1"/>
    <xf numFmtId="3" fontId="1" fillId="0" borderId="15" xfId="1" applyNumberFormat="1" applyBorder="1"/>
    <xf numFmtId="3" fontId="1" fillId="0" borderId="16" xfId="1" applyNumberFormat="1" applyBorder="1"/>
    <xf numFmtId="3" fontId="3" fillId="0" borderId="17" xfId="1" applyNumberFormat="1" applyFont="1" applyBorder="1"/>
    <xf numFmtId="0" fontId="1" fillId="0" borderId="18" xfId="1" applyBorder="1"/>
    <xf numFmtId="49" fontId="9" fillId="0" borderId="19" xfId="2" applyNumberFormat="1" applyFont="1" applyBorder="1"/>
    <xf numFmtId="0" fontId="1" fillId="0" borderId="20" xfId="1" applyBorder="1"/>
    <xf numFmtId="0" fontId="1" fillId="0" borderId="21" xfId="1" applyBorder="1"/>
    <xf numFmtId="0" fontId="1" fillId="0" borderId="22" xfId="1" applyBorder="1"/>
    <xf numFmtId="0" fontId="1" fillId="0" borderId="22" xfId="1" applyBorder="1" applyAlignment="1">
      <alignment horizontal="center"/>
    </xf>
    <xf numFmtId="3" fontId="1" fillId="0" borderId="22" xfId="1" applyNumberFormat="1" applyBorder="1"/>
    <xf numFmtId="3" fontId="1" fillId="0" borderId="23" xfId="1" applyNumberFormat="1" applyBorder="1"/>
    <xf numFmtId="3" fontId="3" fillId="0" borderId="24" xfId="1" applyNumberFormat="1" applyFont="1" applyBorder="1"/>
    <xf numFmtId="0" fontId="1" fillId="0" borderId="23" xfId="1" applyBorder="1"/>
    <xf numFmtId="0" fontId="1" fillId="0" borderId="25" xfId="1" applyBorder="1"/>
    <xf numFmtId="0" fontId="1" fillId="0" borderId="26" xfId="1" applyBorder="1"/>
    <xf numFmtId="49" fontId="9" fillId="11" borderId="19" xfId="2" applyNumberFormat="1" applyFont="1" applyFill="1" applyBorder="1"/>
    <xf numFmtId="3" fontId="1" fillId="11" borderId="22" xfId="1" applyNumberFormat="1" applyFill="1" applyBorder="1"/>
    <xf numFmtId="3" fontId="3" fillId="0" borderId="22" xfId="1" applyNumberFormat="1" applyFont="1" applyBorder="1"/>
    <xf numFmtId="49" fontId="10" fillId="11" borderId="19" xfId="2" applyNumberFormat="1" applyFont="1" applyFill="1" applyBorder="1"/>
    <xf numFmtId="0" fontId="2" fillId="0" borderId="22" xfId="1" applyFont="1" applyBorder="1"/>
    <xf numFmtId="49" fontId="11" fillId="11" borderId="19" xfId="2" applyNumberFormat="1" applyFont="1" applyFill="1" applyBorder="1"/>
    <xf numFmtId="0" fontId="1" fillId="7" borderId="22" xfId="1" applyFill="1" applyBorder="1"/>
    <xf numFmtId="0" fontId="0" fillId="0" borderId="22" xfId="1" applyFont="1" applyBorder="1" applyAlignment="1">
      <alignment horizontal="center"/>
    </xf>
    <xf numFmtId="0" fontId="2" fillId="7" borderId="22" xfId="1" applyFont="1" applyFill="1" applyBorder="1" applyAlignment="1">
      <alignment horizontal="center"/>
    </xf>
    <xf numFmtId="3" fontId="1" fillId="3" borderId="22" xfId="1" applyNumberFormat="1" applyFill="1" applyBorder="1"/>
    <xf numFmtId="3" fontId="4" fillId="0" borderId="22" xfId="1" applyNumberFormat="1" applyFont="1" applyBorder="1"/>
    <xf numFmtId="0" fontId="2" fillId="7" borderId="22" xfId="1" applyFont="1" applyFill="1" applyBorder="1"/>
    <xf numFmtId="49" fontId="10" fillId="3" borderId="19" xfId="2" applyNumberFormat="1" applyFont="1" applyFill="1" applyBorder="1"/>
    <xf numFmtId="3" fontId="2" fillId="3" borderId="14" xfId="1" applyNumberFormat="1" applyFont="1" applyFill="1" applyBorder="1"/>
    <xf numFmtId="3" fontId="2" fillId="0" borderId="23" xfId="1" applyNumberFormat="1" applyFont="1" applyBorder="1"/>
    <xf numFmtId="3" fontId="3" fillId="3" borderId="24" xfId="1" applyNumberFormat="1" applyFont="1" applyFill="1" applyBorder="1"/>
    <xf numFmtId="3" fontId="0" fillId="0" borderId="22" xfId="1" applyNumberFormat="1" applyFont="1" applyBorder="1"/>
    <xf numFmtId="0" fontId="1" fillId="11" borderId="22" xfId="1" applyFill="1" applyBorder="1"/>
    <xf numFmtId="3" fontId="1" fillId="11" borderId="23" xfId="1" applyNumberFormat="1" applyFill="1" applyBorder="1"/>
    <xf numFmtId="0" fontId="1" fillId="11" borderId="0" xfId="1" applyFill="1"/>
    <xf numFmtId="0" fontId="1" fillId="8" borderId="0" xfId="1" applyFill="1"/>
    <xf numFmtId="0" fontId="1" fillId="11" borderId="22" xfId="1" applyFill="1" applyBorder="1" applyAlignment="1">
      <alignment horizontal="center"/>
    </xf>
    <xf numFmtId="0" fontId="1" fillId="0" borderId="21" xfId="1" applyBorder="1" applyAlignment="1">
      <alignment horizontal="center"/>
    </xf>
    <xf numFmtId="0" fontId="9" fillId="0" borderId="19" xfId="2" applyFont="1" applyBorder="1"/>
    <xf numFmtId="0" fontId="12" fillId="0" borderId="27" xfId="2" applyFont="1" applyBorder="1"/>
    <xf numFmtId="0" fontId="1" fillId="0" borderId="28" xfId="1" applyBorder="1"/>
    <xf numFmtId="0" fontId="1" fillId="0" borderId="29" xfId="1" applyBorder="1"/>
    <xf numFmtId="0" fontId="1" fillId="0" borderId="30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1" fillId="0" borderId="33" xfId="1" applyBorder="1" applyAlignment="1">
      <alignment horizontal="center"/>
    </xf>
    <xf numFmtId="3" fontId="1" fillId="0" borderId="33" xfId="1" applyNumberFormat="1" applyBorder="1"/>
    <xf numFmtId="0" fontId="1" fillId="0" borderId="34" xfId="1" applyBorder="1"/>
    <xf numFmtId="0" fontId="9" fillId="0" borderId="0" xfId="2" applyFont="1"/>
    <xf numFmtId="0" fontId="1" fillId="0" borderId="35" xfId="1" applyBorder="1"/>
    <xf numFmtId="3" fontId="3" fillId="0" borderId="36" xfId="1" applyNumberFormat="1" applyFont="1" applyBorder="1"/>
    <xf numFmtId="0" fontId="1" fillId="0" borderId="37" xfId="1" applyBorder="1"/>
    <xf numFmtId="3" fontId="3" fillId="0" borderId="37" xfId="1" applyNumberFormat="1" applyFont="1" applyBorder="1"/>
    <xf numFmtId="3" fontId="6" fillId="3" borderId="38" xfId="1" applyNumberFormat="1" applyFont="1" applyFill="1" applyBorder="1"/>
    <xf numFmtId="0" fontId="3" fillId="0" borderId="0" xfId="1" applyFont="1"/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</cellXfs>
  <cellStyles count="3">
    <cellStyle name="Normal" xfId="0" builtinId="0"/>
    <cellStyle name="Normal 3 5 7" xfId="2" xr:uid="{C73AC1FD-6572-4B73-AEBF-5B41B2ACDE2F}"/>
    <cellStyle name="Normal 9 7" xfId="1" xr:uid="{4923B7BF-9308-4AC6-85FA-B74E0D11C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4630-3D77-4B97-9F25-3FC50652B8CE}">
  <dimension ref="A4:CG795"/>
  <sheetViews>
    <sheetView showZeros="0" tabSelected="1" view="pageBreakPreview" topLeftCell="A106" zoomScale="80" zoomScaleNormal="80" zoomScaleSheetLayoutView="80" workbookViewId="0">
      <selection activeCell="X246" sqref="X246"/>
    </sheetView>
  </sheetViews>
  <sheetFormatPr baseColWidth="10" defaultColWidth="11.42578125" defaultRowHeight="15" x14ac:dyDescent="0.25"/>
  <cols>
    <col min="1" max="1" width="49.85546875" style="1" customWidth="1"/>
    <col min="2" max="5" width="8.7109375" style="2" customWidth="1"/>
    <col min="6" max="6" width="9.7109375" style="2" bestFit="1" customWidth="1"/>
    <col min="7" max="8" width="6.7109375" style="2" customWidth="1"/>
    <col min="9" max="9" width="11.5703125" style="2" customWidth="1"/>
    <col min="10" max="10" width="12.42578125" style="2" customWidth="1"/>
    <col min="11" max="11" width="13" style="2" customWidth="1"/>
    <col min="12" max="14" width="6.7109375" style="2" customWidth="1"/>
    <col min="15" max="15" width="12.28515625" style="2" customWidth="1"/>
    <col min="16" max="28" width="10.140625" style="2" customWidth="1"/>
    <col min="29" max="29" width="19.42578125" style="2" customWidth="1"/>
    <col min="30" max="30" width="8.5703125" style="2" customWidth="1"/>
    <col min="31" max="31" width="12.85546875" style="3" customWidth="1"/>
    <col min="32" max="32" width="11.28515625" style="2" customWidth="1"/>
    <col min="33" max="33" width="12.85546875" style="2" customWidth="1"/>
    <col min="34" max="34" width="13.5703125" style="2" customWidth="1"/>
    <col min="35" max="35" width="10" style="2" customWidth="1"/>
    <col min="36" max="36" width="14.28515625" style="2" customWidth="1"/>
    <col min="37" max="37" width="12" style="2" customWidth="1"/>
    <col min="38" max="38" width="14.5703125" style="2" customWidth="1"/>
    <col min="39" max="39" width="12.28515625" style="2" customWidth="1"/>
    <col min="40" max="40" width="11.28515625" style="2" customWidth="1"/>
    <col min="41" max="41" width="11.42578125" style="2" customWidth="1"/>
    <col min="42" max="42" width="10.5703125" style="2" customWidth="1"/>
    <col min="43" max="43" width="12.5703125" style="2" customWidth="1"/>
    <col min="44" max="44" width="12.42578125" style="2" customWidth="1"/>
    <col min="45" max="45" width="9.140625" style="2" customWidth="1"/>
    <col min="46" max="46" width="16.140625" style="2" customWidth="1"/>
    <col min="47" max="47" width="6.42578125" style="2" customWidth="1"/>
    <col min="48" max="48" width="14.28515625" style="2" customWidth="1"/>
    <col min="49" max="49" width="9.140625" style="2" customWidth="1"/>
    <col min="50" max="50" width="16.140625" style="2" customWidth="1"/>
    <col min="51" max="51" width="6.42578125" style="2" customWidth="1"/>
    <col min="52" max="52" width="14.28515625" style="2" customWidth="1"/>
    <col min="53" max="53" width="15.28515625" style="2" customWidth="1"/>
    <col min="54" max="54" width="17" style="2" customWidth="1"/>
    <col min="55" max="55" width="13.140625" style="2" customWidth="1"/>
    <col min="56" max="57" width="16.28515625" style="2" customWidth="1"/>
    <col min="58" max="58" width="19.7109375" style="2" customWidth="1"/>
    <col min="59" max="16384" width="11.42578125" style="2"/>
  </cols>
  <sheetData>
    <row r="4" spans="1:68" ht="15.75" thickBot="1" x14ac:dyDescent="0.3"/>
    <row r="5" spans="1:68" ht="75.75" customHeight="1" thickTop="1" thickBot="1" x14ac:dyDescent="0.3">
      <c r="A5" s="82" t="s">
        <v>0</v>
      </c>
      <c r="B5" s="83" t="s">
        <v>1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5"/>
      <c r="AC5" s="81" t="s">
        <v>2</v>
      </c>
      <c r="AD5" s="4"/>
      <c r="AE5" s="77" t="s">
        <v>3</v>
      </c>
      <c r="AF5" s="86" t="s">
        <v>4</v>
      </c>
      <c r="AG5" s="74" t="s">
        <v>5</v>
      </c>
      <c r="AH5" s="74"/>
      <c r="AI5" s="74" t="s">
        <v>6</v>
      </c>
      <c r="AJ5" s="74"/>
      <c r="AK5" s="80" t="s">
        <v>7</v>
      </c>
      <c r="AL5" s="80"/>
      <c r="AM5" s="80" t="s">
        <v>8</v>
      </c>
      <c r="AN5" s="80"/>
      <c r="AO5" s="74" t="s">
        <v>9</v>
      </c>
      <c r="AP5" s="74"/>
      <c r="AQ5" s="74" t="s">
        <v>10</v>
      </c>
      <c r="AR5" s="74"/>
      <c r="AS5" s="75" t="s">
        <v>11</v>
      </c>
      <c r="AT5" s="75"/>
      <c r="AU5" s="75" t="s">
        <v>12</v>
      </c>
      <c r="AV5" s="75"/>
      <c r="AW5" s="76" t="s">
        <v>13</v>
      </c>
      <c r="AX5" s="76"/>
      <c r="AY5" s="76" t="s">
        <v>14</v>
      </c>
      <c r="AZ5" s="76"/>
      <c r="BA5" s="81" t="s">
        <v>15</v>
      </c>
      <c r="BB5" s="81" t="s">
        <v>16</v>
      </c>
      <c r="BC5" s="81" t="s">
        <v>17</v>
      </c>
      <c r="BD5" s="75" t="s">
        <v>18</v>
      </c>
      <c r="BE5" s="76" t="s">
        <v>19</v>
      </c>
      <c r="BF5" s="77" t="s">
        <v>20</v>
      </c>
    </row>
    <row r="6" spans="1:68" ht="42" customHeight="1" thickTop="1" thickBot="1" x14ac:dyDescent="0.3">
      <c r="A6" s="82"/>
      <c r="B6" s="78" t="s">
        <v>21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9" t="s">
        <v>22</v>
      </c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81"/>
      <c r="AD6" s="4"/>
      <c r="AE6" s="77"/>
      <c r="AF6" s="87"/>
      <c r="AG6" s="74" t="s">
        <v>23</v>
      </c>
      <c r="AH6" s="74" t="s">
        <v>24</v>
      </c>
      <c r="AI6" s="74" t="s">
        <v>23</v>
      </c>
      <c r="AJ6" s="74" t="s">
        <v>24</v>
      </c>
      <c r="AK6" s="80" t="s">
        <v>23</v>
      </c>
      <c r="AL6" s="80" t="s">
        <v>24</v>
      </c>
      <c r="AM6" s="80" t="s">
        <v>23</v>
      </c>
      <c r="AN6" s="80" t="s">
        <v>24</v>
      </c>
      <c r="AO6" s="74" t="s">
        <v>23</v>
      </c>
      <c r="AP6" s="74" t="s">
        <v>24</v>
      </c>
      <c r="AQ6" s="74" t="s">
        <v>23</v>
      </c>
      <c r="AR6" s="74" t="s">
        <v>24</v>
      </c>
      <c r="AS6" s="75" t="s">
        <v>23</v>
      </c>
      <c r="AT6" s="75" t="s">
        <v>24</v>
      </c>
      <c r="AU6" s="75" t="s">
        <v>23</v>
      </c>
      <c r="AV6" s="75" t="s">
        <v>24</v>
      </c>
      <c r="AW6" s="76" t="s">
        <v>23</v>
      </c>
      <c r="AX6" s="76" t="s">
        <v>24</v>
      </c>
      <c r="AY6" s="76" t="s">
        <v>23</v>
      </c>
      <c r="AZ6" s="76" t="s">
        <v>24</v>
      </c>
      <c r="BA6" s="81"/>
      <c r="BB6" s="81"/>
      <c r="BC6" s="81"/>
      <c r="BD6" s="75"/>
      <c r="BE6" s="76"/>
      <c r="BF6" s="77"/>
      <c r="BH6" s="5" t="s">
        <v>25</v>
      </c>
    </row>
    <row r="7" spans="1:68" ht="16.5" thickTop="1" thickBot="1" x14ac:dyDescent="0.3">
      <c r="A7" s="82"/>
      <c r="B7" s="6" t="s">
        <v>26</v>
      </c>
      <c r="C7" s="6" t="s">
        <v>27</v>
      </c>
      <c r="D7" s="6" t="s">
        <v>28</v>
      </c>
      <c r="E7" s="7" t="s">
        <v>29</v>
      </c>
      <c r="F7" s="8" t="s">
        <v>30</v>
      </c>
      <c r="G7" s="8" t="s">
        <v>31</v>
      </c>
      <c r="H7" s="8" t="s">
        <v>32</v>
      </c>
      <c r="I7" s="8" t="s">
        <v>33</v>
      </c>
      <c r="J7" s="8" t="s">
        <v>34</v>
      </c>
      <c r="K7" s="8" t="s">
        <v>35</v>
      </c>
      <c r="L7" s="8" t="s">
        <v>36</v>
      </c>
      <c r="M7" s="9" t="s">
        <v>29</v>
      </c>
      <c r="N7" s="9" t="s">
        <v>37</v>
      </c>
      <c r="O7" s="9" t="s">
        <v>38</v>
      </c>
      <c r="P7" s="6" t="s">
        <v>26</v>
      </c>
      <c r="Q7" s="6" t="s">
        <v>27</v>
      </c>
      <c r="R7" s="6" t="s">
        <v>28</v>
      </c>
      <c r="S7" s="8" t="s">
        <v>29</v>
      </c>
      <c r="T7" s="8" t="s">
        <v>39</v>
      </c>
      <c r="U7" s="8" t="s">
        <v>31</v>
      </c>
      <c r="V7" s="8" t="s">
        <v>40</v>
      </c>
      <c r="W7" s="8" t="s">
        <v>34</v>
      </c>
      <c r="X7" s="8" t="s">
        <v>35</v>
      </c>
      <c r="Y7" s="8" t="s">
        <v>36</v>
      </c>
      <c r="Z7" s="9" t="s">
        <v>29</v>
      </c>
      <c r="AA7" s="9" t="s">
        <v>37</v>
      </c>
      <c r="AB7" s="9" t="s">
        <v>38</v>
      </c>
      <c r="AC7" s="81"/>
      <c r="AD7" s="4"/>
      <c r="AE7" s="77"/>
      <c r="AF7" s="88"/>
      <c r="AG7" s="74"/>
      <c r="AH7" s="74"/>
      <c r="AI7" s="74"/>
      <c r="AJ7" s="74"/>
      <c r="AK7" s="80"/>
      <c r="AL7" s="80"/>
      <c r="AM7" s="80"/>
      <c r="AN7" s="80"/>
      <c r="AO7" s="74"/>
      <c r="AP7" s="74"/>
      <c r="AQ7" s="74"/>
      <c r="AR7" s="74"/>
      <c r="AS7" s="75"/>
      <c r="AT7" s="75"/>
      <c r="AU7" s="75"/>
      <c r="AV7" s="75"/>
      <c r="AW7" s="76"/>
      <c r="AX7" s="76"/>
      <c r="AY7" s="76"/>
      <c r="AZ7" s="76"/>
      <c r="BA7" s="81"/>
      <c r="BB7" s="81"/>
      <c r="BC7" s="81"/>
      <c r="BD7" s="75"/>
      <c r="BE7" s="76"/>
      <c r="BF7" s="77"/>
    </row>
    <row r="8" spans="1:68" ht="15.75" thickTop="1" x14ac:dyDescent="0.25">
      <c r="A8" s="10" t="s">
        <v>41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>
        <v>15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4"/>
      <c r="AD8" s="14">
        <f t="shared" ref="AD8:AD47" si="0">SUM(B8:S8)</f>
        <v>15</v>
      </c>
      <c r="AE8" s="15" t="s">
        <v>42</v>
      </c>
      <c r="AF8" s="16">
        <v>7200</v>
      </c>
      <c r="AG8" s="17">
        <f t="shared" ref="AG8:AG71" si="1">SUM(F8:L8)-G8</f>
        <v>0</v>
      </c>
      <c r="AH8" s="18">
        <f t="shared" ref="AH8:AH71" si="2">+AG8*AF8</f>
        <v>0</v>
      </c>
      <c r="AI8" s="19">
        <f t="shared" ref="AI8:AI71" si="3">SUM(T8:Y8)-U8</f>
        <v>0</v>
      </c>
      <c r="AJ8" s="18">
        <f t="shared" ref="AJ8:AJ71" si="4">+AI8*AF8</f>
        <v>0</v>
      </c>
      <c r="AK8" s="19">
        <f>+M8+N8+O8+G8</f>
        <v>15</v>
      </c>
      <c r="AL8" s="18">
        <f t="shared" ref="AL8:AL71" si="5">+AK8*AF8</f>
        <v>108000</v>
      </c>
      <c r="AM8" s="19">
        <f>+AA8+AB8+U8</f>
        <v>0</v>
      </c>
      <c r="AN8" s="18">
        <f t="shared" ref="AN8:AN47" si="6">+AM8*AF8</f>
        <v>0</v>
      </c>
      <c r="AO8" s="19">
        <f t="shared" ref="AO8:AO66" si="7">+B8</f>
        <v>0</v>
      </c>
      <c r="AP8" s="18">
        <f t="shared" ref="AP8:AP47" si="8">+AO8*AF8</f>
        <v>0</v>
      </c>
      <c r="AQ8" s="19">
        <f t="shared" ref="AQ8:AQ66" si="9">+P8</f>
        <v>0</v>
      </c>
      <c r="AR8" s="18">
        <f t="shared" ref="AR8:AR47" si="10">+AQ8*AF8</f>
        <v>0</v>
      </c>
      <c r="AS8" s="19">
        <f>+C8</f>
        <v>0</v>
      </c>
      <c r="AT8" s="18">
        <f>+AS8*AF8</f>
        <v>0</v>
      </c>
      <c r="AU8" s="19">
        <f>+Q8</f>
        <v>0</v>
      </c>
      <c r="AV8" s="18">
        <f>+AU8*AF8</f>
        <v>0</v>
      </c>
      <c r="AW8" s="19">
        <f t="shared" ref="AW8:AW71" si="11">+D8</f>
        <v>0</v>
      </c>
      <c r="AX8" s="18">
        <f t="shared" ref="AX8:AX71" si="12">+AW8*AF8</f>
        <v>0</v>
      </c>
      <c r="AY8" s="19">
        <f t="shared" ref="AY8:AY71" si="13">+R8</f>
        <v>0</v>
      </c>
      <c r="AZ8" s="18">
        <f t="shared" ref="AZ8:AZ71" si="14">+AY8*AF8</f>
        <v>0</v>
      </c>
      <c r="BA8" s="16">
        <f>+AH8+AJ8</f>
        <v>0</v>
      </c>
      <c r="BB8" s="16">
        <f>+AL8+AN8</f>
        <v>108000</v>
      </c>
      <c r="BC8" s="16">
        <f>+AP8+AR8</f>
        <v>0</v>
      </c>
      <c r="BD8" s="16">
        <f>+(AT8+AV8)</f>
        <v>0</v>
      </c>
      <c r="BE8" s="16">
        <f>+AX8+AZ8</f>
        <v>0</v>
      </c>
      <c r="BF8" s="20">
        <f>+BB8+BA8*5%</f>
        <v>108000</v>
      </c>
      <c r="BH8" s="21">
        <f t="shared" ref="BH8:BH71" si="15">+B8+C8+E8+G8+M8+N8+O8+(P8+Q8+S8+U8+Z8+AA8+AB8)</f>
        <v>15</v>
      </c>
      <c r="BM8" s="2">
        <f t="shared" ref="BM8:BM47" si="16">SUM(B8:S8)</f>
        <v>15</v>
      </c>
      <c r="BP8" s="2">
        <f t="shared" ref="BP8:BP47" si="17">SUM(B8:S8)</f>
        <v>15</v>
      </c>
    </row>
    <row r="9" spans="1:68" x14ac:dyDescent="0.25">
      <c r="A9" s="22" t="s">
        <v>43</v>
      </c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3">
        <v>40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  <c r="AD9" s="25">
        <f t="shared" si="0"/>
        <v>40</v>
      </c>
      <c r="AE9" s="26" t="s">
        <v>42</v>
      </c>
      <c r="AF9" s="27">
        <f>4.8*1200</f>
        <v>5760</v>
      </c>
      <c r="AG9" s="17">
        <f t="shared" si="1"/>
        <v>0</v>
      </c>
      <c r="AH9" s="28">
        <f t="shared" si="2"/>
        <v>0</v>
      </c>
      <c r="AI9" s="17">
        <f t="shared" si="3"/>
        <v>0</v>
      </c>
      <c r="AJ9" s="28">
        <f t="shared" si="4"/>
        <v>0</v>
      </c>
      <c r="AK9" s="17">
        <f>+N9+O9+G9</f>
        <v>40</v>
      </c>
      <c r="AL9" s="28">
        <f t="shared" si="5"/>
        <v>230400</v>
      </c>
      <c r="AM9" s="17">
        <f>+AA9+AB9+U9</f>
        <v>0</v>
      </c>
      <c r="AN9" s="28">
        <f t="shared" si="6"/>
        <v>0</v>
      </c>
      <c r="AO9" s="17">
        <f t="shared" si="7"/>
        <v>0</v>
      </c>
      <c r="AP9" s="28">
        <f t="shared" si="8"/>
        <v>0</v>
      </c>
      <c r="AQ9" s="17">
        <f t="shared" si="9"/>
        <v>0</v>
      </c>
      <c r="AR9" s="28">
        <f t="shared" si="10"/>
        <v>0</v>
      </c>
      <c r="AS9" s="17">
        <f>+C9</f>
        <v>0</v>
      </c>
      <c r="AT9" s="28">
        <f>+AS9*AF9</f>
        <v>0</v>
      </c>
      <c r="AU9" s="17">
        <f>+Q9</f>
        <v>0</v>
      </c>
      <c r="AV9" s="28">
        <f>+AU9*AF9</f>
        <v>0</v>
      </c>
      <c r="AW9" s="17">
        <f t="shared" si="11"/>
        <v>0</v>
      </c>
      <c r="AX9" s="28">
        <f t="shared" si="12"/>
        <v>0</v>
      </c>
      <c r="AY9" s="17">
        <f t="shared" si="13"/>
        <v>0</v>
      </c>
      <c r="AZ9" s="28">
        <f t="shared" si="14"/>
        <v>0</v>
      </c>
      <c r="BA9" s="27">
        <f t="shared" ref="BA9:BA73" si="18">+AH9+AJ9</f>
        <v>0</v>
      </c>
      <c r="BB9" s="27">
        <f t="shared" ref="BB9:BB72" si="19">+AL9+AN9</f>
        <v>230400</v>
      </c>
      <c r="BC9" s="27">
        <f>+AP9+AR9</f>
        <v>0</v>
      </c>
      <c r="BD9" s="27">
        <f>+AT9+AV9</f>
        <v>0</v>
      </c>
      <c r="BE9" s="27">
        <f>+AX9+AZ9</f>
        <v>0</v>
      </c>
      <c r="BF9" s="29">
        <f>+BB9+BA9*5%+BD9*30%</f>
        <v>230400</v>
      </c>
      <c r="BH9" s="30">
        <f t="shared" si="15"/>
        <v>40</v>
      </c>
      <c r="BM9" s="2">
        <f t="shared" si="16"/>
        <v>40</v>
      </c>
      <c r="BP9" s="2">
        <f t="shared" si="17"/>
        <v>40</v>
      </c>
    </row>
    <row r="10" spans="1:68" ht="14.45" hidden="1" customHeight="1" x14ac:dyDescent="0.25">
      <c r="A10" s="22" t="s">
        <v>44</v>
      </c>
      <c r="B10" s="23"/>
      <c r="C10" s="24"/>
      <c r="D10" s="24"/>
      <c r="E10" s="24"/>
      <c r="F10" s="31"/>
      <c r="G10" s="31"/>
      <c r="H10" s="31"/>
      <c r="I10" s="31"/>
      <c r="J10" s="31"/>
      <c r="K10" s="31"/>
      <c r="L10" s="31"/>
      <c r="M10" s="32"/>
      <c r="N10" s="32"/>
      <c r="O10" s="13"/>
      <c r="P10" s="23"/>
      <c r="Q10" s="24"/>
      <c r="R10" s="24"/>
      <c r="S10" s="31"/>
      <c r="T10" s="31"/>
      <c r="U10" s="31"/>
      <c r="V10" s="31"/>
      <c r="W10" s="31"/>
      <c r="X10" s="31"/>
      <c r="Y10" s="31"/>
      <c r="Z10" s="32"/>
      <c r="AA10" s="32"/>
      <c r="AB10" s="13"/>
      <c r="AC10" s="25"/>
      <c r="AD10" s="25">
        <f t="shared" si="0"/>
        <v>0</v>
      </c>
      <c r="AE10" s="26" t="s">
        <v>42</v>
      </c>
      <c r="AF10" s="27"/>
      <c r="AG10" s="17">
        <f t="shared" si="1"/>
        <v>0</v>
      </c>
      <c r="AH10" s="28">
        <f t="shared" si="2"/>
        <v>0</v>
      </c>
      <c r="AI10" s="17">
        <f t="shared" si="3"/>
        <v>0</v>
      </c>
      <c r="AJ10" s="28">
        <f t="shared" si="4"/>
        <v>0</v>
      </c>
      <c r="AK10" s="17">
        <f t="shared" ref="AK10:AK73" si="20">+N10+O10+G10</f>
        <v>0</v>
      </c>
      <c r="AL10" s="28">
        <f t="shared" si="5"/>
        <v>0</v>
      </c>
      <c r="AM10" s="17">
        <f>+AB10</f>
        <v>0</v>
      </c>
      <c r="AN10" s="28">
        <f t="shared" si="6"/>
        <v>0</v>
      </c>
      <c r="AO10" s="17">
        <f t="shared" si="7"/>
        <v>0</v>
      </c>
      <c r="AP10" s="28">
        <f t="shared" si="8"/>
        <v>0</v>
      </c>
      <c r="AQ10" s="17">
        <f t="shared" si="9"/>
        <v>0</v>
      </c>
      <c r="AR10" s="28">
        <f t="shared" si="10"/>
        <v>0</v>
      </c>
      <c r="AS10" s="17">
        <f>+G10</f>
        <v>0</v>
      </c>
      <c r="AT10" s="28">
        <f>+AS10*AJ10</f>
        <v>0</v>
      </c>
      <c r="AU10" s="17">
        <f>+U10</f>
        <v>0</v>
      </c>
      <c r="AV10" s="28">
        <f>+AU10*AJ10</f>
        <v>0</v>
      </c>
      <c r="AW10" s="17">
        <f t="shared" si="11"/>
        <v>0</v>
      </c>
      <c r="AX10" s="28">
        <f t="shared" si="12"/>
        <v>0</v>
      </c>
      <c r="AY10" s="17">
        <f t="shared" si="13"/>
        <v>0</v>
      </c>
      <c r="AZ10" s="28">
        <f t="shared" si="14"/>
        <v>0</v>
      </c>
      <c r="BA10" s="27">
        <f t="shared" si="18"/>
        <v>0</v>
      </c>
      <c r="BB10" s="27">
        <f t="shared" si="19"/>
        <v>0</v>
      </c>
      <c r="BC10" s="27">
        <f t="shared" ref="BC10:BC73" si="21">+AP10+AR10</f>
        <v>0</v>
      </c>
      <c r="BD10" s="27">
        <f t="shared" ref="BD10:BD73" si="22">+AT10+AV10</f>
        <v>0</v>
      </c>
      <c r="BE10" s="27">
        <f t="shared" ref="BE10:BE73" si="23">+AX10+AZ10</f>
        <v>0</v>
      </c>
      <c r="BF10" s="29">
        <f t="shared" ref="BF10:BF74" si="24">+BB10+BA10*5%+BD10*30%</f>
        <v>0</v>
      </c>
      <c r="BH10" s="30">
        <f t="shared" si="15"/>
        <v>0</v>
      </c>
      <c r="BM10" s="2">
        <f t="shared" si="16"/>
        <v>0</v>
      </c>
      <c r="BP10" s="2">
        <f t="shared" si="17"/>
        <v>0</v>
      </c>
    </row>
    <row r="11" spans="1:68" x14ac:dyDescent="0.25">
      <c r="A11" s="22" t="s">
        <v>45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13">
        <v>10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5"/>
      <c r="AD11" s="25">
        <f t="shared" si="0"/>
        <v>10</v>
      </c>
      <c r="AE11" s="26" t="s">
        <v>42</v>
      </c>
      <c r="AF11" s="27">
        <v>8020</v>
      </c>
      <c r="AG11" s="17">
        <f t="shared" si="1"/>
        <v>0</v>
      </c>
      <c r="AH11" s="28">
        <f t="shared" si="2"/>
        <v>0</v>
      </c>
      <c r="AI11" s="17">
        <f t="shared" si="3"/>
        <v>0</v>
      </c>
      <c r="AJ11" s="28">
        <f t="shared" si="4"/>
        <v>0</v>
      </c>
      <c r="AK11" s="17">
        <f t="shared" si="20"/>
        <v>10</v>
      </c>
      <c r="AL11" s="28">
        <f t="shared" si="5"/>
        <v>80200</v>
      </c>
      <c r="AM11" s="17">
        <f>+AA11+AB11+U11</f>
        <v>0</v>
      </c>
      <c r="AN11" s="28">
        <f t="shared" si="6"/>
        <v>0</v>
      </c>
      <c r="AO11" s="17">
        <f t="shared" si="7"/>
        <v>0</v>
      </c>
      <c r="AP11" s="28">
        <f t="shared" si="8"/>
        <v>0</v>
      </c>
      <c r="AQ11" s="17">
        <f t="shared" si="9"/>
        <v>0</v>
      </c>
      <c r="AR11" s="28">
        <f t="shared" si="10"/>
        <v>0</v>
      </c>
      <c r="AS11" s="17">
        <f t="shared" ref="AS11:AS74" si="25">+C11</f>
        <v>0</v>
      </c>
      <c r="AT11" s="28">
        <f t="shared" ref="AT11:AT74" si="26">+AS11*AF11</f>
        <v>0</v>
      </c>
      <c r="AU11" s="17">
        <f t="shared" ref="AU11:AU74" si="27">+Q11</f>
        <v>0</v>
      </c>
      <c r="AV11" s="28">
        <f t="shared" ref="AV11:AV74" si="28">+AU11*AF11</f>
        <v>0</v>
      </c>
      <c r="AW11" s="17">
        <f t="shared" si="11"/>
        <v>0</v>
      </c>
      <c r="AX11" s="28">
        <f t="shared" si="12"/>
        <v>0</v>
      </c>
      <c r="AY11" s="17">
        <f t="shared" si="13"/>
        <v>0</v>
      </c>
      <c r="AZ11" s="28">
        <f t="shared" si="14"/>
        <v>0</v>
      </c>
      <c r="BA11" s="27">
        <f t="shared" si="18"/>
        <v>0</v>
      </c>
      <c r="BB11" s="27">
        <f t="shared" si="19"/>
        <v>80200</v>
      </c>
      <c r="BC11" s="27">
        <f t="shared" si="21"/>
        <v>0</v>
      </c>
      <c r="BD11" s="27">
        <f t="shared" si="22"/>
        <v>0</v>
      </c>
      <c r="BE11" s="27">
        <f t="shared" si="23"/>
        <v>0</v>
      </c>
      <c r="BF11" s="29">
        <f t="shared" si="24"/>
        <v>80200</v>
      </c>
      <c r="BH11" s="30">
        <f t="shared" si="15"/>
        <v>10</v>
      </c>
      <c r="BM11" s="2">
        <f t="shared" si="16"/>
        <v>10</v>
      </c>
      <c r="BP11" s="2">
        <f t="shared" si="17"/>
        <v>10</v>
      </c>
    </row>
    <row r="12" spans="1:68" ht="13.9" customHeight="1" x14ac:dyDescent="0.25">
      <c r="A12" s="22" t="s">
        <v>46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13">
        <v>10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>
        <f t="shared" si="0"/>
        <v>10</v>
      </c>
      <c r="AE12" s="26" t="s">
        <v>42</v>
      </c>
      <c r="AF12" s="27">
        <v>8786</v>
      </c>
      <c r="AG12" s="17">
        <f t="shared" si="1"/>
        <v>0</v>
      </c>
      <c r="AH12" s="28">
        <f t="shared" si="2"/>
        <v>0</v>
      </c>
      <c r="AI12" s="17">
        <f t="shared" si="3"/>
        <v>0</v>
      </c>
      <c r="AJ12" s="28">
        <f t="shared" si="4"/>
        <v>0</v>
      </c>
      <c r="AK12" s="17">
        <f t="shared" si="20"/>
        <v>10</v>
      </c>
      <c r="AL12" s="28">
        <f t="shared" si="5"/>
        <v>87860</v>
      </c>
      <c r="AM12" s="17">
        <f t="shared" ref="AM12:AM75" si="29">+AA12+AB12+U12</f>
        <v>0</v>
      </c>
      <c r="AN12" s="28">
        <f t="shared" si="6"/>
        <v>0</v>
      </c>
      <c r="AO12" s="17">
        <f t="shared" si="7"/>
        <v>0</v>
      </c>
      <c r="AP12" s="28">
        <f t="shared" si="8"/>
        <v>0</v>
      </c>
      <c r="AQ12" s="17">
        <f t="shared" si="9"/>
        <v>0</v>
      </c>
      <c r="AR12" s="28">
        <f t="shared" si="10"/>
        <v>0</v>
      </c>
      <c r="AS12" s="17">
        <f t="shared" si="25"/>
        <v>0</v>
      </c>
      <c r="AT12" s="28">
        <f t="shared" si="26"/>
        <v>0</v>
      </c>
      <c r="AU12" s="17">
        <f t="shared" si="27"/>
        <v>0</v>
      </c>
      <c r="AV12" s="28">
        <f t="shared" si="28"/>
        <v>0</v>
      </c>
      <c r="AW12" s="17">
        <f t="shared" si="11"/>
        <v>0</v>
      </c>
      <c r="AX12" s="28">
        <f t="shared" si="12"/>
        <v>0</v>
      </c>
      <c r="AY12" s="17">
        <f t="shared" si="13"/>
        <v>0</v>
      </c>
      <c r="AZ12" s="28">
        <f t="shared" si="14"/>
        <v>0</v>
      </c>
      <c r="BA12" s="27">
        <f t="shared" si="18"/>
        <v>0</v>
      </c>
      <c r="BB12" s="27">
        <f t="shared" si="19"/>
        <v>87860</v>
      </c>
      <c r="BC12" s="27">
        <f t="shared" si="21"/>
        <v>0</v>
      </c>
      <c r="BD12" s="27">
        <f t="shared" si="22"/>
        <v>0</v>
      </c>
      <c r="BE12" s="27">
        <f t="shared" si="23"/>
        <v>0</v>
      </c>
      <c r="BF12" s="29">
        <f t="shared" si="24"/>
        <v>87860</v>
      </c>
      <c r="BH12" s="30">
        <f t="shared" si="15"/>
        <v>10</v>
      </c>
      <c r="BM12" s="2">
        <f t="shared" si="16"/>
        <v>10</v>
      </c>
      <c r="BP12" s="2">
        <f t="shared" si="17"/>
        <v>10</v>
      </c>
    </row>
    <row r="13" spans="1:68" x14ac:dyDescent="0.25">
      <c r="A13" s="33" t="s">
        <v>47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3">
        <v>30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>
        <f t="shared" si="0"/>
        <v>30</v>
      </c>
      <c r="AE13" s="26" t="s">
        <v>42</v>
      </c>
      <c r="AF13" s="27">
        <v>8786</v>
      </c>
      <c r="AG13" s="17">
        <f t="shared" si="1"/>
        <v>0</v>
      </c>
      <c r="AH13" s="28">
        <f t="shared" si="2"/>
        <v>0</v>
      </c>
      <c r="AI13" s="17">
        <f t="shared" si="3"/>
        <v>0</v>
      </c>
      <c r="AJ13" s="28">
        <f t="shared" si="4"/>
        <v>0</v>
      </c>
      <c r="AK13" s="17">
        <f t="shared" si="20"/>
        <v>30</v>
      </c>
      <c r="AL13" s="28">
        <f t="shared" si="5"/>
        <v>263580</v>
      </c>
      <c r="AM13" s="17">
        <f t="shared" si="29"/>
        <v>0</v>
      </c>
      <c r="AN13" s="28">
        <f t="shared" si="6"/>
        <v>0</v>
      </c>
      <c r="AO13" s="17">
        <f t="shared" si="7"/>
        <v>0</v>
      </c>
      <c r="AP13" s="28">
        <f t="shared" si="8"/>
        <v>0</v>
      </c>
      <c r="AQ13" s="17">
        <f t="shared" si="9"/>
        <v>0</v>
      </c>
      <c r="AR13" s="28">
        <f t="shared" si="10"/>
        <v>0</v>
      </c>
      <c r="AS13" s="17">
        <f t="shared" si="25"/>
        <v>0</v>
      </c>
      <c r="AT13" s="28">
        <f t="shared" si="26"/>
        <v>0</v>
      </c>
      <c r="AU13" s="17">
        <f t="shared" si="27"/>
        <v>0</v>
      </c>
      <c r="AV13" s="28">
        <f t="shared" si="28"/>
        <v>0</v>
      </c>
      <c r="AW13" s="17">
        <f t="shared" si="11"/>
        <v>0</v>
      </c>
      <c r="AX13" s="28">
        <f t="shared" si="12"/>
        <v>0</v>
      </c>
      <c r="AY13" s="17">
        <f t="shared" si="13"/>
        <v>0</v>
      </c>
      <c r="AZ13" s="28">
        <f t="shared" si="14"/>
        <v>0</v>
      </c>
      <c r="BA13" s="27">
        <f t="shared" si="18"/>
        <v>0</v>
      </c>
      <c r="BB13" s="27">
        <f t="shared" si="19"/>
        <v>263580</v>
      </c>
      <c r="BC13" s="27">
        <f t="shared" si="21"/>
        <v>0</v>
      </c>
      <c r="BD13" s="27">
        <f t="shared" si="22"/>
        <v>0</v>
      </c>
      <c r="BE13" s="27">
        <f t="shared" si="23"/>
        <v>0</v>
      </c>
      <c r="BF13" s="29">
        <f t="shared" si="24"/>
        <v>263580</v>
      </c>
      <c r="BH13" s="30">
        <f t="shared" si="15"/>
        <v>30</v>
      </c>
      <c r="BM13" s="2">
        <f t="shared" si="16"/>
        <v>30</v>
      </c>
      <c r="BP13" s="2">
        <f t="shared" si="17"/>
        <v>30</v>
      </c>
    </row>
    <row r="14" spans="1:68" ht="14.45" hidden="1" customHeight="1" x14ac:dyDescent="0.25">
      <c r="A14" s="33" t="s">
        <v>48</v>
      </c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3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5"/>
      <c r="AD14" s="25">
        <f t="shared" si="0"/>
        <v>0</v>
      </c>
      <c r="AE14" s="26" t="s">
        <v>42</v>
      </c>
      <c r="AF14" s="27"/>
      <c r="AG14" s="17">
        <f t="shared" si="1"/>
        <v>0</v>
      </c>
      <c r="AH14" s="28">
        <f t="shared" si="2"/>
        <v>0</v>
      </c>
      <c r="AI14" s="17">
        <f t="shared" si="3"/>
        <v>0</v>
      </c>
      <c r="AJ14" s="28">
        <f t="shared" si="4"/>
        <v>0</v>
      </c>
      <c r="AK14" s="17">
        <f t="shared" si="20"/>
        <v>0</v>
      </c>
      <c r="AL14" s="28">
        <f t="shared" si="5"/>
        <v>0</v>
      </c>
      <c r="AM14" s="17">
        <f t="shared" si="29"/>
        <v>0</v>
      </c>
      <c r="AN14" s="28">
        <f t="shared" si="6"/>
        <v>0</v>
      </c>
      <c r="AO14" s="17">
        <f t="shared" si="7"/>
        <v>0</v>
      </c>
      <c r="AP14" s="28">
        <f t="shared" si="8"/>
        <v>0</v>
      </c>
      <c r="AQ14" s="17">
        <f t="shared" si="9"/>
        <v>0</v>
      </c>
      <c r="AR14" s="28">
        <f t="shared" si="10"/>
        <v>0</v>
      </c>
      <c r="AS14" s="17">
        <f t="shared" si="25"/>
        <v>0</v>
      </c>
      <c r="AT14" s="28">
        <f t="shared" si="26"/>
        <v>0</v>
      </c>
      <c r="AU14" s="17">
        <f t="shared" si="27"/>
        <v>0</v>
      </c>
      <c r="AV14" s="28">
        <f t="shared" si="28"/>
        <v>0</v>
      </c>
      <c r="AW14" s="17">
        <f t="shared" si="11"/>
        <v>0</v>
      </c>
      <c r="AX14" s="28">
        <f t="shared" si="12"/>
        <v>0</v>
      </c>
      <c r="AY14" s="17">
        <f t="shared" si="13"/>
        <v>0</v>
      </c>
      <c r="AZ14" s="28">
        <f t="shared" si="14"/>
        <v>0</v>
      </c>
      <c r="BA14" s="27">
        <f t="shared" si="18"/>
        <v>0</v>
      </c>
      <c r="BB14" s="27">
        <f t="shared" si="19"/>
        <v>0</v>
      </c>
      <c r="BC14" s="27">
        <f t="shared" si="21"/>
        <v>0</v>
      </c>
      <c r="BD14" s="27">
        <f t="shared" si="22"/>
        <v>0</v>
      </c>
      <c r="BE14" s="27">
        <f t="shared" si="23"/>
        <v>0</v>
      </c>
      <c r="BF14" s="29">
        <f t="shared" si="24"/>
        <v>0</v>
      </c>
      <c r="BH14" s="30">
        <f t="shared" si="15"/>
        <v>0</v>
      </c>
      <c r="BM14" s="2">
        <f t="shared" si="16"/>
        <v>0</v>
      </c>
      <c r="BP14" s="2">
        <f t="shared" si="17"/>
        <v>0</v>
      </c>
    </row>
    <row r="15" spans="1:68" x14ac:dyDescent="0.25">
      <c r="A15" s="33" t="s">
        <v>49</v>
      </c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1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>
        <f t="shared" si="0"/>
        <v>0</v>
      </c>
      <c r="AE15" s="26" t="s">
        <v>42</v>
      </c>
      <c r="AF15" s="27">
        <v>2073</v>
      </c>
      <c r="AG15" s="17">
        <f t="shared" si="1"/>
        <v>0</v>
      </c>
      <c r="AH15" s="28">
        <f t="shared" si="2"/>
        <v>0</v>
      </c>
      <c r="AI15" s="17">
        <f t="shared" si="3"/>
        <v>0</v>
      </c>
      <c r="AJ15" s="28">
        <f t="shared" si="4"/>
        <v>0</v>
      </c>
      <c r="AK15" s="17">
        <f t="shared" si="20"/>
        <v>0</v>
      </c>
      <c r="AL15" s="28">
        <f t="shared" si="5"/>
        <v>0</v>
      </c>
      <c r="AM15" s="17">
        <f t="shared" si="29"/>
        <v>0</v>
      </c>
      <c r="AN15" s="28">
        <f t="shared" si="6"/>
        <v>0</v>
      </c>
      <c r="AO15" s="17">
        <f t="shared" si="7"/>
        <v>0</v>
      </c>
      <c r="AP15" s="28">
        <f t="shared" si="8"/>
        <v>0</v>
      </c>
      <c r="AQ15" s="17">
        <f t="shared" si="9"/>
        <v>0</v>
      </c>
      <c r="AR15" s="28">
        <f t="shared" si="10"/>
        <v>0</v>
      </c>
      <c r="AS15" s="17">
        <f t="shared" si="25"/>
        <v>0</v>
      </c>
      <c r="AT15" s="28">
        <f t="shared" si="26"/>
        <v>0</v>
      </c>
      <c r="AU15" s="17">
        <f t="shared" si="27"/>
        <v>0</v>
      </c>
      <c r="AV15" s="28">
        <f t="shared" si="28"/>
        <v>0</v>
      </c>
      <c r="AW15" s="17">
        <f t="shared" si="11"/>
        <v>0</v>
      </c>
      <c r="AX15" s="28">
        <f t="shared" si="12"/>
        <v>0</v>
      </c>
      <c r="AY15" s="17">
        <f t="shared" si="13"/>
        <v>0</v>
      </c>
      <c r="AZ15" s="28">
        <f t="shared" si="14"/>
        <v>0</v>
      </c>
      <c r="BA15" s="27">
        <f t="shared" si="18"/>
        <v>0</v>
      </c>
      <c r="BB15" s="27">
        <f t="shared" si="19"/>
        <v>0</v>
      </c>
      <c r="BC15" s="27">
        <f t="shared" si="21"/>
        <v>0</v>
      </c>
      <c r="BD15" s="27">
        <f t="shared" si="22"/>
        <v>0</v>
      </c>
      <c r="BE15" s="27">
        <f t="shared" si="23"/>
        <v>0</v>
      </c>
      <c r="BF15" s="29">
        <f t="shared" si="24"/>
        <v>0</v>
      </c>
      <c r="BH15" s="30">
        <f t="shared" si="15"/>
        <v>0</v>
      </c>
      <c r="BM15" s="2">
        <f t="shared" si="16"/>
        <v>0</v>
      </c>
      <c r="BP15" s="2">
        <f t="shared" si="17"/>
        <v>0</v>
      </c>
    </row>
    <row r="16" spans="1:68" x14ac:dyDescent="0.25">
      <c r="A16" s="22" t="s">
        <v>50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13">
        <v>15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>
        <f t="shared" si="0"/>
        <v>15</v>
      </c>
      <c r="AE16" s="26" t="s">
        <v>42</v>
      </c>
      <c r="AF16" s="27">
        <v>2073</v>
      </c>
      <c r="AG16" s="17">
        <f t="shared" si="1"/>
        <v>0</v>
      </c>
      <c r="AH16" s="28">
        <f t="shared" si="2"/>
        <v>0</v>
      </c>
      <c r="AI16" s="17">
        <f t="shared" si="3"/>
        <v>0</v>
      </c>
      <c r="AJ16" s="28">
        <f t="shared" si="4"/>
        <v>0</v>
      </c>
      <c r="AK16" s="17">
        <f t="shared" si="20"/>
        <v>15</v>
      </c>
      <c r="AL16" s="28">
        <f t="shared" si="5"/>
        <v>31095</v>
      </c>
      <c r="AM16" s="17">
        <f t="shared" si="29"/>
        <v>0</v>
      </c>
      <c r="AN16" s="28">
        <f t="shared" si="6"/>
        <v>0</v>
      </c>
      <c r="AO16" s="17">
        <f t="shared" si="7"/>
        <v>0</v>
      </c>
      <c r="AP16" s="28">
        <f t="shared" si="8"/>
        <v>0</v>
      </c>
      <c r="AQ16" s="17">
        <f t="shared" si="9"/>
        <v>0</v>
      </c>
      <c r="AR16" s="28">
        <f t="shared" si="10"/>
        <v>0</v>
      </c>
      <c r="AS16" s="17">
        <f t="shared" si="25"/>
        <v>0</v>
      </c>
      <c r="AT16" s="28">
        <f t="shared" si="26"/>
        <v>0</v>
      </c>
      <c r="AU16" s="17">
        <f t="shared" si="27"/>
        <v>0</v>
      </c>
      <c r="AV16" s="28">
        <f t="shared" si="28"/>
        <v>0</v>
      </c>
      <c r="AW16" s="17">
        <f t="shared" si="11"/>
        <v>0</v>
      </c>
      <c r="AX16" s="28">
        <f t="shared" si="12"/>
        <v>0</v>
      </c>
      <c r="AY16" s="17">
        <f t="shared" si="13"/>
        <v>0</v>
      </c>
      <c r="AZ16" s="28">
        <f t="shared" si="14"/>
        <v>0</v>
      </c>
      <c r="BA16" s="27">
        <f t="shared" si="18"/>
        <v>0</v>
      </c>
      <c r="BB16" s="27">
        <f t="shared" si="19"/>
        <v>31095</v>
      </c>
      <c r="BC16" s="27">
        <f t="shared" si="21"/>
        <v>0</v>
      </c>
      <c r="BD16" s="27">
        <f t="shared" si="22"/>
        <v>0</v>
      </c>
      <c r="BE16" s="27">
        <f t="shared" si="23"/>
        <v>0</v>
      </c>
      <c r="BF16" s="29">
        <f t="shared" si="24"/>
        <v>31095</v>
      </c>
      <c r="BH16" s="30">
        <f t="shared" si="15"/>
        <v>15</v>
      </c>
      <c r="BM16" s="2">
        <f t="shared" si="16"/>
        <v>15</v>
      </c>
      <c r="BP16" s="2">
        <f t="shared" si="17"/>
        <v>15</v>
      </c>
    </row>
    <row r="17" spans="1:68" ht="14.45" hidden="1" customHeight="1" x14ac:dyDescent="0.25">
      <c r="A17" s="22" t="s">
        <v>51</v>
      </c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13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>
        <f t="shared" si="0"/>
        <v>0</v>
      </c>
      <c r="AE17" s="26" t="s">
        <v>42</v>
      </c>
      <c r="AF17" s="27"/>
      <c r="AG17" s="17">
        <f t="shared" si="1"/>
        <v>0</v>
      </c>
      <c r="AH17" s="28">
        <f t="shared" si="2"/>
        <v>0</v>
      </c>
      <c r="AI17" s="17">
        <f t="shared" si="3"/>
        <v>0</v>
      </c>
      <c r="AJ17" s="28">
        <f t="shared" si="4"/>
        <v>0</v>
      </c>
      <c r="AK17" s="17">
        <f t="shared" si="20"/>
        <v>0</v>
      </c>
      <c r="AL17" s="28">
        <f t="shared" si="5"/>
        <v>0</v>
      </c>
      <c r="AM17" s="17">
        <f t="shared" si="29"/>
        <v>0</v>
      </c>
      <c r="AN17" s="28">
        <f t="shared" si="6"/>
        <v>0</v>
      </c>
      <c r="AO17" s="17">
        <f t="shared" si="7"/>
        <v>0</v>
      </c>
      <c r="AP17" s="28">
        <f t="shared" si="8"/>
        <v>0</v>
      </c>
      <c r="AQ17" s="17">
        <f t="shared" si="9"/>
        <v>0</v>
      </c>
      <c r="AR17" s="28">
        <f t="shared" si="10"/>
        <v>0</v>
      </c>
      <c r="AS17" s="17">
        <f t="shared" si="25"/>
        <v>0</v>
      </c>
      <c r="AT17" s="28">
        <f t="shared" si="26"/>
        <v>0</v>
      </c>
      <c r="AU17" s="17">
        <f t="shared" si="27"/>
        <v>0</v>
      </c>
      <c r="AV17" s="28">
        <f t="shared" si="28"/>
        <v>0</v>
      </c>
      <c r="AW17" s="17">
        <f t="shared" si="11"/>
        <v>0</v>
      </c>
      <c r="AX17" s="28">
        <f t="shared" si="12"/>
        <v>0</v>
      </c>
      <c r="AY17" s="17">
        <f t="shared" si="13"/>
        <v>0</v>
      </c>
      <c r="AZ17" s="28">
        <f t="shared" si="14"/>
        <v>0</v>
      </c>
      <c r="BA17" s="27">
        <f t="shared" si="18"/>
        <v>0</v>
      </c>
      <c r="BB17" s="27">
        <f t="shared" si="19"/>
        <v>0</v>
      </c>
      <c r="BC17" s="27">
        <f t="shared" si="21"/>
        <v>0</v>
      </c>
      <c r="BD17" s="27">
        <f t="shared" si="22"/>
        <v>0</v>
      </c>
      <c r="BE17" s="27">
        <f t="shared" si="23"/>
        <v>0</v>
      </c>
      <c r="BF17" s="29">
        <f t="shared" si="24"/>
        <v>0</v>
      </c>
      <c r="BH17" s="30">
        <f t="shared" si="15"/>
        <v>0</v>
      </c>
      <c r="BM17" s="2">
        <f t="shared" si="16"/>
        <v>0</v>
      </c>
      <c r="BP17" s="2">
        <f t="shared" si="17"/>
        <v>0</v>
      </c>
    </row>
    <row r="18" spans="1:68" ht="14.45" hidden="1" customHeight="1" x14ac:dyDescent="0.25">
      <c r="A18" s="22" t="s">
        <v>52</v>
      </c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13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>
        <f t="shared" si="0"/>
        <v>0</v>
      </c>
      <c r="AE18" s="26" t="s">
        <v>42</v>
      </c>
      <c r="AF18" s="27"/>
      <c r="AG18" s="17">
        <f t="shared" si="1"/>
        <v>0</v>
      </c>
      <c r="AH18" s="28">
        <f t="shared" si="2"/>
        <v>0</v>
      </c>
      <c r="AI18" s="17">
        <f t="shared" si="3"/>
        <v>0</v>
      </c>
      <c r="AJ18" s="28">
        <f t="shared" si="4"/>
        <v>0</v>
      </c>
      <c r="AK18" s="17">
        <f t="shared" si="20"/>
        <v>0</v>
      </c>
      <c r="AL18" s="28">
        <f t="shared" si="5"/>
        <v>0</v>
      </c>
      <c r="AM18" s="17">
        <f t="shared" si="29"/>
        <v>0</v>
      </c>
      <c r="AN18" s="28">
        <f t="shared" si="6"/>
        <v>0</v>
      </c>
      <c r="AO18" s="17">
        <f t="shared" si="7"/>
        <v>0</v>
      </c>
      <c r="AP18" s="28">
        <f t="shared" si="8"/>
        <v>0</v>
      </c>
      <c r="AQ18" s="17">
        <f t="shared" si="9"/>
        <v>0</v>
      </c>
      <c r="AR18" s="28">
        <f t="shared" si="10"/>
        <v>0</v>
      </c>
      <c r="AS18" s="17">
        <f t="shared" si="25"/>
        <v>0</v>
      </c>
      <c r="AT18" s="28">
        <f t="shared" si="26"/>
        <v>0</v>
      </c>
      <c r="AU18" s="17">
        <f t="shared" si="27"/>
        <v>0</v>
      </c>
      <c r="AV18" s="28">
        <f t="shared" si="28"/>
        <v>0</v>
      </c>
      <c r="AW18" s="17">
        <f t="shared" si="11"/>
        <v>0</v>
      </c>
      <c r="AX18" s="28">
        <f t="shared" si="12"/>
        <v>0</v>
      </c>
      <c r="AY18" s="17">
        <f t="shared" si="13"/>
        <v>0</v>
      </c>
      <c r="AZ18" s="28">
        <f t="shared" si="14"/>
        <v>0</v>
      </c>
      <c r="BA18" s="27">
        <f t="shared" si="18"/>
        <v>0</v>
      </c>
      <c r="BB18" s="27">
        <f t="shared" si="19"/>
        <v>0</v>
      </c>
      <c r="BC18" s="27">
        <f t="shared" si="21"/>
        <v>0</v>
      </c>
      <c r="BD18" s="27">
        <f t="shared" si="22"/>
        <v>0</v>
      </c>
      <c r="BE18" s="27">
        <f t="shared" si="23"/>
        <v>0</v>
      </c>
      <c r="BF18" s="29">
        <f t="shared" si="24"/>
        <v>0</v>
      </c>
      <c r="BH18" s="30">
        <f t="shared" si="15"/>
        <v>0</v>
      </c>
      <c r="BM18" s="2">
        <f t="shared" si="16"/>
        <v>0</v>
      </c>
      <c r="BP18" s="2">
        <f t="shared" si="17"/>
        <v>0</v>
      </c>
    </row>
    <row r="19" spans="1:68" ht="14.45" hidden="1" customHeight="1" x14ac:dyDescent="0.25">
      <c r="A19" s="22" t="s">
        <v>53</v>
      </c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13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>
        <f t="shared" si="0"/>
        <v>0</v>
      </c>
      <c r="AE19" s="26" t="s">
        <v>42</v>
      </c>
      <c r="AF19" s="27"/>
      <c r="AG19" s="17">
        <f t="shared" si="1"/>
        <v>0</v>
      </c>
      <c r="AH19" s="28">
        <f t="shared" si="2"/>
        <v>0</v>
      </c>
      <c r="AI19" s="17">
        <f t="shared" si="3"/>
        <v>0</v>
      </c>
      <c r="AJ19" s="28">
        <f t="shared" si="4"/>
        <v>0</v>
      </c>
      <c r="AK19" s="17">
        <f t="shared" si="20"/>
        <v>0</v>
      </c>
      <c r="AL19" s="28">
        <f t="shared" si="5"/>
        <v>0</v>
      </c>
      <c r="AM19" s="17">
        <f t="shared" si="29"/>
        <v>0</v>
      </c>
      <c r="AN19" s="28">
        <f t="shared" si="6"/>
        <v>0</v>
      </c>
      <c r="AO19" s="17">
        <f t="shared" si="7"/>
        <v>0</v>
      </c>
      <c r="AP19" s="28">
        <f t="shared" si="8"/>
        <v>0</v>
      </c>
      <c r="AQ19" s="17">
        <f t="shared" si="9"/>
        <v>0</v>
      </c>
      <c r="AR19" s="28">
        <f t="shared" si="10"/>
        <v>0</v>
      </c>
      <c r="AS19" s="17">
        <f t="shared" si="25"/>
        <v>0</v>
      </c>
      <c r="AT19" s="28">
        <f t="shared" si="26"/>
        <v>0</v>
      </c>
      <c r="AU19" s="17">
        <f t="shared" si="27"/>
        <v>0</v>
      </c>
      <c r="AV19" s="28">
        <f t="shared" si="28"/>
        <v>0</v>
      </c>
      <c r="AW19" s="17">
        <f t="shared" si="11"/>
        <v>0</v>
      </c>
      <c r="AX19" s="28">
        <f t="shared" si="12"/>
        <v>0</v>
      </c>
      <c r="AY19" s="17">
        <f t="shared" si="13"/>
        <v>0</v>
      </c>
      <c r="AZ19" s="28">
        <f t="shared" si="14"/>
        <v>0</v>
      </c>
      <c r="BA19" s="27">
        <f t="shared" si="18"/>
        <v>0</v>
      </c>
      <c r="BB19" s="27">
        <f t="shared" si="19"/>
        <v>0</v>
      </c>
      <c r="BC19" s="27">
        <f t="shared" si="21"/>
        <v>0</v>
      </c>
      <c r="BD19" s="27">
        <f t="shared" si="22"/>
        <v>0</v>
      </c>
      <c r="BE19" s="27">
        <f t="shared" si="23"/>
        <v>0</v>
      </c>
      <c r="BF19" s="29">
        <f t="shared" si="24"/>
        <v>0</v>
      </c>
      <c r="BH19" s="30">
        <f t="shared" si="15"/>
        <v>0</v>
      </c>
      <c r="BM19" s="2">
        <f t="shared" si="16"/>
        <v>0</v>
      </c>
      <c r="BP19" s="2">
        <f t="shared" si="17"/>
        <v>0</v>
      </c>
    </row>
    <row r="20" spans="1:68" ht="14.45" hidden="1" customHeight="1" x14ac:dyDescent="0.25">
      <c r="A20" s="22" t="s">
        <v>54</v>
      </c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13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>
        <f t="shared" si="0"/>
        <v>0</v>
      </c>
      <c r="AE20" s="26" t="s">
        <v>42</v>
      </c>
      <c r="AF20" s="27"/>
      <c r="AG20" s="17">
        <f t="shared" si="1"/>
        <v>0</v>
      </c>
      <c r="AH20" s="28">
        <f t="shared" si="2"/>
        <v>0</v>
      </c>
      <c r="AI20" s="17">
        <f t="shared" si="3"/>
        <v>0</v>
      </c>
      <c r="AJ20" s="28">
        <f t="shared" si="4"/>
        <v>0</v>
      </c>
      <c r="AK20" s="17">
        <f t="shared" si="20"/>
        <v>0</v>
      </c>
      <c r="AL20" s="28">
        <f t="shared" si="5"/>
        <v>0</v>
      </c>
      <c r="AM20" s="17">
        <f t="shared" si="29"/>
        <v>0</v>
      </c>
      <c r="AN20" s="28">
        <f t="shared" si="6"/>
        <v>0</v>
      </c>
      <c r="AO20" s="17">
        <f t="shared" si="7"/>
        <v>0</v>
      </c>
      <c r="AP20" s="28">
        <f t="shared" si="8"/>
        <v>0</v>
      </c>
      <c r="AQ20" s="17">
        <f t="shared" si="9"/>
        <v>0</v>
      </c>
      <c r="AR20" s="28">
        <f t="shared" si="10"/>
        <v>0</v>
      </c>
      <c r="AS20" s="17">
        <f t="shared" si="25"/>
        <v>0</v>
      </c>
      <c r="AT20" s="28">
        <f t="shared" si="26"/>
        <v>0</v>
      </c>
      <c r="AU20" s="17">
        <f t="shared" si="27"/>
        <v>0</v>
      </c>
      <c r="AV20" s="28">
        <f t="shared" si="28"/>
        <v>0</v>
      </c>
      <c r="AW20" s="17">
        <f t="shared" si="11"/>
        <v>0</v>
      </c>
      <c r="AX20" s="28">
        <f t="shared" si="12"/>
        <v>0</v>
      </c>
      <c r="AY20" s="17">
        <f t="shared" si="13"/>
        <v>0</v>
      </c>
      <c r="AZ20" s="28">
        <f t="shared" si="14"/>
        <v>0</v>
      </c>
      <c r="BA20" s="27">
        <f t="shared" si="18"/>
        <v>0</v>
      </c>
      <c r="BB20" s="27">
        <f t="shared" si="19"/>
        <v>0</v>
      </c>
      <c r="BC20" s="27">
        <f t="shared" si="21"/>
        <v>0</v>
      </c>
      <c r="BD20" s="27">
        <f t="shared" si="22"/>
        <v>0</v>
      </c>
      <c r="BE20" s="27">
        <f t="shared" si="23"/>
        <v>0</v>
      </c>
      <c r="BF20" s="29">
        <f t="shared" si="24"/>
        <v>0</v>
      </c>
      <c r="BH20" s="30">
        <f t="shared" si="15"/>
        <v>0</v>
      </c>
      <c r="BM20" s="2">
        <f t="shared" si="16"/>
        <v>0</v>
      </c>
      <c r="BP20" s="2">
        <f t="shared" si="17"/>
        <v>0</v>
      </c>
    </row>
    <row r="21" spans="1:68" ht="14.45" hidden="1" customHeight="1" x14ac:dyDescent="0.25">
      <c r="A21" s="22" t="s">
        <v>55</v>
      </c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13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>
        <f t="shared" si="0"/>
        <v>0</v>
      </c>
      <c r="AE21" s="26" t="s">
        <v>42</v>
      </c>
      <c r="AF21" s="27"/>
      <c r="AG21" s="17">
        <f t="shared" si="1"/>
        <v>0</v>
      </c>
      <c r="AH21" s="28">
        <f t="shared" si="2"/>
        <v>0</v>
      </c>
      <c r="AI21" s="17">
        <f t="shared" si="3"/>
        <v>0</v>
      </c>
      <c r="AJ21" s="28">
        <f t="shared" si="4"/>
        <v>0</v>
      </c>
      <c r="AK21" s="17">
        <f t="shared" si="20"/>
        <v>0</v>
      </c>
      <c r="AL21" s="28">
        <f t="shared" si="5"/>
        <v>0</v>
      </c>
      <c r="AM21" s="17">
        <f t="shared" si="29"/>
        <v>0</v>
      </c>
      <c r="AN21" s="28">
        <f t="shared" si="6"/>
        <v>0</v>
      </c>
      <c r="AO21" s="17">
        <f t="shared" si="7"/>
        <v>0</v>
      </c>
      <c r="AP21" s="28">
        <f t="shared" si="8"/>
        <v>0</v>
      </c>
      <c r="AQ21" s="17">
        <f t="shared" si="9"/>
        <v>0</v>
      </c>
      <c r="AR21" s="28">
        <f t="shared" si="10"/>
        <v>0</v>
      </c>
      <c r="AS21" s="17">
        <f t="shared" si="25"/>
        <v>0</v>
      </c>
      <c r="AT21" s="28">
        <f t="shared" si="26"/>
        <v>0</v>
      </c>
      <c r="AU21" s="17">
        <f t="shared" si="27"/>
        <v>0</v>
      </c>
      <c r="AV21" s="28">
        <f t="shared" si="28"/>
        <v>0</v>
      </c>
      <c r="AW21" s="17">
        <f t="shared" si="11"/>
        <v>0</v>
      </c>
      <c r="AX21" s="28">
        <f t="shared" si="12"/>
        <v>0</v>
      </c>
      <c r="AY21" s="17">
        <f t="shared" si="13"/>
        <v>0</v>
      </c>
      <c r="AZ21" s="28">
        <f t="shared" si="14"/>
        <v>0</v>
      </c>
      <c r="BA21" s="27">
        <f t="shared" si="18"/>
        <v>0</v>
      </c>
      <c r="BB21" s="27">
        <f t="shared" si="19"/>
        <v>0</v>
      </c>
      <c r="BC21" s="27">
        <f t="shared" si="21"/>
        <v>0</v>
      </c>
      <c r="BD21" s="27">
        <f t="shared" si="22"/>
        <v>0</v>
      </c>
      <c r="BE21" s="27">
        <f t="shared" si="23"/>
        <v>0</v>
      </c>
      <c r="BF21" s="29">
        <f t="shared" si="24"/>
        <v>0</v>
      </c>
      <c r="BH21" s="30">
        <f t="shared" si="15"/>
        <v>0</v>
      </c>
      <c r="BM21" s="2">
        <f t="shared" si="16"/>
        <v>0</v>
      </c>
      <c r="BP21" s="2">
        <f t="shared" si="17"/>
        <v>0</v>
      </c>
    </row>
    <row r="22" spans="1:68" ht="14.45" hidden="1" customHeight="1" x14ac:dyDescent="0.25">
      <c r="A22" s="22" t="s">
        <v>56</v>
      </c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5"/>
      <c r="AD22" s="25">
        <f t="shared" si="0"/>
        <v>0</v>
      </c>
      <c r="AE22" s="26" t="s">
        <v>42</v>
      </c>
      <c r="AF22" s="27"/>
      <c r="AG22" s="17">
        <f t="shared" si="1"/>
        <v>0</v>
      </c>
      <c r="AH22" s="28">
        <f t="shared" si="2"/>
        <v>0</v>
      </c>
      <c r="AI22" s="17">
        <f t="shared" si="3"/>
        <v>0</v>
      </c>
      <c r="AJ22" s="28">
        <f t="shared" si="4"/>
        <v>0</v>
      </c>
      <c r="AK22" s="17">
        <f t="shared" si="20"/>
        <v>0</v>
      </c>
      <c r="AL22" s="28">
        <f t="shared" si="5"/>
        <v>0</v>
      </c>
      <c r="AM22" s="17">
        <f t="shared" si="29"/>
        <v>0</v>
      </c>
      <c r="AN22" s="28">
        <f t="shared" si="6"/>
        <v>0</v>
      </c>
      <c r="AO22" s="17">
        <f t="shared" si="7"/>
        <v>0</v>
      </c>
      <c r="AP22" s="28">
        <f t="shared" si="8"/>
        <v>0</v>
      </c>
      <c r="AQ22" s="17">
        <f t="shared" si="9"/>
        <v>0</v>
      </c>
      <c r="AR22" s="28">
        <f t="shared" si="10"/>
        <v>0</v>
      </c>
      <c r="AS22" s="17">
        <f t="shared" si="25"/>
        <v>0</v>
      </c>
      <c r="AT22" s="28">
        <f t="shared" si="26"/>
        <v>0</v>
      </c>
      <c r="AU22" s="17">
        <f t="shared" si="27"/>
        <v>0</v>
      </c>
      <c r="AV22" s="28">
        <f t="shared" si="28"/>
        <v>0</v>
      </c>
      <c r="AW22" s="17">
        <f t="shared" si="11"/>
        <v>0</v>
      </c>
      <c r="AX22" s="28">
        <f t="shared" si="12"/>
        <v>0</v>
      </c>
      <c r="AY22" s="17">
        <f t="shared" si="13"/>
        <v>0</v>
      </c>
      <c r="AZ22" s="28">
        <f t="shared" si="14"/>
        <v>0</v>
      </c>
      <c r="BA22" s="27">
        <f t="shared" si="18"/>
        <v>0</v>
      </c>
      <c r="BB22" s="27">
        <f t="shared" si="19"/>
        <v>0</v>
      </c>
      <c r="BC22" s="27">
        <f t="shared" si="21"/>
        <v>0</v>
      </c>
      <c r="BD22" s="27">
        <f t="shared" si="22"/>
        <v>0</v>
      </c>
      <c r="BE22" s="27">
        <f t="shared" si="23"/>
        <v>0</v>
      </c>
      <c r="BF22" s="29">
        <f t="shared" si="24"/>
        <v>0</v>
      </c>
      <c r="BH22" s="30">
        <f t="shared" si="15"/>
        <v>0</v>
      </c>
      <c r="BM22" s="2">
        <f t="shared" si="16"/>
        <v>0</v>
      </c>
      <c r="BP22" s="2">
        <f t="shared" si="17"/>
        <v>0</v>
      </c>
    </row>
    <row r="23" spans="1:68" ht="14.45" hidden="1" customHeight="1" x14ac:dyDescent="0.25">
      <c r="A23" s="22" t="s">
        <v>57</v>
      </c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13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5"/>
      <c r="AD23" s="25">
        <f t="shared" si="0"/>
        <v>0</v>
      </c>
      <c r="AE23" s="26" t="s">
        <v>42</v>
      </c>
      <c r="AF23" s="27"/>
      <c r="AG23" s="17">
        <f t="shared" si="1"/>
        <v>0</v>
      </c>
      <c r="AH23" s="28">
        <f t="shared" si="2"/>
        <v>0</v>
      </c>
      <c r="AI23" s="17">
        <f t="shared" si="3"/>
        <v>0</v>
      </c>
      <c r="AJ23" s="28">
        <f t="shared" si="4"/>
        <v>0</v>
      </c>
      <c r="AK23" s="17">
        <f t="shared" si="20"/>
        <v>0</v>
      </c>
      <c r="AL23" s="28">
        <f t="shared" si="5"/>
        <v>0</v>
      </c>
      <c r="AM23" s="17">
        <f t="shared" si="29"/>
        <v>0</v>
      </c>
      <c r="AN23" s="28">
        <f t="shared" si="6"/>
        <v>0</v>
      </c>
      <c r="AO23" s="17">
        <f t="shared" si="7"/>
        <v>0</v>
      </c>
      <c r="AP23" s="28">
        <f t="shared" si="8"/>
        <v>0</v>
      </c>
      <c r="AQ23" s="17">
        <f t="shared" si="9"/>
        <v>0</v>
      </c>
      <c r="AR23" s="28">
        <f t="shared" si="10"/>
        <v>0</v>
      </c>
      <c r="AS23" s="17">
        <f t="shared" si="25"/>
        <v>0</v>
      </c>
      <c r="AT23" s="28">
        <f t="shared" si="26"/>
        <v>0</v>
      </c>
      <c r="AU23" s="17">
        <f t="shared" si="27"/>
        <v>0</v>
      </c>
      <c r="AV23" s="28">
        <f t="shared" si="28"/>
        <v>0</v>
      </c>
      <c r="AW23" s="17">
        <f t="shared" si="11"/>
        <v>0</v>
      </c>
      <c r="AX23" s="28">
        <f t="shared" si="12"/>
        <v>0</v>
      </c>
      <c r="AY23" s="17">
        <f t="shared" si="13"/>
        <v>0</v>
      </c>
      <c r="AZ23" s="28">
        <f t="shared" si="14"/>
        <v>0</v>
      </c>
      <c r="BA23" s="27">
        <f t="shared" si="18"/>
        <v>0</v>
      </c>
      <c r="BB23" s="27">
        <f t="shared" si="19"/>
        <v>0</v>
      </c>
      <c r="BC23" s="27">
        <f t="shared" si="21"/>
        <v>0</v>
      </c>
      <c r="BD23" s="27">
        <f t="shared" si="22"/>
        <v>0</v>
      </c>
      <c r="BE23" s="27">
        <f t="shared" si="23"/>
        <v>0</v>
      </c>
      <c r="BF23" s="29">
        <f t="shared" si="24"/>
        <v>0</v>
      </c>
      <c r="BH23" s="30">
        <f t="shared" si="15"/>
        <v>0</v>
      </c>
      <c r="BM23" s="2">
        <f t="shared" si="16"/>
        <v>0</v>
      </c>
      <c r="BP23" s="2">
        <f t="shared" si="17"/>
        <v>0</v>
      </c>
    </row>
    <row r="24" spans="1:68" ht="14.45" hidden="1" customHeight="1" x14ac:dyDescent="0.25">
      <c r="A24" s="22" t="s">
        <v>58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13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5"/>
      <c r="AD24" s="25">
        <f t="shared" si="0"/>
        <v>0</v>
      </c>
      <c r="AE24" s="26" t="s">
        <v>42</v>
      </c>
      <c r="AF24" s="27"/>
      <c r="AG24" s="17">
        <f t="shared" si="1"/>
        <v>0</v>
      </c>
      <c r="AH24" s="28">
        <f t="shared" si="2"/>
        <v>0</v>
      </c>
      <c r="AI24" s="17">
        <f t="shared" si="3"/>
        <v>0</v>
      </c>
      <c r="AJ24" s="28">
        <f t="shared" si="4"/>
        <v>0</v>
      </c>
      <c r="AK24" s="17">
        <f t="shared" si="20"/>
        <v>0</v>
      </c>
      <c r="AL24" s="28">
        <f t="shared" si="5"/>
        <v>0</v>
      </c>
      <c r="AM24" s="17">
        <f t="shared" si="29"/>
        <v>0</v>
      </c>
      <c r="AN24" s="28">
        <f t="shared" si="6"/>
        <v>0</v>
      </c>
      <c r="AO24" s="17">
        <f t="shared" si="7"/>
        <v>0</v>
      </c>
      <c r="AP24" s="28">
        <f t="shared" si="8"/>
        <v>0</v>
      </c>
      <c r="AQ24" s="17">
        <f t="shared" si="9"/>
        <v>0</v>
      </c>
      <c r="AR24" s="28">
        <f t="shared" si="10"/>
        <v>0</v>
      </c>
      <c r="AS24" s="17">
        <f t="shared" si="25"/>
        <v>0</v>
      </c>
      <c r="AT24" s="28">
        <f t="shared" si="26"/>
        <v>0</v>
      </c>
      <c r="AU24" s="17">
        <f t="shared" si="27"/>
        <v>0</v>
      </c>
      <c r="AV24" s="28">
        <f t="shared" si="28"/>
        <v>0</v>
      </c>
      <c r="AW24" s="17">
        <f t="shared" si="11"/>
        <v>0</v>
      </c>
      <c r="AX24" s="28">
        <f t="shared" si="12"/>
        <v>0</v>
      </c>
      <c r="AY24" s="17">
        <f t="shared" si="13"/>
        <v>0</v>
      </c>
      <c r="AZ24" s="28">
        <f t="shared" si="14"/>
        <v>0</v>
      </c>
      <c r="BA24" s="27">
        <f t="shared" si="18"/>
        <v>0</v>
      </c>
      <c r="BB24" s="27">
        <f t="shared" si="19"/>
        <v>0</v>
      </c>
      <c r="BC24" s="27">
        <f t="shared" si="21"/>
        <v>0</v>
      </c>
      <c r="BD24" s="27">
        <f t="shared" si="22"/>
        <v>0</v>
      </c>
      <c r="BE24" s="27">
        <f t="shared" si="23"/>
        <v>0</v>
      </c>
      <c r="BF24" s="29">
        <f t="shared" si="24"/>
        <v>0</v>
      </c>
      <c r="BH24" s="30">
        <f t="shared" si="15"/>
        <v>0</v>
      </c>
      <c r="BM24" s="2">
        <f t="shared" si="16"/>
        <v>0</v>
      </c>
      <c r="BP24" s="2">
        <f t="shared" si="17"/>
        <v>0</v>
      </c>
    </row>
    <row r="25" spans="1:68" ht="14.45" hidden="1" customHeight="1" x14ac:dyDescent="0.25">
      <c r="A25" s="22" t="s">
        <v>59</v>
      </c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13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5"/>
      <c r="AD25" s="25">
        <f t="shared" si="0"/>
        <v>0</v>
      </c>
      <c r="AE25" s="26" t="s">
        <v>42</v>
      </c>
      <c r="AF25" s="27"/>
      <c r="AG25" s="17">
        <f t="shared" si="1"/>
        <v>0</v>
      </c>
      <c r="AH25" s="28">
        <f t="shared" si="2"/>
        <v>0</v>
      </c>
      <c r="AI25" s="17">
        <f t="shared" si="3"/>
        <v>0</v>
      </c>
      <c r="AJ25" s="28">
        <f t="shared" si="4"/>
        <v>0</v>
      </c>
      <c r="AK25" s="17">
        <f t="shared" si="20"/>
        <v>0</v>
      </c>
      <c r="AL25" s="28">
        <f t="shared" si="5"/>
        <v>0</v>
      </c>
      <c r="AM25" s="17">
        <f t="shared" si="29"/>
        <v>0</v>
      </c>
      <c r="AN25" s="28">
        <f t="shared" si="6"/>
        <v>0</v>
      </c>
      <c r="AO25" s="17">
        <f t="shared" si="7"/>
        <v>0</v>
      </c>
      <c r="AP25" s="28">
        <f t="shared" si="8"/>
        <v>0</v>
      </c>
      <c r="AQ25" s="17">
        <f t="shared" si="9"/>
        <v>0</v>
      </c>
      <c r="AR25" s="28">
        <f t="shared" si="10"/>
        <v>0</v>
      </c>
      <c r="AS25" s="17">
        <f t="shared" si="25"/>
        <v>0</v>
      </c>
      <c r="AT25" s="28">
        <f t="shared" si="26"/>
        <v>0</v>
      </c>
      <c r="AU25" s="17">
        <f t="shared" si="27"/>
        <v>0</v>
      </c>
      <c r="AV25" s="28">
        <f t="shared" si="28"/>
        <v>0</v>
      </c>
      <c r="AW25" s="17">
        <f t="shared" si="11"/>
        <v>0</v>
      </c>
      <c r="AX25" s="28">
        <f t="shared" si="12"/>
        <v>0</v>
      </c>
      <c r="AY25" s="17">
        <f t="shared" si="13"/>
        <v>0</v>
      </c>
      <c r="AZ25" s="28">
        <f t="shared" si="14"/>
        <v>0</v>
      </c>
      <c r="BA25" s="27">
        <f t="shared" si="18"/>
        <v>0</v>
      </c>
      <c r="BB25" s="27">
        <f t="shared" si="19"/>
        <v>0</v>
      </c>
      <c r="BC25" s="27">
        <f t="shared" si="21"/>
        <v>0</v>
      </c>
      <c r="BD25" s="27">
        <f t="shared" si="22"/>
        <v>0</v>
      </c>
      <c r="BE25" s="27">
        <f t="shared" si="23"/>
        <v>0</v>
      </c>
      <c r="BF25" s="29">
        <f t="shared" si="24"/>
        <v>0</v>
      </c>
      <c r="BH25" s="30">
        <f t="shared" si="15"/>
        <v>0</v>
      </c>
      <c r="BM25" s="2">
        <f t="shared" si="16"/>
        <v>0</v>
      </c>
      <c r="BP25" s="2">
        <f t="shared" si="17"/>
        <v>0</v>
      </c>
    </row>
    <row r="26" spans="1:68" ht="14.45" hidden="1" customHeight="1" x14ac:dyDescent="0.25">
      <c r="A26" s="22" t="s">
        <v>60</v>
      </c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13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5"/>
      <c r="AD26" s="25">
        <f t="shared" si="0"/>
        <v>0</v>
      </c>
      <c r="AE26" s="26" t="s">
        <v>42</v>
      </c>
      <c r="AF26" s="27"/>
      <c r="AG26" s="17">
        <f t="shared" si="1"/>
        <v>0</v>
      </c>
      <c r="AH26" s="28">
        <f t="shared" si="2"/>
        <v>0</v>
      </c>
      <c r="AI26" s="17">
        <f t="shared" si="3"/>
        <v>0</v>
      </c>
      <c r="AJ26" s="28">
        <f t="shared" si="4"/>
        <v>0</v>
      </c>
      <c r="AK26" s="17">
        <f t="shared" si="20"/>
        <v>0</v>
      </c>
      <c r="AL26" s="28">
        <f t="shared" si="5"/>
        <v>0</v>
      </c>
      <c r="AM26" s="17">
        <f t="shared" si="29"/>
        <v>0</v>
      </c>
      <c r="AN26" s="28">
        <f t="shared" si="6"/>
        <v>0</v>
      </c>
      <c r="AO26" s="17">
        <f t="shared" si="7"/>
        <v>0</v>
      </c>
      <c r="AP26" s="28">
        <f t="shared" si="8"/>
        <v>0</v>
      </c>
      <c r="AQ26" s="17">
        <f t="shared" si="9"/>
        <v>0</v>
      </c>
      <c r="AR26" s="28">
        <f t="shared" si="10"/>
        <v>0</v>
      </c>
      <c r="AS26" s="17">
        <f t="shared" si="25"/>
        <v>0</v>
      </c>
      <c r="AT26" s="28">
        <f t="shared" si="26"/>
        <v>0</v>
      </c>
      <c r="AU26" s="17">
        <f t="shared" si="27"/>
        <v>0</v>
      </c>
      <c r="AV26" s="28">
        <f t="shared" si="28"/>
        <v>0</v>
      </c>
      <c r="AW26" s="17">
        <f t="shared" si="11"/>
        <v>0</v>
      </c>
      <c r="AX26" s="28">
        <f t="shared" si="12"/>
        <v>0</v>
      </c>
      <c r="AY26" s="17">
        <f t="shared" si="13"/>
        <v>0</v>
      </c>
      <c r="AZ26" s="28">
        <f t="shared" si="14"/>
        <v>0</v>
      </c>
      <c r="BA26" s="27">
        <f t="shared" si="18"/>
        <v>0</v>
      </c>
      <c r="BB26" s="27">
        <f t="shared" si="19"/>
        <v>0</v>
      </c>
      <c r="BC26" s="27">
        <f t="shared" si="21"/>
        <v>0</v>
      </c>
      <c r="BD26" s="27">
        <f t="shared" si="22"/>
        <v>0</v>
      </c>
      <c r="BE26" s="27">
        <f t="shared" si="23"/>
        <v>0</v>
      </c>
      <c r="BF26" s="29">
        <f t="shared" si="24"/>
        <v>0</v>
      </c>
      <c r="BH26" s="30">
        <f t="shared" si="15"/>
        <v>0</v>
      </c>
      <c r="BM26" s="2">
        <f t="shared" si="16"/>
        <v>0</v>
      </c>
      <c r="BP26" s="2">
        <f t="shared" si="17"/>
        <v>0</v>
      </c>
    </row>
    <row r="27" spans="1:68" x14ac:dyDescent="0.25">
      <c r="A27" s="33" t="s">
        <v>61</v>
      </c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13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5"/>
      <c r="AD27" s="25">
        <f t="shared" si="0"/>
        <v>0</v>
      </c>
      <c r="AE27" s="26" t="s">
        <v>42</v>
      </c>
      <c r="AF27" s="34">
        <v>4710</v>
      </c>
      <c r="AG27" s="17">
        <f t="shared" si="1"/>
        <v>0</v>
      </c>
      <c r="AH27" s="28">
        <f t="shared" si="2"/>
        <v>0</v>
      </c>
      <c r="AI27" s="17">
        <f t="shared" si="3"/>
        <v>0</v>
      </c>
      <c r="AJ27" s="28">
        <f t="shared" si="4"/>
        <v>0</v>
      </c>
      <c r="AK27" s="17">
        <f t="shared" si="20"/>
        <v>0</v>
      </c>
      <c r="AL27" s="28">
        <f t="shared" si="5"/>
        <v>0</v>
      </c>
      <c r="AM27" s="17">
        <f t="shared" si="29"/>
        <v>0</v>
      </c>
      <c r="AN27" s="28">
        <f t="shared" si="6"/>
        <v>0</v>
      </c>
      <c r="AO27" s="17">
        <f t="shared" si="7"/>
        <v>0</v>
      </c>
      <c r="AP27" s="28">
        <f t="shared" si="8"/>
        <v>0</v>
      </c>
      <c r="AQ27" s="17">
        <f t="shared" si="9"/>
        <v>0</v>
      </c>
      <c r="AR27" s="28">
        <f t="shared" si="10"/>
        <v>0</v>
      </c>
      <c r="AS27" s="17">
        <f t="shared" si="25"/>
        <v>0</v>
      </c>
      <c r="AT27" s="28">
        <f t="shared" si="26"/>
        <v>0</v>
      </c>
      <c r="AU27" s="17">
        <f t="shared" si="27"/>
        <v>0</v>
      </c>
      <c r="AV27" s="28">
        <f t="shared" si="28"/>
        <v>0</v>
      </c>
      <c r="AW27" s="17">
        <f t="shared" si="11"/>
        <v>0</v>
      </c>
      <c r="AX27" s="28">
        <f t="shared" si="12"/>
        <v>0</v>
      </c>
      <c r="AY27" s="17">
        <f t="shared" si="13"/>
        <v>0</v>
      </c>
      <c r="AZ27" s="28">
        <f t="shared" si="14"/>
        <v>0</v>
      </c>
      <c r="BA27" s="27">
        <f t="shared" si="18"/>
        <v>0</v>
      </c>
      <c r="BB27" s="27">
        <f t="shared" si="19"/>
        <v>0</v>
      </c>
      <c r="BC27" s="27">
        <f t="shared" si="21"/>
        <v>0</v>
      </c>
      <c r="BD27" s="27">
        <f t="shared" si="22"/>
        <v>0</v>
      </c>
      <c r="BE27" s="27">
        <f t="shared" si="23"/>
        <v>0</v>
      </c>
      <c r="BF27" s="29">
        <f t="shared" si="24"/>
        <v>0</v>
      </c>
      <c r="BH27" s="30">
        <f t="shared" si="15"/>
        <v>0</v>
      </c>
      <c r="BM27" s="2">
        <f t="shared" si="16"/>
        <v>0</v>
      </c>
      <c r="BP27" s="2">
        <f t="shared" si="17"/>
        <v>0</v>
      </c>
    </row>
    <row r="28" spans="1:68" ht="14.45" hidden="1" customHeight="1" x14ac:dyDescent="0.25">
      <c r="A28" s="33" t="s">
        <v>62</v>
      </c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13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5"/>
      <c r="AD28" s="25">
        <f t="shared" si="0"/>
        <v>0</v>
      </c>
      <c r="AE28" s="26" t="s">
        <v>42</v>
      </c>
      <c r="AF28" s="27"/>
      <c r="AG28" s="17">
        <f t="shared" si="1"/>
        <v>0</v>
      </c>
      <c r="AH28" s="28">
        <f t="shared" si="2"/>
        <v>0</v>
      </c>
      <c r="AI28" s="17">
        <f t="shared" si="3"/>
        <v>0</v>
      </c>
      <c r="AJ28" s="28">
        <f t="shared" si="4"/>
        <v>0</v>
      </c>
      <c r="AK28" s="17">
        <f t="shared" si="20"/>
        <v>0</v>
      </c>
      <c r="AL28" s="28">
        <f t="shared" si="5"/>
        <v>0</v>
      </c>
      <c r="AM28" s="17">
        <f t="shared" si="29"/>
        <v>0</v>
      </c>
      <c r="AN28" s="28">
        <f t="shared" si="6"/>
        <v>0</v>
      </c>
      <c r="AO28" s="17">
        <f t="shared" si="7"/>
        <v>0</v>
      </c>
      <c r="AP28" s="28">
        <f t="shared" si="8"/>
        <v>0</v>
      </c>
      <c r="AQ28" s="17">
        <f t="shared" si="9"/>
        <v>0</v>
      </c>
      <c r="AR28" s="28">
        <f t="shared" si="10"/>
        <v>0</v>
      </c>
      <c r="AS28" s="17">
        <f t="shared" si="25"/>
        <v>0</v>
      </c>
      <c r="AT28" s="28">
        <f t="shared" si="26"/>
        <v>0</v>
      </c>
      <c r="AU28" s="17">
        <f t="shared" si="27"/>
        <v>0</v>
      </c>
      <c r="AV28" s="28">
        <f t="shared" si="28"/>
        <v>0</v>
      </c>
      <c r="AW28" s="17">
        <f t="shared" si="11"/>
        <v>0</v>
      </c>
      <c r="AX28" s="28">
        <f t="shared" si="12"/>
        <v>0</v>
      </c>
      <c r="AY28" s="17">
        <f t="shared" si="13"/>
        <v>0</v>
      </c>
      <c r="AZ28" s="28">
        <f t="shared" si="14"/>
        <v>0</v>
      </c>
      <c r="BA28" s="27">
        <f t="shared" si="18"/>
        <v>0</v>
      </c>
      <c r="BB28" s="27">
        <f t="shared" si="19"/>
        <v>0</v>
      </c>
      <c r="BC28" s="27">
        <f t="shared" si="21"/>
        <v>0</v>
      </c>
      <c r="BD28" s="27">
        <f t="shared" si="22"/>
        <v>0</v>
      </c>
      <c r="BE28" s="27">
        <f t="shared" si="23"/>
        <v>0</v>
      </c>
      <c r="BF28" s="29">
        <f t="shared" si="24"/>
        <v>0</v>
      </c>
      <c r="BH28" s="30">
        <f t="shared" si="15"/>
        <v>0</v>
      </c>
      <c r="BM28" s="2">
        <f t="shared" si="16"/>
        <v>0</v>
      </c>
      <c r="BP28" s="2">
        <f t="shared" si="17"/>
        <v>0</v>
      </c>
    </row>
    <row r="29" spans="1:68" ht="14.45" hidden="1" customHeight="1" x14ac:dyDescent="0.25">
      <c r="A29" s="33" t="s">
        <v>63</v>
      </c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3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5"/>
      <c r="AD29" s="25">
        <f t="shared" si="0"/>
        <v>0</v>
      </c>
      <c r="AE29" s="26" t="s">
        <v>42</v>
      </c>
      <c r="AF29" s="35"/>
      <c r="AG29" s="17">
        <f t="shared" si="1"/>
        <v>0</v>
      </c>
      <c r="AH29" s="28">
        <f t="shared" si="2"/>
        <v>0</v>
      </c>
      <c r="AI29" s="17">
        <f t="shared" si="3"/>
        <v>0</v>
      </c>
      <c r="AJ29" s="28">
        <f t="shared" si="4"/>
        <v>0</v>
      </c>
      <c r="AK29" s="17">
        <f t="shared" si="20"/>
        <v>0</v>
      </c>
      <c r="AL29" s="28">
        <f t="shared" si="5"/>
        <v>0</v>
      </c>
      <c r="AM29" s="17">
        <f t="shared" si="29"/>
        <v>0</v>
      </c>
      <c r="AN29" s="28">
        <f t="shared" si="6"/>
        <v>0</v>
      </c>
      <c r="AO29" s="17">
        <f t="shared" si="7"/>
        <v>0</v>
      </c>
      <c r="AP29" s="28">
        <f t="shared" si="8"/>
        <v>0</v>
      </c>
      <c r="AQ29" s="17">
        <f t="shared" si="9"/>
        <v>0</v>
      </c>
      <c r="AR29" s="28">
        <f t="shared" si="10"/>
        <v>0</v>
      </c>
      <c r="AS29" s="17">
        <f t="shared" si="25"/>
        <v>0</v>
      </c>
      <c r="AT29" s="28">
        <f t="shared" si="26"/>
        <v>0</v>
      </c>
      <c r="AU29" s="17">
        <f t="shared" si="27"/>
        <v>0</v>
      </c>
      <c r="AV29" s="28">
        <f t="shared" si="28"/>
        <v>0</v>
      </c>
      <c r="AW29" s="17">
        <f t="shared" si="11"/>
        <v>0</v>
      </c>
      <c r="AX29" s="28">
        <f t="shared" si="12"/>
        <v>0</v>
      </c>
      <c r="AY29" s="17">
        <f t="shared" si="13"/>
        <v>0</v>
      </c>
      <c r="AZ29" s="28">
        <f t="shared" si="14"/>
        <v>0</v>
      </c>
      <c r="BA29" s="27">
        <f t="shared" si="18"/>
        <v>0</v>
      </c>
      <c r="BB29" s="27">
        <f t="shared" si="19"/>
        <v>0</v>
      </c>
      <c r="BC29" s="27">
        <f t="shared" si="21"/>
        <v>0</v>
      </c>
      <c r="BD29" s="27">
        <f t="shared" si="22"/>
        <v>0</v>
      </c>
      <c r="BE29" s="27">
        <f t="shared" si="23"/>
        <v>0</v>
      </c>
      <c r="BF29" s="29">
        <f t="shared" si="24"/>
        <v>0</v>
      </c>
      <c r="BH29" s="30">
        <f t="shared" si="15"/>
        <v>0</v>
      </c>
      <c r="BM29" s="2">
        <f t="shared" si="16"/>
        <v>0</v>
      </c>
      <c r="BP29" s="2">
        <f t="shared" si="17"/>
        <v>0</v>
      </c>
    </row>
    <row r="30" spans="1:68" x14ac:dyDescent="0.25">
      <c r="A30" s="36" t="s">
        <v>64</v>
      </c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13">
        <v>13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5"/>
      <c r="AD30" s="37">
        <f t="shared" si="0"/>
        <v>13</v>
      </c>
      <c r="AE30" s="26" t="s">
        <v>42</v>
      </c>
      <c r="AF30" s="34">
        <v>55000</v>
      </c>
      <c r="AG30" s="17">
        <f t="shared" si="1"/>
        <v>0</v>
      </c>
      <c r="AH30" s="28">
        <f t="shared" si="2"/>
        <v>0</v>
      </c>
      <c r="AI30" s="17">
        <f t="shared" si="3"/>
        <v>0</v>
      </c>
      <c r="AJ30" s="28">
        <f t="shared" si="4"/>
        <v>0</v>
      </c>
      <c r="AK30" s="17">
        <f t="shared" si="20"/>
        <v>13</v>
      </c>
      <c r="AL30" s="28">
        <f t="shared" si="5"/>
        <v>715000</v>
      </c>
      <c r="AM30" s="17">
        <f t="shared" si="29"/>
        <v>0</v>
      </c>
      <c r="AN30" s="28">
        <f t="shared" si="6"/>
        <v>0</v>
      </c>
      <c r="AO30" s="17">
        <f t="shared" si="7"/>
        <v>0</v>
      </c>
      <c r="AP30" s="28">
        <f t="shared" si="8"/>
        <v>0</v>
      </c>
      <c r="AQ30" s="17">
        <f t="shared" si="9"/>
        <v>0</v>
      </c>
      <c r="AR30" s="28">
        <f t="shared" si="10"/>
        <v>0</v>
      </c>
      <c r="AS30" s="17">
        <f t="shared" si="25"/>
        <v>0</v>
      </c>
      <c r="AT30" s="28">
        <f t="shared" si="26"/>
        <v>0</v>
      </c>
      <c r="AU30" s="17">
        <f t="shared" si="27"/>
        <v>0</v>
      </c>
      <c r="AV30" s="28">
        <f t="shared" si="28"/>
        <v>0</v>
      </c>
      <c r="AW30" s="17">
        <f t="shared" si="11"/>
        <v>0</v>
      </c>
      <c r="AX30" s="28">
        <f t="shared" si="12"/>
        <v>0</v>
      </c>
      <c r="AY30" s="17">
        <f t="shared" si="13"/>
        <v>0</v>
      </c>
      <c r="AZ30" s="28">
        <f t="shared" si="14"/>
        <v>0</v>
      </c>
      <c r="BA30" s="27">
        <f t="shared" si="18"/>
        <v>0</v>
      </c>
      <c r="BB30" s="27">
        <f t="shared" si="19"/>
        <v>715000</v>
      </c>
      <c r="BC30" s="27">
        <f t="shared" si="21"/>
        <v>0</v>
      </c>
      <c r="BD30" s="27">
        <f t="shared" si="22"/>
        <v>0</v>
      </c>
      <c r="BE30" s="27">
        <f t="shared" si="23"/>
        <v>0</v>
      </c>
      <c r="BF30" s="29">
        <f t="shared" si="24"/>
        <v>715000</v>
      </c>
      <c r="BH30" s="30">
        <f t="shared" si="15"/>
        <v>13</v>
      </c>
      <c r="BM30" s="2">
        <f t="shared" si="16"/>
        <v>13</v>
      </c>
      <c r="BP30" s="2">
        <f t="shared" si="17"/>
        <v>13</v>
      </c>
    </row>
    <row r="31" spans="1:68" x14ac:dyDescent="0.25">
      <c r="A31" s="33" t="s">
        <v>65</v>
      </c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3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5"/>
      <c r="AD31" s="25">
        <f t="shared" si="0"/>
        <v>0</v>
      </c>
      <c r="AE31" s="26" t="s">
        <v>42</v>
      </c>
      <c r="AF31" s="34">
        <v>2010</v>
      </c>
      <c r="AG31" s="17">
        <f t="shared" si="1"/>
        <v>0</v>
      </c>
      <c r="AH31" s="28">
        <f t="shared" si="2"/>
        <v>0</v>
      </c>
      <c r="AI31" s="17">
        <f t="shared" si="3"/>
        <v>0</v>
      </c>
      <c r="AJ31" s="28">
        <f t="shared" si="4"/>
        <v>0</v>
      </c>
      <c r="AK31" s="17">
        <f t="shared" si="20"/>
        <v>0</v>
      </c>
      <c r="AL31" s="28">
        <f t="shared" si="5"/>
        <v>0</v>
      </c>
      <c r="AM31" s="17">
        <f t="shared" si="29"/>
        <v>0</v>
      </c>
      <c r="AN31" s="28">
        <f t="shared" si="6"/>
        <v>0</v>
      </c>
      <c r="AO31" s="17">
        <f t="shared" si="7"/>
        <v>0</v>
      </c>
      <c r="AP31" s="28">
        <f t="shared" si="8"/>
        <v>0</v>
      </c>
      <c r="AQ31" s="17">
        <f t="shared" si="9"/>
        <v>0</v>
      </c>
      <c r="AR31" s="28">
        <f t="shared" si="10"/>
        <v>0</v>
      </c>
      <c r="AS31" s="17">
        <f t="shared" si="25"/>
        <v>0</v>
      </c>
      <c r="AT31" s="28">
        <f t="shared" si="26"/>
        <v>0</v>
      </c>
      <c r="AU31" s="17">
        <f t="shared" si="27"/>
        <v>0</v>
      </c>
      <c r="AV31" s="28">
        <f t="shared" si="28"/>
        <v>0</v>
      </c>
      <c r="AW31" s="17">
        <f t="shared" si="11"/>
        <v>0</v>
      </c>
      <c r="AX31" s="28">
        <f t="shared" si="12"/>
        <v>0</v>
      </c>
      <c r="AY31" s="17">
        <f t="shared" si="13"/>
        <v>0</v>
      </c>
      <c r="AZ31" s="28">
        <f t="shared" si="14"/>
        <v>0</v>
      </c>
      <c r="BA31" s="27">
        <f t="shared" si="18"/>
        <v>0</v>
      </c>
      <c r="BB31" s="27">
        <f t="shared" si="19"/>
        <v>0</v>
      </c>
      <c r="BC31" s="27">
        <f t="shared" si="21"/>
        <v>0</v>
      </c>
      <c r="BD31" s="27">
        <f t="shared" si="22"/>
        <v>0</v>
      </c>
      <c r="BE31" s="27">
        <f t="shared" si="23"/>
        <v>0</v>
      </c>
      <c r="BF31" s="29">
        <f t="shared" si="24"/>
        <v>0</v>
      </c>
      <c r="BH31" s="30">
        <f t="shared" si="15"/>
        <v>0</v>
      </c>
      <c r="BM31" s="2">
        <f t="shared" si="16"/>
        <v>0</v>
      </c>
      <c r="BP31" s="2">
        <f t="shared" si="17"/>
        <v>0</v>
      </c>
    </row>
    <row r="32" spans="1:68" x14ac:dyDescent="0.25">
      <c r="A32" s="33" t="s">
        <v>66</v>
      </c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3">
        <v>32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5"/>
      <c r="AD32" s="25">
        <f t="shared" si="0"/>
        <v>32</v>
      </c>
      <c r="AE32" s="26" t="s">
        <v>42</v>
      </c>
      <c r="AF32" s="34">
        <v>590</v>
      </c>
      <c r="AG32" s="17">
        <f t="shared" si="1"/>
        <v>0</v>
      </c>
      <c r="AH32" s="28">
        <f t="shared" si="2"/>
        <v>0</v>
      </c>
      <c r="AI32" s="17">
        <f t="shared" si="3"/>
        <v>0</v>
      </c>
      <c r="AJ32" s="28">
        <f t="shared" si="4"/>
        <v>0</v>
      </c>
      <c r="AK32" s="17">
        <f t="shared" si="20"/>
        <v>32</v>
      </c>
      <c r="AL32" s="28">
        <f t="shared" si="5"/>
        <v>18880</v>
      </c>
      <c r="AM32" s="17">
        <f t="shared" si="29"/>
        <v>0</v>
      </c>
      <c r="AN32" s="28">
        <f t="shared" si="6"/>
        <v>0</v>
      </c>
      <c r="AO32" s="17">
        <f t="shared" si="7"/>
        <v>0</v>
      </c>
      <c r="AP32" s="28">
        <f t="shared" si="8"/>
        <v>0</v>
      </c>
      <c r="AQ32" s="17">
        <f t="shared" si="9"/>
        <v>0</v>
      </c>
      <c r="AR32" s="28">
        <f t="shared" si="10"/>
        <v>0</v>
      </c>
      <c r="AS32" s="17">
        <f t="shared" si="25"/>
        <v>0</v>
      </c>
      <c r="AT32" s="28">
        <f t="shared" si="26"/>
        <v>0</v>
      </c>
      <c r="AU32" s="17">
        <f t="shared" si="27"/>
        <v>0</v>
      </c>
      <c r="AV32" s="28">
        <f t="shared" si="28"/>
        <v>0</v>
      </c>
      <c r="AW32" s="17">
        <f t="shared" si="11"/>
        <v>0</v>
      </c>
      <c r="AX32" s="28">
        <f t="shared" si="12"/>
        <v>0</v>
      </c>
      <c r="AY32" s="17">
        <f t="shared" si="13"/>
        <v>0</v>
      </c>
      <c r="AZ32" s="28">
        <f t="shared" si="14"/>
        <v>0</v>
      </c>
      <c r="BA32" s="27">
        <f t="shared" si="18"/>
        <v>0</v>
      </c>
      <c r="BB32" s="27">
        <f t="shared" si="19"/>
        <v>18880</v>
      </c>
      <c r="BC32" s="27">
        <f t="shared" si="21"/>
        <v>0</v>
      </c>
      <c r="BD32" s="27">
        <f t="shared" si="22"/>
        <v>0</v>
      </c>
      <c r="BE32" s="27">
        <f t="shared" si="23"/>
        <v>0</v>
      </c>
      <c r="BF32" s="29">
        <f t="shared" si="24"/>
        <v>18880</v>
      </c>
      <c r="BH32" s="30">
        <f t="shared" si="15"/>
        <v>32</v>
      </c>
      <c r="BM32" s="2">
        <f t="shared" si="16"/>
        <v>32</v>
      </c>
      <c r="BP32" s="2">
        <f t="shared" si="17"/>
        <v>32</v>
      </c>
    </row>
    <row r="33" spans="1:68" ht="14.45" hidden="1" customHeight="1" x14ac:dyDescent="0.25">
      <c r="A33" s="33" t="s">
        <v>67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3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5"/>
      <c r="AD33" s="25">
        <f t="shared" si="0"/>
        <v>0</v>
      </c>
      <c r="AE33" s="26" t="s">
        <v>42</v>
      </c>
      <c r="AF33" s="27"/>
      <c r="AG33" s="17">
        <f t="shared" si="1"/>
        <v>0</v>
      </c>
      <c r="AH33" s="28">
        <f t="shared" si="2"/>
        <v>0</v>
      </c>
      <c r="AI33" s="17">
        <f t="shared" si="3"/>
        <v>0</v>
      </c>
      <c r="AJ33" s="28">
        <f t="shared" si="4"/>
        <v>0</v>
      </c>
      <c r="AK33" s="17">
        <f t="shared" si="20"/>
        <v>0</v>
      </c>
      <c r="AL33" s="28">
        <f t="shared" si="5"/>
        <v>0</v>
      </c>
      <c r="AM33" s="17">
        <f t="shared" si="29"/>
        <v>0</v>
      </c>
      <c r="AN33" s="28">
        <f t="shared" si="6"/>
        <v>0</v>
      </c>
      <c r="AO33" s="17">
        <f t="shared" si="7"/>
        <v>0</v>
      </c>
      <c r="AP33" s="28">
        <f t="shared" si="8"/>
        <v>0</v>
      </c>
      <c r="AQ33" s="17">
        <f t="shared" si="9"/>
        <v>0</v>
      </c>
      <c r="AR33" s="28">
        <f t="shared" si="10"/>
        <v>0</v>
      </c>
      <c r="AS33" s="17">
        <f t="shared" si="25"/>
        <v>0</v>
      </c>
      <c r="AT33" s="28">
        <f t="shared" si="26"/>
        <v>0</v>
      </c>
      <c r="AU33" s="17">
        <f t="shared" si="27"/>
        <v>0</v>
      </c>
      <c r="AV33" s="28">
        <f t="shared" si="28"/>
        <v>0</v>
      </c>
      <c r="AW33" s="17">
        <f t="shared" si="11"/>
        <v>0</v>
      </c>
      <c r="AX33" s="28">
        <f t="shared" si="12"/>
        <v>0</v>
      </c>
      <c r="AY33" s="17">
        <f t="shared" si="13"/>
        <v>0</v>
      </c>
      <c r="AZ33" s="28">
        <f t="shared" si="14"/>
        <v>0</v>
      </c>
      <c r="BA33" s="27">
        <f t="shared" si="18"/>
        <v>0</v>
      </c>
      <c r="BB33" s="27">
        <f t="shared" si="19"/>
        <v>0</v>
      </c>
      <c r="BC33" s="27">
        <f t="shared" si="21"/>
        <v>0</v>
      </c>
      <c r="BD33" s="27">
        <f t="shared" si="22"/>
        <v>0</v>
      </c>
      <c r="BE33" s="27">
        <f t="shared" si="23"/>
        <v>0</v>
      </c>
      <c r="BF33" s="29">
        <f t="shared" si="24"/>
        <v>0</v>
      </c>
      <c r="BH33" s="30">
        <f t="shared" si="15"/>
        <v>0</v>
      </c>
      <c r="BM33" s="2">
        <f t="shared" si="16"/>
        <v>0</v>
      </c>
      <c r="BP33" s="2">
        <f t="shared" si="17"/>
        <v>0</v>
      </c>
    </row>
    <row r="34" spans="1:68" ht="14.45" hidden="1" customHeight="1" x14ac:dyDescent="0.25">
      <c r="A34" s="33" t="s">
        <v>68</v>
      </c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3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5">
        <f t="shared" si="0"/>
        <v>0</v>
      </c>
      <c r="AE34" s="26" t="s">
        <v>42</v>
      </c>
      <c r="AF34" s="27"/>
      <c r="AG34" s="17">
        <f t="shared" si="1"/>
        <v>0</v>
      </c>
      <c r="AH34" s="28">
        <f t="shared" si="2"/>
        <v>0</v>
      </c>
      <c r="AI34" s="17">
        <f t="shared" si="3"/>
        <v>0</v>
      </c>
      <c r="AJ34" s="28">
        <f t="shared" si="4"/>
        <v>0</v>
      </c>
      <c r="AK34" s="17">
        <f t="shared" si="20"/>
        <v>0</v>
      </c>
      <c r="AL34" s="28">
        <f t="shared" si="5"/>
        <v>0</v>
      </c>
      <c r="AM34" s="17">
        <f t="shared" si="29"/>
        <v>0</v>
      </c>
      <c r="AN34" s="28">
        <f t="shared" si="6"/>
        <v>0</v>
      </c>
      <c r="AO34" s="17">
        <f t="shared" si="7"/>
        <v>0</v>
      </c>
      <c r="AP34" s="28">
        <f t="shared" si="8"/>
        <v>0</v>
      </c>
      <c r="AQ34" s="17">
        <f t="shared" si="9"/>
        <v>0</v>
      </c>
      <c r="AR34" s="28">
        <f t="shared" si="10"/>
        <v>0</v>
      </c>
      <c r="AS34" s="17">
        <f t="shared" si="25"/>
        <v>0</v>
      </c>
      <c r="AT34" s="28">
        <f t="shared" si="26"/>
        <v>0</v>
      </c>
      <c r="AU34" s="17">
        <f t="shared" si="27"/>
        <v>0</v>
      </c>
      <c r="AV34" s="28">
        <f t="shared" si="28"/>
        <v>0</v>
      </c>
      <c r="AW34" s="17">
        <f t="shared" si="11"/>
        <v>0</v>
      </c>
      <c r="AX34" s="28">
        <f t="shared" si="12"/>
        <v>0</v>
      </c>
      <c r="AY34" s="17">
        <f t="shared" si="13"/>
        <v>0</v>
      </c>
      <c r="AZ34" s="28">
        <f t="shared" si="14"/>
        <v>0</v>
      </c>
      <c r="BA34" s="27">
        <f t="shared" si="18"/>
        <v>0</v>
      </c>
      <c r="BB34" s="27">
        <f t="shared" si="19"/>
        <v>0</v>
      </c>
      <c r="BC34" s="27">
        <f t="shared" si="21"/>
        <v>0</v>
      </c>
      <c r="BD34" s="27">
        <f t="shared" si="22"/>
        <v>0</v>
      </c>
      <c r="BE34" s="27">
        <f t="shared" si="23"/>
        <v>0</v>
      </c>
      <c r="BF34" s="29">
        <f t="shared" si="24"/>
        <v>0</v>
      </c>
      <c r="BH34" s="30">
        <f t="shared" si="15"/>
        <v>0</v>
      </c>
      <c r="BM34" s="2">
        <f t="shared" si="16"/>
        <v>0</v>
      </c>
      <c r="BP34" s="2">
        <f t="shared" si="17"/>
        <v>0</v>
      </c>
    </row>
    <row r="35" spans="1:68" ht="14.45" hidden="1" customHeight="1" x14ac:dyDescent="0.25">
      <c r="A35" s="33" t="s">
        <v>68</v>
      </c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3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5"/>
      <c r="AD35" s="25">
        <f t="shared" si="0"/>
        <v>0</v>
      </c>
      <c r="AE35" s="26" t="s">
        <v>42</v>
      </c>
      <c r="AF35" s="27"/>
      <c r="AG35" s="17">
        <f t="shared" si="1"/>
        <v>0</v>
      </c>
      <c r="AH35" s="28">
        <f t="shared" si="2"/>
        <v>0</v>
      </c>
      <c r="AI35" s="17">
        <f t="shared" si="3"/>
        <v>0</v>
      </c>
      <c r="AJ35" s="28">
        <f t="shared" si="4"/>
        <v>0</v>
      </c>
      <c r="AK35" s="17">
        <f t="shared" si="20"/>
        <v>0</v>
      </c>
      <c r="AL35" s="28">
        <f t="shared" si="5"/>
        <v>0</v>
      </c>
      <c r="AM35" s="17">
        <f t="shared" si="29"/>
        <v>0</v>
      </c>
      <c r="AN35" s="28">
        <f t="shared" si="6"/>
        <v>0</v>
      </c>
      <c r="AO35" s="17">
        <f t="shared" si="7"/>
        <v>0</v>
      </c>
      <c r="AP35" s="28">
        <f t="shared" si="8"/>
        <v>0</v>
      </c>
      <c r="AQ35" s="17">
        <f t="shared" si="9"/>
        <v>0</v>
      </c>
      <c r="AR35" s="28">
        <f t="shared" si="10"/>
        <v>0</v>
      </c>
      <c r="AS35" s="17">
        <f t="shared" si="25"/>
        <v>0</v>
      </c>
      <c r="AT35" s="28">
        <f t="shared" si="26"/>
        <v>0</v>
      </c>
      <c r="AU35" s="17">
        <f t="shared" si="27"/>
        <v>0</v>
      </c>
      <c r="AV35" s="28">
        <f t="shared" si="28"/>
        <v>0</v>
      </c>
      <c r="AW35" s="17">
        <f t="shared" si="11"/>
        <v>0</v>
      </c>
      <c r="AX35" s="28">
        <f t="shared" si="12"/>
        <v>0</v>
      </c>
      <c r="AY35" s="17">
        <f t="shared" si="13"/>
        <v>0</v>
      </c>
      <c r="AZ35" s="28">
        <f t="shared" si="14"/>
        <v>0</v>
      </c>
      <c r="BA35" s="27">
        <f t="shared" si="18"/>
        <v>0</v>
      </c>
      <c r="BB35" s="27">
        <f t="shared" si="19"/>
        <v>0</v>
      </c>
      <c r="BC35" s="27">
        <f t="shared" si="21"/>
        <v>0</v>
      </c>
      <c r="BD35" s="27">
        <f t="shared" si="22"/>
        <v>0</v>
      </c>
      <c r="BE35" s="27">
        <f t="shared" si="23"/>
        <v>0</v>
      </c>
      <c r="BF35" s="29">
        <f t="shared" si="24"/>
        <v>0</v>
      </c>
      <c r="BH35" s="30">
        <f t="shared" si="15"/>
        <v>0</v>
      </c>
      <c r="BM35" s="2">
        <f t="shared" si="16"/>
        <v>0</v>
      </c>
      <c r="BP35" s="2">
        <f t="shared" si="17"/>
        <v>0</v>
      </c>
    </row>
    <row r="36" spans="1:68" ht="14.45" hidden="1" customHeight="1" x14ac:dyDescent="0.25">
      <c r="A36" s="33" t="s">
        <v>69</v>
      </c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13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5"/>
      <c r="AD36" s="25">
        <f t="shared" si="0"/>
        <v>0</v>
      </c>
      <c r="AE36" s="26" t="s">
        <v>42</v>
      </c>
      <c r="AF36" s="27"/>
      <c r="AG36" s="17">
        <f t="shared" si="1"/>
        <v>0</v>
      </c>
      <c r="AH36" s="28">
        <f t="shared" si="2"/>
        <v>0</v>
      </c>
      <c r="AI36" s="17">
        <f t="shared" si="3"/>
        <v>0</v>
      </c>
      <c r="AJ36" s="28">
        <f t="shared" si="4"/>
        <v>0</v>
      </c>
      <c r="AK36" s="17">
        <f t="shared" si="20"/>
        <v>0</v>
      </c>
      <c r="AL36" s="28">
        <f t="shared" si="5"/>
        <v>0</v>
      </c>
      <c r="AM36" s="17">
        <f t="shared" si="29"/>
        <v>0</v>
      </c>
      <c r="AN36" s="28">
        <f t="shared" si="6"/>
        <v>0</v>
      </c>
      <c r="AO36" s="17">
        <f t="shared" si="7"/>
        <v>0</v>
      </c>
      <c r="AP36" s="28">
        <f t="shared" si="8"/>
        <v>0</v>
      </c>
      <c r="AQ36" s="17">
        <f t="shared" si="9"/>
        <v>0</v>
      </c>
      <c r="AR36" s="28">
        <f t="shared" si="10"/>
        <v>0</v>
      </c>
      <c r="AS36" s="17">
        <f t="shared" si="25"/>
        <v>0</v>
      </c>
      <c r="AT36" s="28">
        <f t="shared" si="26"/>
        <v>0</v>
      </c>
      <c r="AU36" s="17">
        <f t="shared" si="27"/>
        <v>0</v>
      </c>
      <c r="AV36" s="28">
        <f t="shared" si="28"/>
        <v>0</v>
      </c>
      <c r="AW36" s="17">
        <f t="shared" si="11"/>
        <v>0</v>
      </c>
      <c r="AX36" s="28">
        <f t="shared" si="12"/>
        <v>0</v>
      </c>
      <c r="AY36" s="17">
        <f t="shared" si="13"/>
        <v>0</v>
      </c>
      <c r="AZ36" s="28">
        <f t="shared" si="14"/>
        <v>0</v>
      </c>
      <c r="BA36" s="27">
        <f t="shared" si="18"/>
        <v>0</v>
      </c>
      <c r="BB36" s="27">
        <f t="shared" si="19"/>
        <v>0</v>
      </c>
      <c r="BC36" s="27">
        <f t="shared" si="21"/>
        <v>0</v>
      </c>
      <c r="BD36" s="27">
        <f t="shared" si="22"/>
        <v>0</v>
      </c>
      <c r="BE36" s="27">
        <f t="shared" si="23"/>
        <v>0</v>
      </c>
      <c r="BF36" s="29">
        <f t="shared" si="24"/>
        <v>0</v>
      </c>
      <c r="BH36" s="30">
        <f t="shared" si="15"/>
        <v>0</v>
      </c>
      <c r="BM36" s="2">
        <f t="shared" si="16"/>
        <v>0</v>
      </c>
      <c r="BP36" s="2">
        <f t="shared" si="17"/>
        <v>0</v>
      </c>
    </row>
    <row r="37" spans="1:68" ht="14.45" hidden="1" customHeight="1" x14ac:dyDescent="0.25">
      <c r="A37" s="33" t="s">
        <v>70</v>
      </c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13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5"/>
      <c r="AD37" s="25">
        <f t="shared" si="0"/>
        <v>0</v>
      </c>
      <c r="AE37" s="26" t="s">
        <v>42</v>
      </c>
      <c r="AF37" s="27"/>
      <c r="AG37" s="17">
        <f t="shared" si="1"/>
        <v>0</v>
      </c>
      <c r="AH37" s="28">
        <f t="shared" si="2"/>
        <v>0</v>
      </c>
      <c r="AI37" s="17">
        <f t="shared" si="3"/>
        <v>0</v>
      </c>
      <c r="AJ37" s="28">
        <f t="shared" si="4"/>
        <v>0</v>
      </c>
      <c r="AK37" s="17">
        <f t="shared" si="20"/>
        <v>0</v>
      </c>
      <c r="AL37" s="28">
        <f t="shared" si="5"/>
        <v>0</v>
      </c>
      <c r="AM37" s="17">
        <f t="shared" si="29"/>
        <v>0</v>
      </c>
      <c r="AN37" s="28">
        <f t="shared" si="6"/>
        <v>0</v>
      </c>
      <c r="AO37" s="17">
        <f t="shared" si="7"/>
        <v>0</v>
      </c>
      <c r="AP37" s="28">
        <f t="shared" si="8"/>
        <v>0</v>
      </c>
      <c r="AQ37" s="17">
        <f t="shared" si="9"/>
        <v>0</v>
      </c>
      <c r="AR37" s="28">
        <f t="shared" si="10"/>
        <v>0</v>
      </c>
      <c r="AS37" s="17">
        <f t="shared" si="25"/>
        <v>0</v>
      </c>
      <c r="AT37" s="28">
        <f t="shared" si="26"/>
        <v>0</v>
      </c>
      <c r="AU37" s="17">
        <f t="shared" si="27"/>
        <v>0</v>
      </c>
      <c r="AV37" s="28">
        <f t="shared" si="28"/>
        <v>0</v>
      </c>
      <c r="AW37" s="17">
        <f t="shared" si="11"/>
        <v>0</v>
      </c>
      <c r="AX37" s="28">
        <f t="shared" si="12"/>
        <v>0</v>
      </c>
      <c r="AY37" s="17">
        <f t="shared" si="13"/>
        <v>0</v>
      </c>
      <c r="AZ37" s="28">
        <f t="shared" si="14"/>
        <v>0</v>
      </c>
      <c r="BA37" s="27">
        <f t="shared" si="18"/>
        <v>0</v>
      </c>
      <c r="BB37" s="27">
        <f t="shared" si="19"/>
        <v>0</v>
      </c>
      <c r="BC37" s="27">
        <f t="shared" si="21"/>
        <v>0</v>
      </c>
      <c r="BD37" s="27">
        <f t="shared" si="22"/>
        <v>0</v>
      </c>
      <c r="BE37" s="27">
        <f t="shared" si="23"/>
        <v>0</v>
      </c>
      <c r="BF37" s="29">
        <f t="shared" si="24"/>
        <v>0</v>
      </c>
      <c r="BH37" s="30">
        <f t="shared" si="15"/>
        <v>0</v>
      </c>
      <c r="BM37" s="2">
        <f t="shared" si="16"/>
        <v>0</v>
      </c>
      <c r="BP37" s="2">
        <f t="shared" si="17"/>
        <v>0</v>
      </c>
    </row>
    <row r="38" spans="1:68" ht="14.45" hidden="1" customHeight="1" x14ac:dyDescent="0.25">
      <c r="A38" s="33" t="s">
        <v>71</v>
      </c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13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5"/>
      <c r="AD38" s="25">
        <f t="shared" si="0"/>
        <v>0</v>
      </c>
      <c r="AE38" s="26" t="s">
        <v>42</v>
      </c>
      <c r="AF38" s="27"/>
      <c r="AG38" s="17">
        <f t="shared" si="1"/>
        <v>0</v>
      </c>
      <c r="AH38" s="28">
        <f t="shared" si="2"/>
        <v>0</v>
      </c>
      <c r="AI38" s="17">
        <f t="shared" si="3"/>
        <v>0</v>
      </c>
      <c r="AJ38" s="28">
        <f t="shared" si="4"/>
        <v>0</v>
      </c>
      <c r="AK38" s="17">
        <f t="shared" si="20"/>
        <v>0</v>
      </c>
      <c r="AL38" s="28">
        <f t="shared" si="5"/>
        <v>0</v>
      </c>
      <c r="AM38" s="17">
        <f t="shared" si="29"/>
        <v>0</v>
      </c>
      <c r="AN38" s="28">
        <f t="shared" si="6"/>
        <v>0</v>
      </c>
      <c r="AO38" s="17">
        <f t="shared" si="7"/>
        <v>0</v>
      </c>
      <c r="AP38" s="28">
        <f t="shared" si="8"/>
        <v>0</v>
      </c>
      <c r="AQ38" s="17">
        <f t="shared" si="9"/>
        <v>0</v>
      </c>
      <c r="AR38" s="28">
        <f t="shared" si="10"/>
        <v>0</v>
      </c>
      <c r="AS38" s="17">
        <f t="shared" si="25"/>
        <v>0</v>
      </c>
      <c r="AT38" s="28">
        <f t="shared" si="26"/>
        <v>0</v>
      </c>
      <c r="AU38" s="17">
        <f t="shared" si="27"/>
        <v>0</v>
      </c>
      <c r="AV38" s="28">
        <f t="shared" si="28"/>
        <v>0</v>
      </c>
      <c r="AW38" s="17">
        <f t="shared" si="11"/>
        <v>0</v>
      </c>
      <c r="AX38" s="28">
        <f t="shared" si="12"/>
        <v>0</v>
      </c>
      <c r="AY38" s="17">
        <f t="shared" si="13"/>
        <v>0</v>
      </c>
      <c r="AZ38" s="28">
        <f t="shared" si="14"/>
        <v>0</v>
      </c>
      <c r="BA38" s="27">
        <f t="shared" si="18"/>
        <v>0</v>
      </c>
      <c r="BB38" s="27">
        <f t="shared" si="19"/>
        <v>0</v>
      </c>
      <c r="BC38" s="27">
        <f t="shared" si="21"/>
        <v>0</v>
      </c>
      <c r="BD38" s="27">
        <f t="shared" si="22"/>
        <v>0</v>
      </c>
      <c r="BE38" s="27">
        <f t="shared" si="23"/>
        <v>0</v>
      </c>
      <c r="BF38" s="29">
        <f t="shared" si="24"/>
        <v>0</v>
      </c>
      <c r="BH38" s="30">
        <f t="shared" si="15"/>
        <v>0</v>
      </c>
      <c r="BM38" s="2">
        <f t="shared" si="16"/>
        <v>0</v>
      </c>
      <c r="BP38" s="2">
        <f t="shared" si="17"/>
        <v>0</v>
      </c>
    </row>
    <row r="39" spans="1:68" ht="14.45" hidden="1" customHeight="1" x14ac:dyDescent="0.25">
      <c r="A39" s="33" t="s">
        <v>72</v>
      </c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13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5"/>
      <c r="AD39" s="25">
        <f t="shared" si="0"/>
        <v>0</v>
      </c>
      <c r="AE39" s="26" t="s">
        <v>42</v>
      </c>
      <c r="AF39" s="27"/>
      <c r="AG39" s="17">
        <f t="shared" si="1"/>
        <v>0</v>
      </c>
      <c r="AH39" s="28">
        <f t="shared" si="2"/>
        <v>0</v>
      </c>
      <c r="AI39" s="17">
        <f t="shared" si="3"/>
        <v>0</v>
      </c>
      <c r="AJ39" s="28">
        <f t="shared" si="4"/>
        <v>0</v>
      </c>
      <c r="AK39" s="17">
        <f t="shared" si="20"/>
        <v>0</v>
      </c>
      <c r="AL39" s="28">
        <f t="shared" si="5"/>
        <v>0</v>
      </c>
      <c r="AM39" s="17">
        <f t="shared" si="29"/>
        <v>0</v>
      </c>
      <c r="AN39" s="28">
        <f t="shared" si="6"/>
        <v>0</v>
      </c>
      <c r="AO39" s="17">
        <f t="shared" si="7"/>
        <v>0</v>
      </c>
      <c r="AP39" s="28">
        <f t="shared" si="8"/>
        <v>0</v>
      </c>
      <c r="AQ39" s="17">
        <f t="shared" si="9"/>
        <v>0</v>
      </c>
      <c r="AR39" s="28">
        <f t="shared" si="10"/>
        <v>0</v>
      </c>
      <c r="AS39" s="17">
        <f t="shared" si="25"/>
        <v>0</v>
      </c>
      <c r="AT39" s="28">
        <f t="shared" si="26"/>
        <v>0</v>
      </c>
      <c r="AU39" s="17">
        <f t="shared" si="27"/>
        <v>0</v>
      </c>
      <c r="AV39" s="28">
        <f t="shared" si="28"/>
        <v>0</v>
      </c>
      <c r="AW39" s="17">
        <f t="shared" si="11"/>
        <v>0</v>
      </c>
      <c r="AX39" s="28">
        <f t="shared" si="12"/>
        <v>0</v>
      </c>
      <c r="AY39" s="17">
        <f t="shared" si="13"/>
        <v>0</v>
      </c>
      <c r="AZ39" s="28">
        <f t="shared" si="14"/>
        <v>0</v>
      </c>
      <c r="BA39" s="27">
        <f t="shared" si="18"/>
        <v>0</v>
      </c>
      <c r="BB39" s="27">
        <f t="shared" si="19"/>
        <v>0</v>
      </c>
      <c r="BC39" s="27">
        <f t="shared" si="21"/>
        <v>0</v>
      </c>
      <c r="BD39" s="27">
        <f t="shared" si="22"/>
        <v>0</v>
      </c>
      <c r="BE39" s="27">
        <f t="shared" si="23"/>
        <v>0</v>
      </c>
      <c r="BF39" s="29">
        <f t="shared" si="24"/>
        <v>0</v>
      </c>
      <c r="BH39" s="30">
        <f t="shared" si="15"/>
        <v>0</v>
      </c>
      <c r="BM39" s="2">
        <f t="shared" si="16"/>
        <v>0</v>
      </c>
      <c r="BP39" s="2">
        <f t="shared" si="17"/>
        <v>0</v>
      </c>
    </row>
    <row r="40" spans="1:68" ht="14.45" hidden="1" customHeight="1" x14ac:dyDescent="0.25">
      <c r="A40" s="33" t="s">
        <v>73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3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5"/>
      <c r="AD40" s="25">
        <f t="shared" si="0"/>
        <v>0</v>
      </c>
      <c r="AE40" s="26" t="s">
        <v>42</v>
      </c>
      <c r="AF40" s="27"/>
      <c r="AG40" s="17">
        <f t="shared" si="1"/>
        <v>0</v>
      </c>
      <c r="AH40" s="28">
        <f t="shared" si="2"/>
        <v>0</v>
      </c>
      <c r="AI40" s="17">
        <f t="shared" si="3"/>
        <v>0</v>
      </c>
      <c r="AJ40" s="28">
        <f t="shared" si="4"/>
        <v>0</v>
      </c>
      <c r="AK40" s="17">
        <f t="shared" si="20"/>
        <v>0</v>
      </c>
      <c r="AL40" s="28">
        <f t="shared" si="5"/>
        <v>0</v>
      </c>
      <c r="AM40" s="17">
        <f t="shared" si="29"/>
        <v>0</v>
      </c>
      <c r="AN40" s="28">
        <f t="shared" si="6"/>
        <v>0</v>
      </c>
      <c r="AO40" s="17">
        <f t="shared" si="7"/>
        <v>0</v>
      </c>
      <c r="AP40" s="28">
        <f t="shared" si="8"/>
        <v>0</v>
      </c>
      <c r="AQ40" s="17">
        <f t="shared" si="9"/>
        <v>0</v>
      </c>
      <c r="AR40" s="28">
        <f t="shared" si="10"/>
        <v>0</v>
      </c>
      <c r="AS40" s="17">
        <f t="shared" si="25"/>
        <v>0</v>
      </c>
      <c r="AT40" s="28">
        <f t="shared" si="26"/>
        <v>0</v>
      </c>
      <c r="AU40" s="17">
        <f t="shared" si="27"/>
        <v>0</v>
      </c>
      <c r="AV40" s="28">
        <f t="shared" si="28"/>
        <v>0</v>
      </c>
      <c r="AW40" s="17">
        <f t="shared" si="11"/>
        <v>0</v>
      </c>
      <c r="AX40" s="28">
        <f t="shared" si="12"/>
        <v>0</v>
      </c>
      <c r="AY40" s="17">
        <f t="shared" si="13"/>
        <v>0</v>
      </c>
      <c r="AZ40" s="28">
        <f t="shared" si="14"/>
        <v>0</v>
      </c>
      <c r="BA40" s="27">
        <f t="shared" si="18"/>
        <v>0</v>
      </c>
      <c r="BB40" s="27">
        <f t="shared" si="19"/>
        <v>0</v>
      </c>
      <c r="BC40" s="27">
        <f t="shared" si="21"/>
        <v>0</v>
      </c>
      <c r="BD40" s="27">
        <f t="shared" si="22"/>
        <v>0</v>
      </c>
      <c r="BE40" s="27">
        <f t="shared" si="23"/>
        <v>0</v>
      </c>
      <c r="BF40" s="29">
        <f t="shared" si="24"/>
        <v>0</v>
      </c>
      <c r="BH40" s="30">
        <f t="shared" si="15"/>
        <v>0</v>
      </c>
      <c r="BM40" s="2">
        <f t="shared" si="16"/>
        <v>0</v>
      </c>
      <c r="BP40" s="2">
        <f t="shared" si="17"/>
        <v>0</v>
      </c>
    </row>
    <row r="41" spans="1:68" ht="14.45" hidden="1" customHeight="1" x14ac:dyDescent="0.25">
      <c r="A41" s="33" t="s">
        <v>74</v>
      </c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13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5"/>
      <c r="AD41" s="25">
        <f t="shared" si="0"/>
        <v>0</v>
      </c>
      <c r="AE41" s="26" t="s">
        <v>42</v>
      </c>
      <c r="AF41" s="27"/>
      <c r="AG41" s="17">
        <f t="shared" si="1"/>
        <v>0</v>
      </c>
      <c r="AH41" s="28">
        <f t="shared" si="2"/>
        <v>0</v>
      </c>
      <c r="AI41" s="17">
        <f t="shared" si="3"/>
        <v>0</v>
      </c>
      <c r="AJ41" s="28">
        <f t="shared" si="4"/>
        <v>0</v>
      </c>
      <c r="AK41" s="17">
        <f t="shared" si="20"/>
        <v>0</v>
      </c>
      <c r="AL41" s="28">
        <f t="shared" si="5"/>
        <v>0</v>
      </c>
      <c r="AM41" s="17">
        <f t="shared" si="29"/>
        <v>0</v>
      </c>
      <c r="AN41" s="28">
        <f t="shared" si="6"/>
        <v>0</v>
      </c>
      <c r="AO41" s="17">
        <f t="shared" si="7"/>
        <v>0</v>
      </c>
      <c r="AP41" s="28">
        <f t="shared" si="8"/>
        <v>0</v>
      </c>
      <c r="AQ41" s="17">
        <f t="shared" si="9"/>
        <v>0</v>
      </c>
      <c r="AR41" s="28">
        <f t="shared" si="10"/>
        <v>0</v>
      </c>
      <c r="AS41" s="17">
        <f t="shared" si="25"/>
        <v>0</v>
      </c>
      <c r="AT41" s="28">
        <f t="shared" si="26"/>
        <v>0</v>
      </c>
      <c r="AU41" s="17">
        <f t="shared" si="27"/>
        <v>0</v>
      </c>
      <c r="AV41" s="28">
        <f t="shared" si="28"/>
        <v>0</v>
      </c>
      <c r="AW41" s="17">
        <f t="shared" si="11"/>
        <v>0</v>
      </c>
      <c r="AX41" s="28">
        <f t="shared" si="12"/>
        <v>0</v>
      </c>
      <c r="AY41" s="17">
        <f t="shared" si="13"/>
        <v>0</v>
      </c>
      <c r="AZ41" s="28">
        <f t="shared" si="14"/>
        <v>0</v>
      </c>
      <c r="BA41" s="27">
        <f t="shared" si="18"/>
        <v>0</v>
      </c>
      <c r="BB41" s="27">
        <f t="shared" si="19"/>
        <v>0</v>
      </c>
      <c r="BC41" s="27">
        <f t="shared" si="21"/>
        <v>0</v>
      </c>
      <c r="BD41" s="27">
        <f t="shared" si="22"/>
        <v>0</v>
      </c>
      <c r="BE41" s="27">
        <f t="shared" si="23"/>
        <v>0</v>
      </c>
      <c r="BF41" s="29">
        <f t="shared" si="24"/>
        <v>0</v>
      </c>
      <c r="BH41" s="30">
        <f t="shared" si="15"/>
        <v>0</v>
      </c>
      <c r="BM41" s="2">
        <f t="shared" si="16"/>
        <v>0</v>
      </c>
      <c r="BP41" s="2">
        <f t="shared" si="17"/>
        <v>0</v>
      </c>
    </row>
    <row r="42" spans="1:68" ht="14.45" hidden="1" customHeight="1" x14ac:dyDescent="0.25">
      <c r="A42" s="33" t="s">
        <v>75</v>
      </c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13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5"/>
      <c r="AD42" s="25">
        <f t="shared" si="0"/>
        <v>0</v>
      </c>
      <c r="AE42" s="26" t="s">
        <v>42</v>
      </c>
      <c r="AF42" s="27"/>
      <c r="AG42" s="17">
        <f t="shared" si="1"/>
        <v>0</v>
      </c>
      <c r="AH42" s="28">
        <f t="shared" si="2"/>
        <v>0</v>
      </c>
      <c r="AI42" s="17">
        <f t="shared" si="3"/>
        <v>0</v>
      </c>
      <c r="AJ42" s="28">
        <f t="shared" si="4"/>
        <v>0</v>
      </c>
      <c r="AK42" s="17">
        <f t="shared" si="20"/>
        <v>0</v>
      </c>
      <c r="AL42" s="28">
        <f t="shared" si="5"/>
        <v>0</v>
      </c>
      <c r="AM42" s="17">
        <f t="shared" si="29"/>
        <v>0</v>
      </c>
      <c r="AN42" s="28">
        <f t="shared" si="6"/>
        <v>0</v>
      </c>
      <c r="AO42" s="17">
        <f t="shared" si="7"/>
        <v>0</v>
      </c>
      <c r="AP42" s="28">
        <f t="shared" si="8"/>
        <v>0</v>
      </c>
      <c r="AQ42" s="17">
        <f t="shared" si="9"/>
        <v>0</v>
      </c>
      <c r="AR42" s="28">
        <f t="shared" si="10"/>
        <v>0</v>
      </c>
      <c r="AS42" s="17">
        <f t="shared" si="25"/>
        <v>0</v>
      </c>
      <c r="AT42" s="28">
        <f t="shared" si="26"/>
        <v>0</v>
      </c>
      <c r="AU42" s="17">
        <f t="shared" si="27"/>
        <v>0</v>
      </c>
      <c r="AV42" s="28">
        <f t="shared" si="28"/>
        <v>0</v>
      </c>
      <c r="AW42" s="17">
        <f t="shared" si="11"/>
        <v>0</v>
      </c>
      <c r="AX42" s="28">
        <f t="shared" si="12"/>
        <v>0</v>
      </c>
      <c r="AY42" s="17">
        <f t="shared" si="13"/>
        <v>0</v>
      </c>
      <c r="AZ42" s="28">
        <f t="shared" si="14"/>
        <v>0</v>
      </c>
      <c r="BA42" s="27">
        <f t="shared" si="18"/>
        <v>0</v>
      </c>
      <c r="BB42" s="27">
        <f t="shared" si="19"/>
        <v>0</v>
      </c>
      <c r="BC42" s="27">
        <f t="shared" si="21"/>
        <v>0</v>
      </c>
      <c r="BD42" s="27">
        <f t="shared" si="22"/>
        <v>0</v>
      </c>
      <c r="BE42" s="27">
        <f t="shared" si="23"/>
        <v>0</v>
      </c>
      <c r="BF42" s="29">
        <f t="shared" si="24"/>
        <v>0</v>
      </c>
      <c r="BH42" s="30">
        <f t="shared" si="15"/>
        <v>0</v>
      </c>
      <c r="BM42" s="2">
        <f t="shared" si="16"/>
        <v>0</v>
      </c>
      <c r="BP42" s="2">
        <f t="shared" si="17"/>
        <v>0</v>
      </c>
    </row>
    <row r="43" spans="1:68" ht="14.45" hidden="1" customHeight="1" x14ac:dyDescent="0.25">
      <c r="A43" s="33" t="s">
        <v>76</v>
      </c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13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5"/>
      <c r="AD43" s="25">
        <f t="shared" si="0"/>
        <v>0</v>
      </c>
      <c r="AE43" s="26" t="s">
        <v>42</v>
      </c>
      <c r="AF43" s="27"/>
      <c r="AG43" s="17">
        <f t="shared" si="1"/>
        <v>0</v>
      </c>
      <c r="AH43" s="28">
        <f t="shared" si="2"/>
        <v>0</v>
      </c>
      <c r="AI43" s="17">
        <f t="shared" si="3"/>
        <v>0</v>
      </c>
      <c r="AJ43" s="28">
        <f t="shared" si="4"/>
        <v>0</v>
      </c>
      <c r="AK43" s="17">
        <f t="shared" si="20"/>
        <v>0</v>
      </c>
      <c r="AL43" s="28">
        <f t="shared" si="5"/>
        <v>0</v>
      </c>
      <c r="AM43" s="17">
        <f t="shared" si="29"/>
        <v>0</v>
      </c>
      <c r="AN43" s="28">
        <f t="shared" si="6"/>
        <v>0</v>
      </c>
      <c r="AO43" s="17">
        <f t="shared" si="7"/>
        <v>0</v>
      </c>
      <c r="AP43" s="28">
        <f t="shared" si="8"/>
        <v>0</v>
      </c>
      <c r="AQ43" s="17">
        <f t="shared" si="9"/>
        <v>0</v>
      </c>
      <c r="AR43" s="28">
        <f t="shared" si="10"/>
        <v>0</v>
      </c>
      <c r="AS43" s="17">
        <f t="shared" si="25"/>
        <v>0</v>
      </c>
      <c r="AT43" s="28">
        <f t="shared" si="26"/>
        <v>0</v>
      </c>
      <c r="AU43" s="17">
        <f t="shared" si="27"/>
        <v>0</v>
      </c>
      <c r="AV43" s="28">
        <f t="shared" si="28"/>
        <v>0</v>
      </c>
      <c r="AW43" s="17">
        <f t="shared" si="11"/>
        <v>0</v>
      </c>
      <c r="AX43" s="28">
        <f t="shared" si="12"/>
        <v>0</v>
      </c>
      <c r="AY43" s="17">
        <f t="shared" si="13"/>
        <v>0</v>
      </c>
      <c r="AZ43" s="28">
        <f t="shared" si="14"/>
        <v>0</v>
      </c>
      <c r="BA43" s="27">
        <f t="shared" si="18"/>
        <v>0</v>
      </c>
      <c r="BB43" s="27">
        <f t="shared" si="19"/>
        <v>0</v>
      </c>
      <c r="BC43" s="27">
        <f t="shared" si="21"/>
        <v>0</v>
      </c>
      <c r="BD43" s="27">
        <f t="shared" si="22"/>
        <v>0</v>
      </c>
      <c r="BE43" s="27">
        <f t="shared" si="23"/>
        <v>0</v>
      </c>
      <c r="BF43" s="29">
        <f t="shared" si="24"/>
        <v>0</v>
      </c>
      <c r="BH43" s="30">
        <f t="shared" si="15"/>
        <v>0</v>
      </c>
      <c r="BM43" s="2">
        <f t="shared" si="16"/>
        <v>0</v>
      </c>
      <c r="BP43" s="2">
        <f t="shared" si="17"/>
        <v>0</v>
      </c>
    </row>
    <row r="44" spans="1:68" ht="14.45" hidden="1" customHeight="1" x14ac:dyDescent="0.25">
      <c r="A44" s="33" t="s">
        <v>77</v>
      </c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13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5"/>
      <c r="AD44" s="25">
        <f t="shared" si="0"/>
        <v>0</v>
      </c>
      <c r="AE44" s="26" t="s">
        <v>42</v>
      </c>
      <c r="AF44" s="27"/>
      <c r="AG44" s="17">
        <f t="shared" si="1"/>
        <v>0</v>
      </c>
      <c r="AH44" s="28">
        <f t="shared" si="2"/>
        <v>0</v>
      </c>
      <c r="AI44" s="17">
        <f t="shared" si="3"/>
        <v>0</v>
      </c>
      <c r="AJ44" s="28">
        <f t="shared" si="4"/>
        <v>0</v>
      </c>
      <c r="AK44" s="17">
        <f t="shared" si="20"/>
        <v>0</v>
      </c>
      <c r="AL44" s="28">
        <f t="shared" si="5"/>
        <v>0</v>
      </c>
      <c r="AM44" s="17">
        <f t="shared" si="29"/>
        <v>0</v>
      </c>
      <c r="AN44" s="28">
        <f t="shared" si="6"/>
        <v>0</v>
      </c>
      <c r="AO44" s="17">
        <f t="shared" si="7"/>
        <v>0</v>
      </c>
      <c r="AP44" s="28">
        <f t="shared" si="8"/>
        <v>0</v>
      </c>
      <c r="AQ44" s="17">
        <f t="shared" si="9"/>
        <v>0</v>
      </c>
      <c r="AR44" s="28">
        <f t="shared" si="10"/>
        <v>0</v>
      </c>
      <c r="AS44" s="17">
        <f t="shared" si="25"/>
        <v>0</v>
      </c>
      <c r="AT44" s="28">
        <f t="shared" si="26"/>
        <v>0</v>
      </c>
      <c r="AU44" s="17">
        <f t="shared" si="27"/>
        <v>0</v>
      </c>
      <c r="AV44" s="28">
        <f t="shared" si="28"/>
        <v>0</v>
      </c>
      <c r="AW44" s="17">
        <f t="shared" si="11"/>
        <v>0</v>
      </c>
      <c r="AX44" s="28">
        <f t="shared" si="12"/>
        <v>0</v>
      </c>
      <c r="AY44" s="17">
        <f t="shared" si="13"/>
        <v>0</v>
      </c>
      <c r="AZ44" s="28">
        <f t="shared" si="14"/>
        <v>0</v>
      </c>
      <c r="BA44" s="27">
        <f t="shared" si="18"/>
        <v>0</v>
      </c>
      <c r="BB44" s="27">
        <f t="shared" si="19"/>
        <v>0</v>
      </c>
      <c r="BC44" s="27">
        <f t="shared" si="21"/>
        <v>0</v>
      </c>
      <c r="BD44" s="27">
        <f t="shared" si="22"/>
        <v>0</v>
      </c>
      <c r="BE44" s="27">
        <f t="shared" si="23"/>
        <v>0</v>
      </c>
      <c r="BF44" s="29">
        <f t="shared" si="24"/>
        <v>0</v>
      </c>
      <c r="BH44" s="30">
        <f t="shared" si="15"/>
        <v>0</v>
      </c>
      <c r="BM44" s="2">
        <f t="shared" si="16"/>
        <v>0</v>
      </c>
      <c r="BP44" s="2">
        <f t="shared" si="17"/>
        <v>0</v>
      </c>
    </row>
    <row r="45" spans="1:68" ht="14.45" hidden="1" customHeight="1" x14ac:dyDescent="0.25">
      <c r="A45" s="33" t="s">
        <v>78</v>
      </c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13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5"/>
      <c r="AD45" s="25">
        <f t="shared" si="0"/>
        <v>0</v>
      </c>
      <c r="AE45" s="26" t="s">
        <v>42</v>
      </c>
      <c r="AF45" s="27"/>
      <c r="AG45" s="17">
        <f t="shared" si="1"/>
        <v>0</v>
      </c>
      <c r="AH45" s="28">
        <f t="shared" si="2"/>
        <v>0</v>
      </c>
      <c r="AI45" s="17">
        <f t="shared" si="3"/>
        <v>0</v>
      </c>
      <c r="AJ45" s="28">
        <f t="shared" si="4"/>
        <v>0</v>
      </c>
      <c r="AK45" s="17">
        <f t="shared" si="20"/>
        <v>0</v>
      </c>
      <c r="AL45" s="28">
        <f t="shared" si="5"/>
        <v>0</v>
      </c>
      <c r="AM45" s="17">
        <f t="shared" si="29"/>
        <v>0</v>
      </c>
      <c r="AN45" s="28">
        <f t="shared" si="6"/>
        <v>0</v>
      </c>
      <c r="AO45" s="17">
        <f t="shared" si="7"/>
        <v>0</v>
      </c>
      <c r="AP45" s="28">
        <f t="shared" si="8"/>
        <v>0</v>
      </c>
      <c r="AQ45" s="17">
        <f t="shared" si="9"/>
        <v>0</v>
      </c>
      <c r="AR45" s="28">
        <f t="shared" si="10"/>
        <v>0</v>
      </c>
      <c r="AS45" s="17">
        <f t="shared" si="25"/>
        <v>0</v>
      </c>
      <c r="AT45" s="28">
        <f t="shared" si="26"/>
        <v>0</v>
      </c>
      <c r="AU45" s="17">
        <f t="shared" si="27"/>
        <v>0</v>
      </c>
      <c r="AV45" s="28">
        <f t="shared" si="28"/>
        <v>0</v>
      </c>
      <c r="AW45" s="17">
        <f t="shared" si="11"/>
        <v>0</v>
      </c>
      <c r="AX45" s="28">
        <f t="shared" si="12"/>
        <v>0</v>
      </c>
      <c r="AY45" s="17">
        <f t="shared" si="13"/>
        <v>0</v>
      </c>
      <c r="AZ45" s="28">
        <f t="shared" si="14"/>
        <v>0</v>
      </c>
      <c r="BA45" s="27">
        <f t="shared" si="18"/>
        <v>0</v>
      </c>
      <c r="BB45" s="27">
        <f t="shared" si="19"/>
        <v>0</v>
      </c>
      <c r="BC45" s="27">
        <f t="shared" si="21"/>
        <v>0</v>
      </c>
      <c r="BD45" s="27">
        <f t="shared" si="22"/>
        <v>0</v>
      </c>
      <c r="BE45" s="27">
        <f t="shared" si="23"/>
        <v>0</v>
      </c>
      <c r="BF45" s="29">
        <f t="shared" si="24"/>
        <v>0</v>
      </c>
      <c r="BH45" s="30">
        <f t="shared" si="15"/>
        <v>0</v>
      </c>
      <c r="BM45" s="2">
        <f t="shared" si="16"/>
        <v>0</v>
      </c>
      <c r="BP45" s="2">
        <f t="shared" si="17"/>
        <v>0</v>
      </c>
    </row>
    <row r="46" spans="1:68" ht="14.45" hidden="1" customHeight="1" x14ac:dyDescent="0.25">
      <c r="A46" s="33" t="s">
        <v>79</v>
      </c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13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5"/>
      <c r="AD46" s="25">
        <f t="shared" si="0"/>
        <v>0</v>
      </c>
      <c r="AE46" s="26" t="s">
        <v>42</v>
      </c>
      <c r="AF46" s="27"/>
      <c r="AG46" s="17">
        <f t="shared" si="1"/>
        <v>0</v>
      </c>
      <c r="AH46" s="28">
        <f t="shared" si="2"/>
        <v>0</v>
      </c>
      <c r="AI46" s="17">
        <f t="shared" si="3"/>
        <v>0</v>
      </c>
      <c r="AJ46" s="28">
        <f t="shared" si="4"/>
        <v>0</v>
      </c>
      <c r="AK46" s="17">
        <f t="shared" si="20"/>
        <v>0</v>
      </c>
      <c r="AL46" s="28">
        <f t="shared" si="5"/>
        <v>0</v>
      </c>
      <c r="AM46" s="17">
        <f t="shared" si="29"/>
        <v>0</v>
      </c>
      <c r="AN46" s="28">
        <f t="shared" si="6"/>
        <v>0</v>
      </c>
      <c r="AO46" s="17">
        <f t="shared" si="7"/>
        <v>0</v>
      </c>
      <c r="AP46" s="28">
        <f t="shared" si="8"/>
        <v>0</v>
      </c>
      <c r="AQ46" s="17">
        <f t="shared" si="9"/>
        <v>0</v>
      </c>
      <c r="AR46" s="28">
        <f t="shared" si="10"/>
        <v>0</v>
      </c>
      <c r="AS46" s="17">
        <f t="shared" si="25"/>
        <v>0</v>
      </c>
      <c r="AT46" s="28">
        <f t="shared" si="26"/>
        <v>0</v>
      </c>
      <c r="AU46" s="17">
        <f t="shared" si="27"/>
        <v>0</v>
      </c>
      <c r="AV46" s="28">
        <f t="shared" si="28"/>
        <v>0</v>
      </c>
      <c r="AW46" s="17">
        <f t="shared" si="11"/>
        <v>0</v>
      </c>
      <c r="AX46" s="28">
        <f t="shared" si="12"/>
        <v>0</v>
      </c>
      <c r="AY46" s="17">
        <f t="shared" si="13"/>
        <v>0</v>
      </c>
      <c r="AZ46" s="28">
        <f t="shared" si="14"/>
        <v>0</v>
      </c>
      <c r="BA46" s="27">
        <f t="shared" si="18"/>
        <v>0</v>
      </c>
      <c r="BB46" s="27">
        <f t="shared" si="19"/>
        <v>0</v>
      </c>
      <c r="BC46" s="27">
        <f t="shared" si="21"/>
        <v>0</v>
      </c>
      <c r="BD46" s="27">
        <f t="shared" si="22"/>
        <v>0</v>
      </c>
      <c r="BE46" s="27">
        <f t="shared" si="23"/>
        <v>0</v>
      </c>
      <c r="BF46" s="29">
        <f t="shared" si="24"/>
        <v>0</v>
      </c>
      <c r="BH46" s="30">
        <f t="shared" si="15"/>
        <v>0</v>
      </c>
      <c r="BM46" s="2">
        <f t="shared" si="16"/>
        <v>0</v>
      </c>
      <c r="BP46" s="2">
        <f t="shared" si="17"/>
        <v>0</v>
      </c>
    </row>
    <row r="47" spans="1:68" ht="14.45" hidden="1" customHeight="1" x14ac:dyDescent="0.25">
      <c r="A47" s="38" t="s">
        <v>80</v>
      </c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13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5"/>
      <c r="AD47" s="25">
        <f t="shared" si="0"/>
        <v>0</v>
      </c>
      <c r="AE47" s="26" t="s">
        <v>42</v>
      </c>
      <c r="AF47" s="27"/>
      <c r="AG47" s="17">
        <f t="shared" si="1"/>
        <v>0</v>
      </c>
      <c r="AH47" s="28">
        <f t="shared" si="2"/>
        <v>0</v>
      </c>
      <c r="AI47" s="17">
        <f t="shared" si="3"/>
        <v>0</v>
      </c>
      <c r="AJ47" s="28">
        <f t="shared" si="4"/>
        <v>0</v>
      </c>
      <c r="AK47" s="17">
        <f t="shared" si="20"/>
        <v>0</v>
      </c>
      <c r="AL47" s="28">
        <f t="shared" si="5"/>
        <v>0</v>
      </c>
      <c r="AM47" s="17">
        <f t="shared" si="29"/>
        <v>0</v>
      </c>
      <c r="AN47" s="28">
        <f t="shared" si="6"/>
        <v>0</v>
      </c>
      <c r="AO47" s="17">
        <f t="shared" si="7"/>
        <v>0</v>
      </c>
      <c r="AP47" s="28">
        <f t="shared" si="8"/>
        <v>0</v>
      </c>
      <c r="AQ47" s="17">
        <f t="shared" si="9"/>
        <v>0</v>
      </c>
      <c r="AR47" s="28">
        <f t="shared" si="10"/>
        <v>0</v>
      </c>
      <c r="AS47" s="17">
        <f t="shared" si="25"/>
        <v>0</v>
      </c>
      <c r="AT47" s="28">
        <f t="shared" si="26"/>
        <v>0</v>
      </c>
      <c r="AU47" s="17">
        <f t="shared" si="27"/>
        <v>0</v>
      </c>
      <c r="AV47" s="28">
        <f t="shared" si="28"/>
        <v>0</v>
      </c>
      <c r="AW47" s="17">
        <f t="shared" si="11"/>
        <v>0</v>
      </c>
      <c r="AX47" s="28">
        <f t="shared" si="12"/>
        <v>0</v>
      </c>
      <c r="AY47" s="17">
        <f t="shared" si="13"/>
        <v>0</v>
      </c>
      <c r="AZ47" s="28">
        <f t="shared" si="14"/>
        <v>0</v>
      </c>
      <c r="BA47" s="27">
        <f t="shared" si="18"/>
        <v>0</v>
      </c>
      <c r="BB47" s="27">
        <f t="shared" si="19"/>
        <v>0</v>
      </c>
      <c r="BC47" s="27">
        <f t="shared" si="21"/>
        <v>0</v>
      </c>
      <c r="BD47" s="27">
        <f t="shared" si="22"/>
        <v>0</v>
      </c>
      <c r="BE47" s="27">
        <f t="shared" si="23"/>
        <v>0</v>
      </c>
      <c r="BF47" s="29">
        <f t="shared" si="24"/>
        <v>0</v>
      </c>
      <c r="BH47" s="30">
        <f t="shared" si="15"/>
        <v>0</v>
      </c>
      <c r="BM47" s="2">
        <f t="shared" si="16"/>
        <v>0</v>
      </c>
      <c r="BP47" s="2">
        <f t="shared" si="17"/>
        <v>0</v>
      </c>
    </row>
    <row r="48" spans="1:68" ht="14.45" customHeight="1" x14ac:dyDescent="0.25">
      <c r="A48" s="38" t="s">
        <v>81</v>
      </c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13">
        <v>86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5"/>
      <c r="AD48" s="39">
        <f t="shared" ref="AD48:AD68" si="30">SUM(B48:AB48)</f>
        <v>86</v>
      </c>
      <c r="AE48" s="26" t="s">
        <v>42</v>
      </c>
      <c r="AF48" s="27">
        <v>3050</v>
      </c>
      <c r="AG48" s="17">
        <f t="shared" si="1"/>
        <v>0</v>
      </c>
      <c r="AH48" s="28">
        <f t="shared" si="2"/>
        <v>0</v>
      </c>
      <c r="AI48" s="17">
        <f t="shared" si="3"/>
        <v>0</v>
      </c>
      <c r="AJ48" s="28">
        <f t="shared" si="4"/>
        <v>0</v>
      </c>
      <c r="AK48" s="17">
        <f t="shared" si="20"/>
        <v>86</v>
      </c>
      <c r="AL48" s="28">
        <f t="shared" si="5"/>
        <v>262300</v>
      </c>
      <c r="AM48" s="17">
        <f t="shared" si="29"/>
        <v>0</v>
      </c>
      <c r="AN48" s="28"/>
      <c r="AO48" s="17">
        <f t="shared" si="7"/>
        <v>0</v>
      </c>
      <c r="AP48" s="28"/>
      <c r="AQ48" s="17">
        <f t="shared" si="9"/>
        <v>0</v>
      </c>
      <c r="AR48" s="28"/>
      <c r="AS48" s="17">
        <f t="shared" si="25"/>
        <v>0</v>
      </c>
      <c r="AT48" s="28">
        <f t="shared" si="26"/>
        <v>0</v>
      </c>
      <c r="AU48" s="17">
        <f t="shared" si="27"/>
        <v>0</v>
      </c>
      <c r="AV48" s="28">
        <f t="shared" si="28"/>
        <v>0</v>
      </c>
      <c r="AW48" s="17">
        <f t="shared" si="11"/>
        <v>0</v>
      </c>
      <c r="AX48" s="28">
        <f t="shared" si="12"/>
        <v>0</v>
      </c>
      <c r="AY48" s="17">
        <f t="shared" si="13"/>
        <v>0</v>
      </c>
      <c r="AZ48" s="28">
        <f t="shared" si="14"/>
        <v>0</v>
      </c>
      <c r="BA48" s="27">
        <f t="shared" si="18"/>
        <v>0</v>
      </c>
      <c r="BB48" s="27">
        <f t="shared" si="19"/>
        <v>262300</v>
      </c>
      <c r="BC48" s="27">
        <f t="shared" si="21"/>
        <v>0</v>
      </c>
      <c r="BD48" s="27">
        <f t="shared" si="22"/>
        <v>0</v>
      </c>
      <c r="BE48" s="27">
        <f t="shared" si="23"/>
        <v>0</v>
      </c>
      <c r="BF48" s="29">
        <f t="shared" si="24"/>
        <v>262300</v>
      </c>
      <c r="BH48" s="30">
        <f t="shared" si="15"/>
        <v>86</v>
      </c>
    </row>
    <row r="49" spans="1:68" x14ac:dyDescent="0.25">
      <c r="A49" s="33" t="s">
        <v>82</v>
      </c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13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>
        <v>5</v>
      </c>
      <c r="AC49" s="25"/>
      <c r="AD49" s="39">
        <f t="shared" si="30"/>
        <v>5</v>
      </c>
      <c r="AE49" s="26" t="s">
        <v>42</v>
      </c>
      <c r="AF49" s="27">
        <v>40000</v>
      </c>
      <c r="AG49" s="17">
        <f t="shared" si="1"/>
        <v>0</v>
      </c>
      <c r="AH49" s="28">
        <f t="shared" si="2"/>
        <v>0</v>
      </c>
      <c r="AI49" s="17">
        <f t="shared" si="3"/>
        <v>0</v>
      </c>
      <c r="AJ49" s="28">
        <f t="shared" si="4"/>
        <v>0</v>
      </c>
      <c r="AK49" s="17">
        <f t="shared" si="20"/>
        <v>0</v>
      </c>
      <c r="AL49" s="28">
        <f t="shared" si="5"/>
        <v>0</v>
      </c>
      <c r="AM49" s="17">
        <f t="shared" si="29"/>
        <v>5</v>
      </c>
      <c r="AN49" s="28">
        <f t="shared" ref="AN49:AN66" si="31">+AM49*AF49</f>
        <v>200000</v>
      </c>
      <c r="AO49" s="17">
        <f t="shared" si="7"/>
        <v>0</v>
      </c>
      <c r="AP49" s="28">
        <f t="shared" ref="AP49:AP66" si="32">+AO49*AF49</f>
        <v>0</v>
      </c>
      <c r="AQ49" s="17">
        <f t="shared" si="9"/>
        <v>0</v>
      </c>
      <c r="AR49" s="28">
        <f t="shared" ref="AR49:AR66" si="33">+AQ49*AF49</f>
        <v>0</v>
      </c>
      <c r="AS49" s="17">
        <f t="shared" si="25"/>
        <v>0</v>
      </c>
      <c r="AT49" s="28">
        <f t="shared" si="26"/>
        <v>0</v>
      </c>
      <c r="AU49" s="17">
        <f t="shared" si="27"/>
        <v>0</v>
      </c>
      <c r="AV49" s="28">
        <f t="shared" si="28"/>
        <v>0</v>
      </c>
      <c r="AW49" s="17">
        <f t="shared" si="11"/>
        <v>0</v>
      </c>
      <c r="AX49" s="28">
        <f t="shared" si="12"/>
        <v>0</v>
      </c>
      <c r="AY49" s="17">
        <f t="shared" si="13"/>
        <v>0</v>
      </c>
      <c r="AZ49" s="28">
        <f t="shared" si="14"/>
        <v>0</v>
      </c>
      <c r="BA49" s="27">
        <f t="shared" si="18"/>
        <v>0</v>
      </c>
      <c r="BB49" s="27">
        <f t="shared" si="19"/>
        <v>200000</v>
      </c>
      <c r="BC49" s="27">
        <f t="shared" si="21"/>
        <v>0</v>
      </c>
      <c r="BD49" s="27">
        <f t="shared" si="22"/>
        <v>0</v>
      </c>
      <c r="BE49" s="27">
        <f t="shared" si="23"/>
        <v>0</v>
      </c>
      <c r="BF49" s="29">
        <f t="shared" si="24"/>
        <v>200000</v>
      </c>
      <c r="BH49" s="30">
        <f t="shared" si="15"/>
        <v>5</v>
      </c>
      <c r="BM49" s="2">
        <f t="shared" ref="BM49:BM66" si="34">SUM(B49:S49)</f>
        <v>0</v>
      </c>
      <c r="BP49" s="2">
        <f t="shared" ref="BP49:BP66" si="35">SUM(B49:S49)</f>
        <v>0</v>
      </c>
    </row>
    <row r="50" spans="1:68" x14ac:dyDescent="0.25">
      <c r="A50" s="33" t="s">
        <v>83</v>
      </c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13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v>3</v>
      </c>
      <c r="AC50" s="25"/>
      <c r="AD50" s="39">
        <f t="shared" si="30"/>
        <v>3</v>
      </c>
      <c r="AE50" s="26" t="s">
        <v>42</v>
      </c>
      <c r="AF50" s="27">
        <v>80000</v>
      </c>
      <c r="AG50" s="17">
        <f t="shared" si="1"/>
        <v>0</v>
      </c>
      <c r="AH50" s="28">
        <f t="shared" si="2"/>
        <v>0</v>
      </c>
      <c r="AI50" s="17">
        <f t="shared" si="3"/>
        <v>0</v>
      </c>
      <c r="AJ50" s="28">
        <f t="shared" si="4"/>
        <v>0</v>
      </c>
      <c r="AK50" s="17">
        <f t="shared" si="20"/>
        <v>0</v>
      </c>
      <c r="AL50" s="28">
        <f t="shared" si="5"/>
        <v>0</v>
      </c>
      <c r="AM50" s="17">
        <f t="shared" si="29"/>
        <v>3</v>
      </c>
      <c r="AN50" s="28">
        <f t="shared" si="31"/>
        <v>240000</v>
      </c>
      <c r="AO50" s="17">
        <f t="shared" si="7"/>
        <v>0</v>
      </c>
      <c r="AP50" s="28">
        <f t="shared" si="32"/>
        <v>0</v>
      </c>
      <c r="AQ50" s="17">
        <f t="shared" si="9"/>
        <v>0</v>
      </c>
      <c r="AR50" s="28">
        <f t="shared" si="33"/>
        <v>0</v>
      </c>
      <c r="AS50" s="17">
        <f t="shared" si="25"/>
        <v>0</v>
      </c>
      <c r="AT50" s="28">
        <f t="shared" si="26"/>
        <v>0</v>
      </c>
      <c r="AU50" s="17">
        <f t="shared" si="27"/>
        <v>0</v>
      </c>
      <c r="AV50" s="28">
        <f t="shared" si="28"/>
        <v>0</v>
      </c>
      <c r="AW50" s="17">
        <f t="shared" si="11"/>
        <v>0</v>
      </c>
      <c r="AX50" s="28">
        <f t="shared" si="12"/>
        <v>0</v>
      </c>
      <c r="AY50" s="17">
        <f t="shared" si="13"/>
        <v>0</v>
      </c>
      <c r="AZ50" s="28">
        <f t="shared" si="14"/>
        <v>0</v>
      </c>
      <c r="BA50" s="27">
        <f t="shared" si="18"/>
        <v>0</v>
      </c>
      <c r="BB50" s="27">
        <f t="shared" si="19"/>
        <v>240000</v>
      </c>
      <c r="BC50" s="27">
        <f t="shared" si="21"/>
        <v>0</v>
      </c>
      <c r="BD50" s="27">
        <f t="shared" si="22"/>
        <v>0</v>
      </c>
      <c r="BE50" s="27">
        <f t="shared" si="23"/>
        <v>0</v>
      </c>
      <c r="BF50" s="29">
        <f t="shared" si="24"/>
        <v>240000</v>
      </c>
      <c r="BH50" s="30">
        <f t="shared" si="15"/>
        <v>3</v>
      </c>
      <c r="BM50" s="2">
        <f t="shared" si="34"/>
        <v>0</v>
      </c>
      <c r="BP50" s="2">
        <f t="shared" si="35"/>
        <v>0</v>
      </c>
    </row>
    <row r="51" spans="1:68" ht="14.45" hidden="1" customHeight="1" x14ac:dyDescent="0.25">
      <c r="A51" s="33" t="s">
        <v>84</v>
      </c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13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5"/>
      <c r="AD51" s="39">
        <f t="shared" si="30"/>
        <v>0</v>
      </c>
      <c r="AE51" s="26" t="s">
        <v>42</v>
      </c>
      <c r="AF51" s="27"/>
      <c r="AG51" s="17">
        <f t="shared" si="1"/>
        <v>0</v>
      </c>
      <c r="AH51" s="28">
        <f t="shared" si="2"/>
        <v>0</v>
      </c>
      <c r="AI51" s="17">
        <f t="shared" si="3"/>
        <v>0</v>
      </c>
      <c r="AJ51" s="28">
        <f t="shared" si="4"/>
        <v>0</v>
      </c>
      <c r="AK51" s="17">
        <f t="shared" si="20"/>
        <v>0</v>
      </c>
      <c r="AL51" s="28">
        <f t="shared" si="5"/>
        <v>0</v>
      </c>
      <c r="AM51" s="17">
        <f t="shared" si="29"/>
        <v>0</v>
      </c>
      <c r="AN51" s="28">
        <f t="shared" si="31"/>
        <v>0</v>
      </c>
      <c r="AO51" s="17">
        <f t="shared" si="7"/>
        <v>0</v>
      </c>
      <c r="AP51" s="28">
        <f t="shared" si="32"/>
        <v>0</v>
      </c>
      <c r="AQ51" s="17">
        <f t="shared" si="9"/>
        <v>0</v>
      </c>
      <c r="AR51" s="28">
        <f t="shared" si="33"/>
        <v>0</v>
      </c>
      <c r="AS51" s="17">
        <f t="shared" si="25"/>
        <v>0</v>
      </c>
      <c r="AT51" s="28">
        <f t="shared" si="26"/>
        <v>0</v>
      </c>
      <c r="AU51" s="17">
        <f t="shared" si="27"/>
        <v>0</v>
      </c>
      <c r="AV51" s="28">
        <f t="shared" si="28"/>
        <v>0</v>
      </c>
      <c r="AW51" s="17">
        <f t="shared" si="11"/>
        <v>0</v>
      </c>
      <c r="AX51" s="28">
        <f t="shared" si="12"/>
        <v>0</v>
      </c>
      <c r="AY51" s="17">
        <f t="shared" si="13"/>
        <v>0</v>
      </c>
      <c r="AZ51" s="28">
        <f t="shared" si="14"/>
        <v>0</v>
      </c>
      <c r="BA51" s="27">
        <f t="shared" si="18"/>
        <v>0</v>
      </c>
      <c r="BB51" s="27">
        <f t="shared" si="19"/>
        <v>0</v>
      </c>
      <c r="BC51" s="27">
        <f t="shared" si="21"/>
        <v>0</v>
      </c>
      <c r="BD51" s="27">
        <f t="shared" si="22"/>
        <v>0</v>
      </c>
      <c r="BE51" s="27">
        <f t="shared" si="23"/>
        <v>0</v>
      </c>
      <c r="BF51" s="29">
        <f t="shared" si="24"/>
        <v>0</v>
      </c>
      <c r="BH51" s="30">
        <f t="shared" si="15"/>
        <v>0</v>
      </c>
      <c r="BM51" s="2">
        <f t="shared" si="34"/>
        <v>0</v>
      </c>
      <c r="BP51" s="2">
        <f t="shared" si="35"/>
        <v>0</v>
      </c>
    </row>
    <row r="52" spans="1:68" ht="14.45" hidden="1" customHeight="1" x14ac:dyDescent="0.25">
      <c r="A52" s="33" t="s">
        <v>85</v>
      </c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13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5"/>
      <c r="AD52" s="39">
        <f t="shared" si="30"/>
        <v>0</v>
      </c>
      <c r="AE52" s="26" t="s">
        <v>42</v>
      </c>
      <c r="AF52" s="27"/>
      <c r="AG52" s="17">
        <f t="shared" si="1"/>
        <v>0</v>
      </c>
      <c r="AH52" s="28">
        <f t="shared" si="2"/>
        <v>0</v>
      </c>
      <c r="AI52" s="17">
        <f t="shared" si="3"/>
        <v>0</v>
      </c>
      <c r="AJ52" s="28">
        <f t="shared" si="4"/>
        <v>0</v>
      </c>
      <c r="AK52" s="17">
        <f t="shared" si="20"/>
        <v>0</v>
      </c>
      <c r="AL52" s="28">
        <f t="shared" si="5"/>
        <v>0</v>
      </c>
      <c r="AM52" s="17">
        <f t="shared" si="29"/>
        <v>0</v>
      </c>
      <c r="AN52" s="28">
        <f t="shared" si="31"/>
        <v>0</v>
      </c>
      <c r="AO52" s="17">
        <f t="shared" si="7"/>
        <v>0</v>
      </c>
      <c r="AP52" s="28">
        <f t="shared" si="32"/>
        <v>0</v>
      </c>
      <c r="AQ52" s="17">
        <f t="shared" si="9"/>
        <v>0</v>
      </c>
      <c r="AR52" s="28">
        <f t="shared" si="33"/>
        <v>0</v>
      </c>
      <c r="AS52" s="17">
        <f t="shared" si="25"/>
        <v>0</v>
      </c>
      <c r="AT52" s="28">
        <f t="shared" si="26"/>
        <v>0</v>
      </c>
      <c r="AU52" s="17">
        <f t="shared" si="27"/>
        <v>0</v>
      </c>
      <c r="AV52" s="28">
        <f t="shared" si="28"/>
        <v>0</v>
      </c>
      <c r="AW52" s="17">
        <f t="shared" si="11"/>
        <v>0</v>
      </c>
      <c r="AX52" s="28">
        <f t="shared" si="12"/>
        <v>0</v>
      </c>
      <c r="AY52" s="17">
        <f t="shared" si="13"/>
        <v>0</v>
      </c>
      <c r="AZ52" s="28">
        <f t="shared" si="14"/>
        <v>0</v>
      </c>
      <c r="BA52" s="27">
        <f t="shared" si="18"/>
        <v>0</v>
      </c>
      <c r="BB52" s="27">
        <f t="shared" si="19"/>
        <v>0</v>
      </c>
      <c r="BC52" s="27">
        <f t="shared" si="21"/>
        <v>0</v>
      </c>
      <c r="BD52" s="27">
        <f t="shared" si="22"/>
        <v>0</v>
      </c>
      <c r="BE52" s="27">
        <f t="shared" si="23"/>
        <v>0</v>
      </c>
      <c r="BF52" s="29">
        <f t="shared" si="24"/>
        <v>0</v>
      </c>
      <c r="BH52" s="30">
        <f t="shared" si="15"/>
        <v>0</v>
      </c>
      <c r="BM52" s="2">
        <f t="shared" si="34"/>
        <v>0</v>
      </c>
      <c r="BP52" s="2">
        <f t="shared" si="35"/>
        <v>0</v>
      </c>
    </row>
    <row r="53" spans="1:68" ht="14.45" hidden="1" customHeight="1" x14ac:dyDescent="0.25">
      <c r="A53" s="33" t="s">
        <v>86</v>
      </c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13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5"/>
      <c r="AD53" s="39">
        <f t="shared" si="30"/>
        <v>0</v>
      </c>
      <c r="AE53" s="26" t="s">
        <v>42</v>
      </c>
      <c r="AF53" s="27"/>
      <c r="AG53" s="17">
        <f t="shared" si="1"/>
        <v>0</v>
      </c>
      <c r="AH53" s="28">
        <f t="shared" si="2"/>
        <v>0</v>
      </c>
      <c r="AI53" s="17">
        <f t="shared" si="3"/>
        <v>0</v>
      </c>
      <c r="AJ53" s="28">
        <f t="shared" si="4"/>
        <v>0</v>
      </c>
      <c r="AK53" s="17">
        <f t="shared" si="20"/>
        <v>0</v>
      </c>
      <c r="AL53" s="28">
        <f t="shared" si="5"/>
        <v>0</v>
      </c>
      <c r="AM53" s="17">
        <f t="shared" si="29"/>
        <v>0</v>
      </c>
      <c r="AN53" s="28">
        <f t="shared" si="31"/>
        <v>0</v>
      </c>
      <c r="AO53" s="17">
        <f t="shared" si="7"/>
        <v>0</v>
      </c>
      <c r="AP53" s="28">
        <f t="shared" si="32"/>
        <v>0</v>
      </c>
      <c r="AQ53" s="17">
        <f t="shared" si="9"/>
        <v>0</v>
      </c>
      <c r="AR53" s="28">
        <f t="shared" si="33"/>
        <v>0</v>
      </c>
      <c r="AS53" s="17">
        <f t="shared" si="25"/>
        <v>0</v>
      </c>
      <c r="AT53" s="28">
        <f t="shared" si="26"/>
        <v>0</v>
      </c>
      <c r="AU53" s="17">
        <f t="shared" si="27"/>
        <v>0</v>
      </c>
      <c r="AV53" s="28">
        <f t="shared" si="28"/>
        <v>0</v>
      </c>
      <c r="AW53" s="17">
        <f t="shared" si="11"/>
        <v>0</v>
      </c>
      <c r="AX53" s="28">
        <f t="shared" si="12"/>
        <v>0</v>
      </c>
      <c r="AY53" s="17">
        <f t="shared" si="13"/>
        <v>0</v>
      </c>
      <c r="AZ53" s="28">
        <f t="shared" si="14"/>
        <v>0</v>
      </c>
      <c r="BA53" s="27">
        <f t="shared" si="18"/>
        <v>0</v>
      </c>
      <c r="BB53" s="27">
        <f t="shared" si="19"/>
        <v>0</v>
      </c>
      <c r="BC53" s="27">
        <f t="shared" si="21"/>
        <v>0</v>
      </c>
      <c r="BD53" s="27">
        <f t="shared" si="22"/>
        <v>0</v>
      </c>
      <c r="BE53" s="27">
        <f t="shared" si="23"/>
        <v>0</v>
      </c>
      <c r="BF53" s="29">
        <f t="shared" si="24"/>
        <v>0</v>
      </c>
      <c r="BH53" s="30">
        <f t="shared" si="15"/>
        <v>0</v>
      </c>
      <c r="BM53" s="2">
        <f t="shared" si="34"/>
        <v>0</v>
      </c>
      <c r="BP53" s="2">
        <f t="shared" si="35"/>
        <v>0</v>
      </c>
    </row>
    <row r="54" spans="1:68" ht="14.45" hidden="1" customHeight="1" x14ac:dyDescent="0.25">
      <c r="A54" s="33" t="s">
        <v>87</v>
      </c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13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5"/>
      <c r="AD54" s="39">
        <f t="shared" si="30"/>
        <v>0</v>
      </c>
      <c r="AE54" s="26" t="s">
        <v>42</v>
      </c>
      <c r="AF54" s="27"/>
      <c r="AG54" s="17">
        <f t="shared" si="1"/>
        <v>0</v>
      </c>
      <c r="AH54" s="28">
        <f t="shared" si="2"/>
        <v>0</v>
      </c>
      <c r="AI54" s="17">
        <f t="shared" si="3"/>
        <v>0</v>
      </c>
      <c r="AJ54" s="28">
        <f t="shared" si="4"/>
        <v>0</v>
      </c>
      <c r="AK54" s="17">
        <f t="shared" si="20"/>
        <v>0</v>
      </c>
      <c r="AL54" s="28">
        <f t="shared" si="5"/>
        <v>0</v>
      </c>
      <c r="AM54" s="17">
        <f t="shared" si="29"/>
        <v>0</v>
      </c>
      <c r="AN54" s="28">
        <f t="shared" si="31"/>
        <v>0</v>
      </c>
      <c r="AO54" s="17">
        <f t="shared" si="7"/>
        <v>0</v>
      </c>
      <c r="AP54" s="28">
        <f t="shared" si="32"/>
        <v>0</v>
      </c>
      <c r="AQ54" s="17">
        <f t="shared" si="9"/>
        <v>0</v>
      </c>
      <c r="AR54" s="28">
        <f t="shared" si="33"/>
        <v>0</v>
      </c>
      <c r="AS54" s="17">
        <f t="shared" si="25"/>
        <v>0</v>
      </c>
      <c r="AT54" s="28">
        <f t="shared" si="26"/>
        <v>0</v>
      </c>
      <c r="AU54" s="17">
        <f t="shared" si="27"/>
        <v>0</v>
      </c>
      <c r="AV54" s="28">
        <f t="shared" si="28"/>
        <v>0</v>
      </c>
      <c r="AW54" s="17">
        <f t="shared" si="11"/>
        <v>0</v>
      </c>
      <c r="AX54" s="28">
        <f t="shared" si="12"/>
        <v>0</v>
      </c>
      <c r="AY54" s="17">
        <f t="shared" si="13"/>
        <v>0</v>
      </c>
      <c r="AZ54" s="28">
        <f t="shared" si="14"/>
        <v>0</v>
      </c>
      <c r="BA54" s="27">
        <f t="shared" si="18"/>
        <v>0</v>
      </c>
      <c r="BB54" s="27">
        <f t="shared" si="19"/>
        <v>0</v>
      </c>
      <c r="BC54" s="27">
        <f t="shared" si="21"/>
        <v>0</v>
      </c>
      <c r="BD54" s="27">
        <f t="shared" si="22"/>
        <v>0</v>
      </c>
      <c r="BE54" s="27">
        <f t="shared" si="23"/>
        <v>0</v>
      </c>
      <c r="BF54" s="29">
        <f t="shared" si="24"/>
        <v>0</v>
      </c>
      <c r="BH54" s="30">
        <f t="shared" si="15"/>
        <v>0</v>
      </c>
      <c r="BM54" s="2">
        <f t="shared" si="34"/>
        <v>0</v>
      </c>
      <c r="BP54" s="2">
        <f t="shared" si="35"/>
        <v>0</v>
      </c>
    </row>
    <row r="55" spans="1:68" ht="14.45" hidden="1" customHeight="1" x14ac:dyDescent="0.25">
      <c r="A55" s="33" t="s">
        <v>88</v>
      </c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13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5"/>
      <c r="AD55" s="39">
        <f t="shared" si="30"/>
        <v>0</v>
      </c>
      <c r="AE55" s="26" t="s">
        <v>42</v>
      </c>
      <c r="AF55" s="27"/>
      <c r="AG55" s="17">
        <f t="shared" si="1"/>
        <v>0</v>
      </c>
      <c r="AH55" s="28">
        <f t="shared" si="2"/>
        <v>0</v>
      </c>
      <c r="AI55" s="17">
        <f t="shared" si="3"/>
        <v>0</v>
      </c>
      <c r="AJ55" s="28">
        <f t="shared" si="4"/>
        <v>0</v>
      </c>
      <c r="AK55" s="17">
        <f t="shared" si="20"/>
        <v>0</v>
      </c>
      <c r="AL55" s="28">
        <f t="shared" si="5"/>
        <v>0</v>
      </c>
      <c r="AM55" s="17">
        <f t="shared" si="29"/>
        <v>0</v>
      </c>
      <c r="AN55" s="28">
        <f t="shared" si="31"/>
        <v>0</v>
      </c>
      <c r="AO55" s="17">
        <f t="shared" si="7"/>
        <v>0</v>
      </c>
      <c r="AP55" s="28">
        <f t="shared" si="32"/>
        <v>0</v>
      </c>
      <c r="AQ55" s="17">
        <f t="shared" si="9"/>
        <v>0</v>
      </c>
      <c r="AR55" s="28">
        <f t="shared" si="33"/>
        <v>0</v>
      </c>
      <c r="AS55" s="17">
        <f t="shared" si="25"/>
        <v>0</v>
      </c>
      <c r="AT55" s="28">
        <f t="shared" si="26"/>
        <v>0</v>
      </c>
      <c r="AU55" s="17">
        <f t="shared" si="27"/>
        <v>0</v>
      </c>
      <c r="AV55" s="28">
        <f t="shared" si="28"/>
        <v>0</v>
      </c>
      <c r="AW55" s="17">
        <f t="shared" si="11"/>
        <v>0</v>
      </c>
      <c r="AX55" s="28">
        <f t="shared" si="12"/>
        <v>0</v>
      </c>
      <c r="AY55" s="17">
        <f t="shared" si="13"/>
        <v>0</v>
      </c>
      <c r="AZ55" s="28">
        <f t="shared" si="14"/>
        <v>0</v>
      </c>
      <c r="BA55" s="27">
        <f t="shared" si="18"/>
        <v>0</v>
      </c>
      <c r="BB55" s="27">
        <f t="shared" si="19"/>
        <v>0</v>
      </c>
      <c r="BC55" s="27">
        <f t="shared" si="21"/>
        <v>0</v>
      </c>
      <c r="BD55" s="27">
        <f t="shared" si="22"/>
        <v>0</v>
      </c>
      <c r="BE55" s="27">
        <f t="shared" si="23"/>
        <v>0</v>
      </c>
      <c r="BF55" s="29">
        <f t="shared" si="24"/>
        <v>0</v>
      </c>
      <c r="BH55" s="30">
        <f t="shared" si="15"/>
        <v>0</v>
      </c>
      <c r="BM55" s="2">
        <f t="shared" si="34"/>
        <v>0</v>
      </c>
      <c r="BP55" s="2">
        <f t="shared" si="35"/>
        <v>0</v>
      </c>
    </row>
    <row r="56" spans="1:68" ht="14.45" hidden="1" customHeight="1" x14ac:dyDescent="0.25">
      <c r="A56" s="33" t="s">
        <v>89</v>
      </c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13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5"/>
      <c r="AD56" s="39">
        <f t="shared" si="30"/>
        <v>0</v>
      </c>
      <c r="AE56" s="26" t="s">
        <v>42</v>
      </c>
      <c r="AF56" s="27"/>
      <c r="AG56" s="17">
        <f t="shared" si="1"/>
        <v>0</v>
      </c>
      <c r="AH56" s="28">
        <f t="shared" si="2"/>
        <v>0</v>
      </c>
      <c r="AI56" s="17">
        <f t="shared" si="3"/>
        <v>0</v>
      </c>
      <c r="AJ56" s="28">
        <f t="shared" si="4"/>
        <v>0</v>
      </c>
      <c r="AK56" s="17">
        <f t="shared" si="20"/>
        <v>0</v>
      </c>
      <c r="AL56" s="28">
        <f t="shared" si="5"/>
        <v>0</v>
      </c>
      <c r="AM56" s="17">
        <f t="shared" si="29"/>
        <v>0</v>
      </c>
      <c r="AN56" s="28">
        <f t="shared" si="31"/>
        <v>0</v>
      </c>
      <c r="AO56" s="17">
        <f t="shared" si="7"/>
        <v>0</v>
      </c>
      <c r="AP56" s="28">
        <f t="shared" si="32"/>
        <v>0</v>
      </c>
      <c r="AQ56" s="17">
        <f t="shared" si="9"/>
        <v>0</v>
      </c>
      <c r="AR56" s="28">
        <f t="shared" si="33"/>
        <v>0</v>
      </c>
      <c r="AS56" s="17">
        <f t="shared" si="25"/>
        <v>0</v>
      </c>
      <c r="AT56" s="28">
        <f t="shared" si="26"/>
        <v>0</v>
      </c>
      <c r="AU56" s="17">
        <f t="shared" si="27"/>
        <v>0</v>
      </c>
      <c r="AV56" s="28">
        <f t="shared" si="28"/>
        <v>0</v>
      </c>
      <c r="AW56" s="17">
        <f t="shared" si="11"/>
        <v>0</v>
      </c>
      <c r="AX56" s="28">
        <f t="shared" si="12"/>
        <v>0</v>
      </c>
      <c r="AY56" s="17">
        <f t="shared" si="13"/>
        <v>0</v>
      </c>
      <c r="AZ56" s="28">
        <f t="shared" si="14"/>
        <v>0</v>
      </c>
      <c r="BA56" s="27">
        <f t="shared" si="18"/>
        <v>0</v>
      </c>
      <c r="BB56" s="27">
        <f t="shared" si="19"/>
        <v>0</v>
      </c>
      <c r="BC56" s="27">
        <f t="shared" si="21"/>
        <v>0</v>
      </c>
      <c r="BD56" s="27">
        <f t="shared" si="22"/>
        <v>0</v>
      </c>
      <c r="BE56" s="27">
        <f t="shared" si="23"/>
        <v>0</v>
      </c>
      <c r="BF56" s="29">
        <f t="shared" si="24"/>
        <v>0</v>
      </c>
      <c r="BH56" s="30">
        <f t="shared" si="15"/>
        <v>0</v>
      </c>
      <c r="BM56" s="2">
        <f t="shared" si="34"/>
        <v>0</v>
      </c>
      <c r="BP56" s="2">
        <f t="shared" si="35"/>
        <v>0</v>
      </c>
    </row>
    <row r="57" spans="1:68" ht="14.45" hidden="1" customHeight="1" x14ac:dyDescent="0.25">
      <c r="A57" s="33" t="s">
        <v>90</v>
      </c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13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5"/>
      <c r="AD57" s="39">
        <f t="shared" si="30"/>
        <v>0</v>
      </c>
      <c r="AE57" s="26" t="s">
        <v>42</v>
      </c>
      <c r="AF57" s="27"/>
      <c r="AG57" s="17">
        <f t="shared" si="1"/>
        <v>0</v>
      </c>
      <c r="AH57" s="28">
        <f t="shared" si="2"/>
        <v>0</v>
      </c>
      <c r="AI57" s="17">
        <f t="shared" si="3"/>
        <v>0</v>
      </c>
      <c r="AJ57" s="28">
        <f t="shared" si="4"/>
        <v>0</v>
      </c>
      <c r="AK57" s="17">
        <f t="shared" si="20"/>
        <v>0</v>
      </c>
      <c r="AL57" s="28">
        <f t="shared" si="5"/>
        <v>0</v>
      </c>
      <c r="AM57" s="17">
        <f t="shared" si="29"/>
        <v>0</v>
      </c>
      <c r="AN57" s="28">
        <f t="shared" si="31"/>
        <v>0</v>
      </c>
      <c r="AO57" s="17">
        <f t="shared" si="7"/>
        <v>0</v>
      </c>
      <c r="AP57" s="28">
        <f t="shared" si="32"/>
        <v>0</v>
      </c>
      <c r="AQ57" s="17">
        <f t="shared" si="9"/>
        <v>0</v>
      </c>
      <c r="AR57" s="28">
        <f t="shared" si="33"/>
        <v>0</v>
      </c>
      <c r="AS57" s="17">
        <f t="shared" si="25"/>
        <v>0</v>
      </c>
      <c r="AT57" s="28">
        <f t="shared" si="26"/>
        <v>0</v>
      </c>
      <c r="AU57" s="17">
        <f t="shared" si="27"/>
        <v>0</v>
      </c>
      <c r="AV57" s="28">
        <f t="shared" si="28"/>
        <v>0</v>
      </c>
      <c r="AW57" s="17">
        <f t="shared" si="11"/>
        <v>0</v>
      </c>
      <c r="AX57" s="28">
        <f t="shared" si="12"/>
        <v>0</v>
      </c>
      <c r="AY57" s="17">
        <f t="shared" si="13"/>
        <v>0</v>
      </c>
      <c r="AZ57" s="28">
        <f t="shared" si="14"/>
        <v>0</v>
      </c>
      <c r="BA57" s="27">
        <f t="shared" si="18"/>
        <v>0</v>
      </c>
      <c r="BB57" s="27">
        <f t="shared" si="19"/>
        <v>0</v>
      </c>
      <c r="BC57" s="27">
        <f t="shared" si="21"/>
        <v>0</v>
      </c>
      <c r="BD57" s="27">
        <f t="shared" si="22"/>
        <v>0</v>
      </c>
      <c r="BE57" s="27">
        <f t="shared" si="23"/>
        <v>0</v>
      </c>
      <c r="BF57" s="29">
        <f t="shared" si="24"/>
        <v>0</v>
      </c>
      <c r="BH57" s="30">
        <f t="shared" si="15"/>
        <v>0</v>
      </c>
      <c r="BM57" s="2">
        <f t="shared" si="34"/>
        <v>0</v>
      </c>
      <c r="BP57" s="2">
        <f t="shared" si="35"/>
        <v>0</v>
      </c>
    </row>
    <row r="58" spans="1:68" ht="14.45" hidden="1" customHeight="1" x14ac:dyDescent="0.25">
      <c r="A58" s="33" t="s">
        <v>91</v>
      </c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13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5"/>
      <c r="AD58" s="39">
        <f t="shared" si="30"/>
        <v>0</v>
      </c>
      <c r="AE58" s="26" t="s">
        <v>42</v>
      </c>
      <c r="AF58" s="27"/>
      <c r="AG58" s="17">
        <f t="shared" si="1"/>
        <v>0</v>
      </c>
      <c r="AH58" s="28">
        <f t="shared" si="2"/>
        <v>0</v>
      </c>
      <c r="AI58" s="17">
        <f t="shared" si="3"/>
        <v>0</v>
      </c>
      <c r="AJ58" s="28">
        <f t="shared" si="4"/>
        <v>0</v>
      </c>
      <c r="AK58" s="17">
        <f t="shared" si="20"/>
        <v>0</v>
      </c>
      <c r="AL58" s="28">
        <f t="shared" si="5"/>
        <v>0</v>
      </c>
      <c r="AM58" s="17">
        <f t="shared" si="29"/>
        <v>0</v>
      </c>
      <c r="AN58" s="28">
        <f t="shared" si="31"/>
        <v>0</v>
      </c>
      <c r="AO58" s="17">
        <f t="shared" si="7"/>
        <v>0</v>
      </c>
      <c r="AP58" s="28">
        <f t="shared" si="32"/>
        <v>0</v>
      </c>
      <c r="AQ58" s="17">
        <f t="shared" si="9"/>
        <v>0</v>
      </c>
      <c r="AR58" s="28">
        <f t="shared" si="33"/>
        <v>0</v>
      </c>
      <c r="AS58" s="17">
        <f t="shared" si="25"/>
        <v>0</v>
      </c>
      <c r="AT58" s="28">
        <f t="shared" si="26"/>
        <v>0</v>
      </c>
      <c r="AU58" s="17">
        <f t="shared" si="27"/>
        <v>0</v>
      </c>
      <c r="AV58" s="28">
        <f t="shared" si="28"/>
        <v>0</v>
      </c>
      <c r="AW58" s="17">
        <f t="shared" si="11"/>
        <v>0</v>
      </c>
      <c r="AX58" s="28">
        <f t="shared" si="12"/>
        <v>0</v>
      </c>
      <c r="AY58" s="17">
        <f t="shared" si="13"/>
        <v>0</v>
      </c>
      <c r="AZ58" s="28">
        <f t="shared" si="14"/>
        <v>0</v>
      </c>
      <c r="BA58" s="27">
        <f t="shared" si="18"/>
        <v>0</v>
      </c>
      <c r="BB58" s="27">
        <f t="shared" si="19"/>
        <v>0</v>
      </c>
      <c r="BC58" s="27">
        <f t="shared" si="21"/>
        <v>0</v>
      </c>
      <c r="BD58" s="27">
        <f t="shared" si="22"/>
        <v>0</v>
      </c>
      <c r="BE58" s="27">
        <f t="shared" si="23"/>
        <v>0</v>
      </c>
      <c r="BF58" s="29">
        <f t="shared" si="24"/>
        <v>0</v>
      </c>
      <c r="BH58" s="30">
        <f t="shared" si="15"/>
        <v>0</v>
      </c>
      <c r="BM58" s="2">
        <f t="shared" si="34"/>
        <v>0</v>
      </c>
      <c r="BP58" s="2">
        <f t="shared" si="35"/>
        <v>0</v>
      </c>
    </row>
    <row r="59" spans="1:68" ht="14.45" hidden="1" customHeight="1" x14ac:dyDescent="0.25">
      <c r="A59" s="33" t="s">
        <v>92</v>
      </c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13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5"/>
      <c r="AD59" s="39">
        <f t="shared" si="30"/>
        <v>0</v>
      </c>
      <c r="AE59" s="26" t="s">
        <v>42</v>
      </c>
      <c r="AF59" s="27"/>
      <c r="AG59" s="17">
        <f t="shared" si="1"/>
        <v>0</v>
      </c>
      <c r="AH59" s="28">
        <f t="shared" si="2"/>
        <v>0</v>
      </c>
      <c r="AI59" s="17">
        <f t="shared" si="3"/>
        <v>0</v>
      </c>
      <c r="AJ59" s="28">
        <f t="shared" si="4"/>
        <v>0</v>
      </c>
      <c r="AK59" s="17">
        <f t="shared" si="20"/>
        <v>0</v>
      </c>
      <c r="AL59" s="28">
        <f t="shared" si="5"/>
        <v>0</v>
      </c>
      <c r="AM59" s="17">
        <f t="shared" si="29"/>
        <v>0</v>
      </c>
      <c r="AN59" s="28">
        <f t="shared" si="31"/>
        <v>0</v>
      </c>
      <c r="AO59" s="17">
        <f t="shared" si="7"/>
        <v>0</v>
      </c>
      <c r="AP59" s="28">
        <f t="shared" si="32"/>
        <v>0</v>
      </c>
      <c r="AQ59" s="17">
        <f t="shared" si="9"/>
        <v>0</v>
      </c>
      <c r="AR59" s="28">
        <f t="shared" si="33"/>
        <v>0</v>
      </c>
      <c r="AS59" s="17">
        <f t="shared" si="25"/>
        <v>0</v>
      </c>
      <c r="AT59" s="28">
        <f t="shared" si="26"/>
        <v>0</v>
      </c>
      <c r="AU59" s="17">
        <f t="shared" si="27"/>
        <v>0</v>
      </c>
      <c r="AV59" s="28">
        <f t="shared" si="28"/>
        <v>0</v>
      </c>
      <c r="AW59" s="17">
        <f t="shared" si="11"/>
        <v>0</v>
      </c>
      <c r="AX59" s="28">
        <f t="shared" si="12"/>
        <v>0</v>
      </c>
      <c r="AY59" s="17">
        <f t="shared" si="13"/>
        <v>0</v>
      </c>
      <c r="AZ59" s="28">
        <f t="shared" si="14"/>
        <v>0</v>
      </c>
      <c r="BA59" s="27">
        <f t="shared" si="18"/>
        <v>0</v>
      </c>
      <c r="BB59" s="27">
        <f t="shared" si="19"/>
        <v>0</v>
      </c>
      <c r="BC59" s="27">
        <f t="shared" si="21"/>
        <v>0</v>
      </c>
      <c r="BD59" s="27">
        <f t="shared" si="22"/>
        <v>0</v>
      </c>
      <c r="BE59" s="27">
        <f t="shared" si="23"/>
        <v>0</v>
      </c>
      <c r="BF59" s="29">
        <f t="shared" si="24"/>
        <v>0</v>
      </c>
      <c r="BH59" s="30">
        <f t="shared" si="15"/>
        <v>0</v>
      </c>
      <c r="BM59" s="2">
        <f t="shared" si="34"/>
        <v>0</v>
      </c>
      <c r="BP59" s="2">
        <f t="shared" si="35"/>
        <v>0</v>
      </c>
    </row>
    <row r="60" spans="1:68" ht="14.45" hidden="1" customHeight="1" x14ac:dyDescent="0.25">
      <c r="A60" s="33" t="s">
        <v>93</v>
      </c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13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5"/>
      <c r="AD60" s="39">
        <f t="shared" si="30"/>
        <v>0</v>
      </c>
      <c r="AE60" s="26" t="s">
        <v>42</v>
      </c>
      <c r="AF60" s="27"/>
      <c r="AG60" s="17">
        <f t="shared" si="1"/>
        <v>0</v>
      </c>
      <c r="AH60" s="28">
        <f t="shared" si="2"/>
        <v>0</v>
      </c>
      <c r="AI60" s="17">
        <f t="shared" si="3"/>
        <v>0</v>
      </c>
      <c r="AJ60" s="28">
        <f t="shared" si="4"/>
        <v>0</v>
      </c>
      <c r="AK60" s="17">
        <f t="shared" si="20"/>
        <v>0</v>
      </c>
      <c r="AL60" s="28">
        <f t="shared" si="5"/>
        <v>0</v>
      </c>
      <c r="AM60" s="17">
        <f t="shared" si="29"/>
        <v>0</v>
      </c>
      <c r="AN60" s="28">
        <f t="shared" si="31"/>
        <v>0</v>
      </c>
      <c r="AO60" s="17">
        <f t="shared" si="7"/>
        <v>0</v>
      </c>
      <c r="AP60" s="28">
        <f t="shared" si="32"/>
        <v>0</v>
      </c>
      <c r="AQ60" s="17">
        <f t="shared" si="9"/>
        <v>0</v>
      </c>
      <c r="AR60" s="28">
        <f t="shared" si="33"/>
        <v>0</v>
      </c>
      <c r="AS60" s="17">
        <f t="shared" si="25"/>
        <v>0</v>
      </c>
      <c r="AT60" s="28">
        <f t="shared" si="26"/>
        <v>0</v>
      </c>
      <c r="AU60" s="17">
        <f t="shared" si="27"/>
        <v>0</v>
      </c>
      <c r="AV60" s="28">
        <f t="shared" si="28"/>
        <v>0</v>
      </c>
      <c r="AW60" s="17">
        <f t="shared" si="11"/>
        <v>0</v>
      </c>
      <c r="AX60" s="28">
        <f t="shared" si="12"/>
        <v>0</v>
      </c>
      <c r="AY60" s="17">
        <f t="shared" si="13"/>
        <v>0</v>
      </c>
      <c r="AZ60" s="28">
        <f t="shared" si="14"/>
        <v>0</v>
      </c>
      <c r="BA60" s="27">
        <f t="shared" si="18"/>
        <v>0</v>
      </c>
      <c r="BB60" s="27">
        <f t="shared" si="19"/>
        <v>0</v>
      </c>
      <c r="BC60" s="27">
        <f t="shared" si="21"/>
        <v>0</v>
      </c>
      <c r="BD60" s="27">
        <f t="shared" si="22"/>
        <v>0</v>
      </c>
      <c r="BE60" s="27">
        <f t="shared" si="23"/>
        <v>0</v>
      </c>
      <c r="BF60" s="29">
        <f t="shared" si="24"/>
        <v>0</v>
      </c>
      <c r="BH60" s="30">
        <f t="shared" si="15"/>
        <v>0</v>
      </c>
      <c r="BM60" s="2">
        <f t="shared" si="34"/>
        <v>0</v>
      </c>
      <c r="BP60" s="2">
        <f t="shared" si="35"/>
        <v>0</v>
      </c>
    </row>
    <row r="61" spans="1:68" ht="14.45" hidden="1" customHeight="1" x14ac:dyDescent="0.25">
      <c r="A61" s="33" t="s">
        <v>94</v>
      </c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13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5"/>
      <c r="AD61" s="39">
        <f t="shared" si="30"/>
        <v>0</v>
      </c>
      <c r="AE61" s="26" t="s">
        <v>42</v>
      </c>
      <c r="AF61" s="27"/>
      <c r="AG61" s="17">
        <f t="shared" si="1"/>
        <v>0</v>
      </c>
      <c r="AH61" s="28">
        <f t="shared" si="2"/>
        <v>0</v>
      </c>
      <c r="AI61" s="17">
        <f t="shared" si="3"/>
        <v>0</v>
      </c>
      <c r="AJ61" s="28">
        <f t="shared" si="4"/>
        <v>0</v>
      </c>
      <c r="AK61" s="17">
        <f t="shared" si="20"/>
        <v>0</v>
      </c>
      <c r="AL61" s="28">
        <f t="shared" si="5"/>
        <v>0</v>
      </c>
      <c r="AM61" s="17">
        <f t="shared" si="29"/>
        <v>0</v>
      </c>
      <c r="AN61" s="28">
        <f t="shared" si="31"/>
        <v>0</v>
      </c>
      <c r="AO61" s="17">
        <f t="shared" si="7"/>
        <v>0</v>
      </c>
      <c r="AP61" s="28">
        <f t="shared" si="32"/>
        <v>0</v>
      </c>
      <c r="AQ61" s="17">
        <f t="shared" si="9"/>
        <v>0</v>
      </c>
      <c r="AR61" s="28">
        <f t="shared" si="33"/>
        <v>0</v>
      </c>
      <c r="AS61" s="17">
        <f t="shared" si="25"/>
        <v>0</v>
      </c>
      <c r="AT61" s="28">
        <f t="shared" si="26"/>
        <v>0</v>
      </c>
      <c r="AU61" s="17">
        <f t="shared" si="27"/>
        <v>0</v>
      </c>
      <c r="AV61" s="28">
        <f t="shared" si="28"/>
        <v>0</v>
      </c>
      <c r="AW61" s="17">
        <f t="shared" si="11"/>
        <v>0</v>
      </c>
      <c r="AX61" s="28">
        <f t="shared" si="12"/>
        <v>0</v>
      </c>
      <c r="AY61" s="17">
        <f t="shared" si="13"/>
        <v>0</v>
      </c>
      <c r="AZ61" s="28">
        <f t="shared" si="14"/>
        <v>0</v>
      </c>
      <c r="BA61" s="27">
        <f t="shared" si="18"/>
        <v>0</v>
      </c>
      <c r="BB61" s="27">
        <f t="shared" si="19"/>
        <v>0</v>
      </c>
      <c r="BC61" s="27">
        <f t="shared" si="21"/>
        <v>0</v>
      </c>
      <c r="BD61" s="27">
        <f t="shared" si="22"/>
        <v>0</v>
      </c>
      <c r="BE61" s="27">
        <f t="shared" si="23"/>
        <v>0</v>
      </c>
      <c r="BF61" s="29">
        <f t="shared" si="24"/>
        <v>0</v>
      </c>
      <c r="BH61" s="30">
        <f t="shared" si="15"/>
        <v>0</v>
      </c>
      <c r="BM61" s="2">
        <f t="shared" si="34"/>
        <v>0</v>
      </c>
      <c r="BP61" s="2">
        <f t="shared" si="35"/>
        <v>0</v>
      </c>
    </row>
    <row r="62" spans="1:68" ht="14.45" hidden="1" customHeight="1" x14ac:dyDescent="0.25">
      <c r="A62" s="33" t="s">
        <v>95</v>
      </c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13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5"/>
      <c r="AD62" s="39">
        <f t="shared" si="30"/>
        <v>0</v>
      </c>
      <c r="AE62" s="26" t="s">
        <v>42</v>
      </c>
      <c r="AF62" s="27"/>
      <c r="AG62" s="17">
        <f t="shared" si="1"/>
        <v>0</v>
      </c>
      <c r="AH62" s="28">
        <f t="shared" si="2"/>
        <v>0</v>
      </c>
      <c r="AI62" s="17">
        <f t="shared" si="3"/>
        <v>0</v>
      </c>
      <c r="AJ62" s="28">
        <f t="shared" si="4"/>
        <v>0</v>
      </c>
      <c r="AK62" s="17">
        <f t="shared" si="20"/>
        <v>0</v>
      </c>
      <c r="AL62" s="28">
        <f t="shared" si="5"/>
        <v>0</v>
      </c>
      <c r="AM62" s="17">
        <f t="shared" si="29"/>
        <v>0</v>
      </c>
      <c r="AN62" s="28">
        <f t="shared" si="31"/>
        <v>0</v>
      </c>
      <c r="AO62" s="17">
        <f t="shared" si="7"/>
        <v>0</v>
      </c>
      <c r="AP62" s="28">
        <f t="shared" si="32"/>
        <v>0</v>
      </c>
      <c r="AQ62" s="17">
        <f t="shared" si="9"/>
        <v>0</v>
      </c>
      <c r="AR62" s="28">
        <f t="shared" si="33"/>
        <v>0</v>
      </c>
      <c r="AS62" s="17">
        <f t="shared" si="25"/>
        <v>0</v>
      </c>
      <c r="AT62" s="28">
        <f t="shared" si="26"/>
        <v>0</v>
      </c>
      <c r="AU62" s="17">
        <f t="shared" si="27"/>
        <v>0</v>
      </c>
      <c r="AV62" s="28">
        <f t="shared" si="28"/>
        <v>0</v>
      </c>
      <c r="AW62" s="17">
        <f t="shared" si="11"/>
        <v>0</v>
      </c>
      <c r="AX62" s="28">
        <f t="shared" si="12"/>
        <v>0</v>
      </c>
      <c r="AY62" s="17">
        <f t="shared" si="13"/>
        <v>0</v>
      </c>
      <c r="AZ62" s="28">
        <f t="shared" si="14"/>
        <v>0</v>
      </c>
      <c r="BA62" s="27">
        <f t="shared" si="18"/>
        <v>0</v>
      </c>
      <c r="BB62" s="27">
        <f t="shared" si="19"/>
        <v>0</v>
      </c>
      <c r="BC62" s="27">
        <f t="shared" si="21"/>
        <v>0</v>
      </c>
      <c r="BD62" s="27">
        <f t="shared" si="22"/>
        <v>0</v>
      </c>
      <c r="BE62" s="27">
        <f t="shared" si="23"/>
        <v>0</v>
      </c>
      <c r="BF62" s="29">
        <f t="shared" si="24"/>
        <v>0</v>
      </c>
      <c r="BH62" s="30">
        <f t="shared" si="15"/>
        <v>0</v>
      </c>
      <c r="BM62" s="2">
        <f t="shared" si="34"/>
        <v>0</v>
      </c>
      <c r="BP62" s="2">
        <f t="shared" si="35"/>
        <v>0</v>
      </c>
    </row>
    <row r="63" spans="1:68" ht="14.45" hidden="1" customHeight="1" x14ac:dyDescent="0.25">
      <c r="A63" s="33" t="s">
        <v>96</v>
      </c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13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5"/>
      <c r="AD63" s="39">
        <f t="shared" si="30"/>
        <v>0</v>
      </c>
      <c r="AE63" s="26" t="s">
        <v>42</v>
      </c>
      <c r="AF63" s="27"/>
      <c r="AG63" s="17">
        <f t="shared" si="1"/>
        <v>0</v>
      </c>
      <c r="AH63" s="28">
        <f t="shared" si="2"/>
        <v>0</v>
      </c>
      <c r="AI63" s="17">
        <f t="shared" si="3"/>
        <v>0</v>
      </c>
      <c r="AJ63" s="28">
        <f t="shared" si="4"/>
        <v>0</v>
      </c>
      <c r="AK63" s="17">
        <f t="shared" si="20"/>
        <v>0</v>
      </c>
      <c r="AL63" s="28">
        <f t="shared" si="5"/>
        <v>0</v>
      </c>
      <c r="AM63" s="17">
        <f t="shared" si="29"/>
        <v>0</v>
      </c>
      <c r="AN63" s="28">
        <f t="shared" si="31"/>
        <v>0</v>
      </c>
      <c r="AO63" s="17">
        <f t="shared" si="7"/>
        <v>0</v>
      </c>
      <c r="AP63" s="28">
        <f t="shared" si="32"/>
        <v>0</v>
      </c>
      <c r="AQ63" s="17">
        <f t="shared" si="9"/>
        <v>0</v>
      </c>
      <c r="AR63" s="28">
        <f t="shared" si="33"/>
        <v>0</v>
      </c>
      <c r="AS63" s="17">
        <f t="shared" si="25"/>
        <v>0</v>
      </c>
      <c r="AT63" s="28">
        <f t="shared" si="26"/>
        <v>0</v>
      </c>
      <c r="AU63" s="17">
        <f t="shared" si="27"/>
        <v>0</v>
      </c>
      <c r="AV63" s="28">
        <f t="shared" si="28"/>
        <v>0</v>
      </c>
      <c r="AW63" s="17">
        <f t="shared" si="11"/>
        <v>0</v>
      </c>
      <c r="AX63" s="28">
        <f t="shared" si="12"/>
        <v>0</v>
      </c>
      <c r="AY63" s="17">
        <f t="shared" si="13"/>
        <v>0</v>
      </c>
      <c r="AZ63" s="28">
        <f t="shared" si="14"/>
        <v>0</v>
      </c>
      <c r="BA63" s="27">
        <f t="shared" si="18"/>
        <v>0</v>
      </c>
      <c r="BB63" s="27">
        <f t="shared" si="19"/>
        <v>0</v>
      </c>
      <c r="BC63" s="27">
        <f t="shared" si="21"/>
        <v>0</v>
      </c>
      <c r="BD63" s="27">
        <f t="shared" si="22"/>
        <v>0</v>
      </c>
      <c r="BE63" s="27">
        <f t="shared" si="23"/>
        <v>0</v>
      </c>
      <c r="BF63" s="29">
        <f t="shared" si="24"/>
        <v>0</v>
      </c>
      <c r="BH63" s="30">
        <f t="shared" si="15"/>
        <v>0</v>
      </c>
      <c r="BM63" s="2">
        <f t="shared" si="34"/>
        <v>0</v>
      </c>
      <c r="BP63" s="2">
        <f t="shared" si="35"/>
        <v>0</v>
      </c>
    </row>
    <row r="64" spans="1:68" ht="14.45" hidden="1" customHeight="1" x14ac:dyDescent="0.25">
      <c r="A64" s="33" t="s">
        <v>97</v>
      </c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13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5"/>
      <c r="AD64" s="39">
        <f t="shared" si="30"/>
        <v>0</v>
      </c>
      <c r="AE64" s="26" t="s">
        <v>42</v>
      </c>
      <c r="AF64" s="27"/>
      <c r="AG64" s="17">
        <f t="shared" si="1"/>
        <v>0</v>
      </c>
      <c r="AH64" s="28">
        <f t="shared" si="2"/>
        <v>0</v>
      </c>
      <c r="AI64" s="17">
        <f t="shared" si="3"/>
        <v>0</v>
      </c>
      <c r="AJ64" s="28">
        <f t="shared" si="4"/>
        <v>0</v>
      </c>
      <c r="AK64" s="17">
        <f t="shared" si="20"/>
        <v>0</v>
      </c>
      <c r="AL64" s="28">
        <f t="shared" si="5"/>
        <v>0</v>
      </c>
      <c r="AM64" s="17">
        <f t="shared" si="29"/>
        <v>0</v>
      </c>
      <c r="AN64" s="28">
        <f t="shared" si="31"/>
        <v>0</v>
      </c>
      <c r="AO64" s="17">
        <f t="shared" si="7"/>
        <v>0</v>
      </c>
      <c r="AP64" s="28">
        <f t="shared" si="32"/>
        <v>0</v>
      </c>
      <c r="AQ64" s="17">
        <f t="shared" si="9"/>
        <v>0</v>
      </c>
      <c r="AR64" s="28">
        <f t="shared" si="33"/>
        <v>0</v>
      </c>
      <c r="AS64" s="17">
        <f t="shared" si="25"/>
        <v>0</v>
      </c>
      <c r="AT64" s="28">
        <f t="shared" si="26"/>
        <v>0</v>
      </c>
      <c r="AU64" s="17">
        <f t="shared" si="27"/>
        <v>0</v>
      </c>
      <c r="AV64" s="28">
        <f t="shared" si="28"/>
        <v>0</v>
      </c>
      <c r="AW64" s="17">
        <f t="shared" si="11"/>
        <v>0</v>
      </c>
      <c r="AX64" s="28">
        <f t="shared" si="12"/>
        <v>0</v>
      </c>
      <c r="AY64" s="17">
        <f t="shared" si="13"/>
        <v>0</v>
      </c>
      <c r="AZ64" s="28">
        <f t="shared" si="14"/>
        <v>0</v>
      </c>
      <c r="BA64" s="27">
        <f t="shared" si="18"/>
        <v>0</v>
      </c>
      <c r="BB64" s="27">
        <f t="shared" si="19"/>
        <v>0</v>
      </c>
      <c r="BC64" s="27">
        <f t="shared" si="21"/>
        <v>0</v>
      </c>
      <c r="BD64" s="27">
        <f t="shared" si="22"/>
        <v>0</v>
      </c>
      <c r="BE64" s="27">
        <f t="shared" si="23"/>
        <v>0</v>
      </c>
      <c r="BF64" s="29">
        <f t="shared" si="24"/>
        <v>0</v>
      </c>
      <c r="BH64" s="30">
        <f t="shared" si="15"/>
        <v>0</v>
      </c>
      <c r="BM64" s="2">
        <f t="shared" si="34"/>
        <v>0</v>
      </c>
      <c r="BP64" s="2">
        <f t="shared" si="35"/>
        <v>0</v>
      </c>
    </row>
    <row r="65" spans="1:68" ht="14.45" hidden="1" customHeight="1" x14ac:dyDescent="0.25">
      <c r="A65" s="33" t="s">
        <v>98</v>
      </c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13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5"/>
      <c r="AD65" s="39">
        <f t="shared" si="30"/>
        <v>0</v>
      </c>
      <c r="AE65" s="26" t="s">
        <v>42</v>
      </c>
      <c r="AF65" s="27"/>
      <c r="AG65" s="17">
        <f t="shared" si="1"/>
        <v>0</v>
      </c>
      <c r="AH65" s="28">
        <f t="shared" si="2"/>
        <v>0</v>
      </c>
      <c r="AI65" s="17">
        <f t="shared" si="3"/>
        <v>0</v>
      </c>
      <c r="AJ65" s="28">
        <f t="shared" si="4"/>
        <v>0</v>
      </c>
      <c r="AK65" s="17">
        <f t="shared" si="20"/>
        <v>0</v>
      </c>
      <c r="AL65" s="28">
        <f t="shared" si="5"/>
        <v>0</v>
      </c>
      <c r="AM65" s="17">
        <f t="shared" si="29"/>
        <v>0</v>
      </c>
      <c r="AN65" s="28">
        <f t="shared" si="31"/>
        <v>0</v>
      </c>
      <c r="AO65" s="17">
        <f t="shared" si="7"/>
        <v>0</v>
      </c>
      <c r="AP65" s="28">
        <f t="shared" si="32"/>
        <v>0</v>
      </c>
      <c r="AQ65" s="17">
        <f t="shared" si="9"/>
        <v>0</v>
      </c>
      <c r="AR65" s="28">
        <f t="shared" si="33"/>
        <v>0</v>
      </c>
      <c r="AS65" s="17">
        <f t="shared" si="25"/>
        <v>0</v>
      </c>
      <c r="AT65" s="28">
        <f t="shared" si="26"/>
        <v>0</v>
      </c>
      <c r="AU65" s="17">
        <f t="shared" si="27"/>
        <v>0</v>
      </c>
      <c r="AV65" s="28">
        <f t="shared" si="28"/>
        <v>0</v>
      </c>
      <c r="AW65" s="17">
        <f t="shared" si="11"/>
        <v>0</v>
      </c>
      <c r="AX65" s="28">
        <f t="shared" si="12"/>
        <v>0</v>
      </c>
      <c r="AY65" s="17">
        <f t="shared" si="13"/>
        <v>0</v>
      </c>
      <c r="AZ65" s="28">
        <f t="shared" si="14"/>
        <v>0</v>
      </c>
      <c r="BA65" s="27">
        <f t="shared" si="18"/>
        <v>0</v>
      </c>
      <c r="BB65" s="27">
        <f t="shared" si="19"/>
        <v>0</v>
      </c>
      <c r="BC65" s="27">
        <f t="shared" si="21"/>
        <v>0</v>
      </c>
      <c r="BD65" s="27">
        <f t="shared" si="22"/>
        <v>0</v>
      </c>
      <c r="BE65" s="27">
        <f t="shared" si="23"/>
        <v>0</v>
      </c>
      <c r="BF65" s="29">
        <f t="shared" si="24"/>
        <v>0</v>
      </c>
      <c r="BH65" s="30">
        <f t="shared" si="15"/>
        <v>0</v>
      </c>
      <c r="BM65" s="2">
        <f t="shared" si="34"/>
        <v>0</v>
      </c>
      <c r="BP65" s="2">
        <f t="shared" si="35"/>
        <v>0</v>
      </c>
    </row>
    <row r="66" spans="1:68" ht="14.45" hidden="1" customHeight="1" x14ac:dyDescent="0.25">
      <c r="A66" s="33" t="s">
        <v>99</v>
      </c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13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5"/>
      <c r="AD66" s="39">
        <f t="shared" si="30"/>
        <v>0</v>
      </c>
      <c r="AE66" s="26" t="s">
        <v>42</v>
      </c>
      <c r="AF66" s="27"/>
      <c r="AG66" s="17">
        <f t="shared" si="1"/>
        <v>0</v>
      </c>
      <c r="AH66" s="28">
        <f t="shared" si="2"/>
        <v>0</v>
      </c>
      <c r="AI66" s="17">
        <f t="shared" si="3"/>
        <v>0</v>
      </c>
      <c r="AJ66" s="28">
        <f t="shared" si="4"/>
        <v>0</v>
      </c>
      <c r="AK66" s="17">
        <f t="shared" si="20"/>
        <v>0</v>
      </c>
      <c r="AL66" s="28">
        <f t="shared" si="5"/>
        <v>0</v>
      </c>
      <c r="AM66" s="17">
        <f t="shared" si="29"/>
        <v>0</v>
      </c>
      <c r="AN66" s="28">
        <f t="shared" si="31"/>
        <v>0</v>
      </c>
      <c r="AO66" s="17">
        <f t="shared" si="7"/>
        <v>0</v>
      </c>
      <c r="AP66" s="28">
        <f t="shared" si="32"/>
        <v>0</v>
      </c>
      <c r="AQ66" s="17">
        <f t="shared" si="9"/>
        <v>0</v>
      </c>
      <c r="AR66" s="28">
        <f t="shared" si="33"/>
        <v>0</v>
      </c>
      <c r="AS66" s="17">
        <f t="shared" si="25"/>
        <v>0</v>
      </c>
      <c r="AT66" s="28">
        <f t="shared" si="26"/>
        <v>0</v>
      </c>
      <c r="AU66" s="17">
        <f t="shared" si="27"/>
        <v>0</v>
      </c>
      <c r="AV66" s="28">
        <f t="shared" si="28"/>
        <v>0</v>
      </c>
      <c r="AW66" s="17">
        <f t="shared" si="11"/>
        <v>0</v>
      </c>
      <c r="AX66" s="28">
        <f t="shared" si="12"/>
        <v>0</v>
      </c>
      <c r="AY66" s="17">
        <f t="shared" si="13"/>
        <v>0</v>
      </c>
      <c r="AZ66" s="28">
        <f t="shared" si="14"/>
        <v>0</v>
      </c>
      <c r="BA66" s="27">
        <f t="shared" si="18"/>
        <v>0</v>
      </c>
      <c r="BB66" s="27">
        <f t="shared" si="19"/>
        <v>0</v>
      </c>
      <c r="BC66" s="27">
        <f t="shared" si="21"/>
        <v>0</v>
      </c>
      <c r="BD66" s="27">
        <f t="shared" si="22"/>
        <v>0</v>
      </c>
      <c r="BE66" s="27">
        <f t="shared" si="23"/>
        <v>0</v>
      </c>
      <c r="BF66" s="29">
        <f t="shared" si="24"/>
        <v>0</v>
      </c>
      <c r="BH66" s="30">
        <f t="shared" si="15"/>
        <v>0</v>
      </c>
      <c r="BM66" s="2">
        <f t="shared" si="34"/>
        <v>0</v>
      </c>
      <c r="BP66" s="2">
        <f t="shared" si="35"/>
        <v>0</v>
      </c>
    </row>
    <row r="67" spans="1:68" ht="14.45" customHeight="1" x14ac:dyDescent="0.25">
      <c r="A67" s="33" t="s">
        <v>100</v>
      </c>
      <c r="B67" s="23"/>
      <c r="C67" s="24"/>
      <c r="D67" s="24">
        <v>59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13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5"/>
      <c r="AD67" s="39">
        <f t="shared" si="30"/>
        <v>59</v>
      </c>
      <c r="AE67" s="26"/>
      <c r="AF67" s="27">
        <v>5500</v>
      </c>
      <c r="AG67" s="17">
        <f t="shared" si="1"/>
        <v>0</v>
      </c>
      <c r="AH67" s="28">
        <f t="shared" si="2"/>
        <v>0</v>
      </c>
      <c r="AI67" s="17">
        <f t="shared" si="3"/>
        <v>0</v>
      </c>
      <c r="AJ67" s="28">
        <f t="shared" si="4"/>
        <v>0</v>
      </c>
      <c r="AK67" s="17">
        <f t="shared" si="20"/>
        <v>0</v>
      </c>
      <c r="AL67" s="28">
        <f t="shared" si="5"/>
        <v>0</v>
      </c>
      <c r="AM67" s="17">
        <f t="shared" si="29"/>
        <v>0</v>
      </c>
      <c r="AN67" s="28"/>
      <c r="AO67" s="17"/>
      <c r="AP67" s="28"/>
      <c r="AQ67" s="17"/>
      <c r="AR67" s="28"/>
      <c r="AS67" s="17">
        <f t="shared" si="25"/>
        <v>0</v>
      </c>
      <c r="AT67" s="28">
        <f t="shared" si="26"/>
        <v>0</v>
      </c>
      <c r="AU67" s="17">
        <f t="shared" si="27"/>
        <v>0</v>
      </c>
      <c r="AV67" s="28">
        <f t="shared" si="28"/>
        <v>0</v>
      </c>
      <c r="AW67" s="17">
        <f t="shared" si="11"/>
        <v>59</v>
      </c>
      <c r="AX67" s="28">
        <f t="shared" si="12"/>
        <v>324500</v>
      </c>
      <c r="AY67" s="17">
        <f t="shared" si="13"/>
        <v>0</v>
      </c>
      <c r="AZ67" s="28">
        <f t="shared" si="14"/>
        <v>0</v>
      </c>
      <c r="BA67" s="27"/>
      <c r="BB67" s="27">
        <f t="shared" si="19"/>
        <v>0</v>
      </c>
      <c r="BC67" s="27">
        <f t="shared" si="21"/>
        <v>0</v>
      </c>
      <c r="BD67" s="27">
        <f t="shared" si="22"/>
        <v>0</v>
      </c>
      <c r="BE67" s="27">
        <f t="shared" si="23"/>
        <v>324500</v>
      </c>
      <c r="BF67" s="29"/>
      <c r="BH67" s="30">
        <f t="shared" si="15"/>
        <v>0</v>
      </c>
    </row>
    <row r="68" spans="1:68" x14ac:dyDescent="0.25">
      <c r="A68" s="33" t="s">
        <v>101</v>
      </c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13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5"/>
      <c r="AD68" s="39">
        <f t="shared" si="30"/>
        <v>0</v>
      </c>
      <c r="AE68" s="26" t="s">
        <v>42</v>
      </c>
      <c r="AF68" s="27">
        <v>180000</v>
      </c>
      <c r="AG68" s="17">
        <f t="shared" si="1"/>
        <v>0</v>
      </c>
      <c r="AH68" s="28">
        <f t="shared" si="2"/>
        <v>0</v>
      </c>
      <c r="AI68" s="17">
        <f t="shared" si="3"/>
        <v>0</v>
      </c>
      <c r="AJ68" s="28">
        <f t="shared" si="4"/>
        <v>0</v>
      </c>
      <c r="AK68" s="17">
        <f t="shared" si="20"/>
        <v>0</v>
      </c>
      <c r="AL68" s="28">
        <f t="shared" si="5"/>
        <v>0</v>
      </c>
      <c r="AM68" s="17">
        <f t="shared" si="29"/>
        <v>0</v>
      </c>
      <c r="AN68" s="28">
        <f t="shared" ref="AN68:AN86" si="36">+AM68*AF68</f>
        <v>0</v>
      </c>
      <c r="AO68" s="17">
        <f t="shared" ref="AO68:AO86" si="37">+B68</f>
        <v>0</v>
      </c>
      <c r="AP68" s="28">
        <f t="shared" ref="AP68:AP86" si="38">+AO68*AF68</f>
        <v>0</v>
      </c>
      <c r="AQ68" s="17">
        <f t="shared" ref="AQ68:AQ86" si="39">+P68</f>
        <v>0</v>
      </c>
      <c r="AR68" s="28">
        <f t="shared" ref="AR68:AR86" si="40">+AQ68*AF68</f>
        <v>0</v>
      </c>
      <c r="AS68" s="17">
        <f t="shared" si="25"/>
        <v>0</v>
      </c>
      <c r="AT68" s="28">
        <f t="shared" si="26"/>
        <v>0</v>
      </c>
      <c r="AU68" s="17">
        <f t="shared" si="27"/>
        <v>0</v>
      </c>
      <c r="AV68" s="28">
        <f t="shared" si="28"/>
        <v>0</v>
      </c>
      <c r="AW68" s="17">
        <f t="shared" si="11"/>
        <v>0</v>
      </c>
      <c r="AX68" s="28">
        <f t="shared" si="12"/>
        <v>0</v>
      </c>
      <c r="AY68" s="17">
        <f t="shared" si="13"/>
        <v>0</v>
      </c>
      <c r="AZ68" s="28">
        <f t="shared" si="14"/>
        <v>0</v>
      </c>
      <c r="BA68" s="27">
        <f t="shared" si="18"/>
        <v>0</v>
      </c>
      <c r="BB68" s="27">
        <f t="shared" si="19"/>
        <v>0</v>
      </c>
      <c r="BC68" s="27">
        <f t="shared" si="21"/>
        <v>0</v>
      </c>
      <c r="BD68" s="27">
        <f t="shared" si="22"/>
        <v>0</v>
      </c>
      <c r="BE68" s="27">
        <f t="shared" si="23"/>
        <v>0</v>
      </c>
      <c r="BF68" s="29">
        <f t="shared" si="24"/>
        <v>0</v>
      </c>
      <c r="BH68" s="30">
        <f t="shared" si="15"/>
        <v>0</v>
      </c>
      <c r="BM68" s="2">
        <f t="shared" ref="BM68:BM86" si="41">SUM(B68:S68)</f>
        <v>0</v>
      </c>
      <c r="BP68" s="2">
        <f t="shared" ref="BP68:BP86" si="42">SUM(B68:S68)</f>
        <v>0</v>
      </c>
    </row>
    <row r="69" spans="1:68" ht="14.45" hidden="1" customHeight="1" x14ac:dyDescent="0.25">
      <c r="A69" s="33" t="s">
        <v>102</v>
      </c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13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5"/>
      <c r="AD69" s="25">
        <f t="shared" ref="AD69:AD81" si="43">SUM(B69:S69)</f>
        <v>0</v>
      </c>
      <c r="AE69" s="26" t="s">
        <v>42</v>
      </c>
      <c r="AF69" s="27"/>
      <c r="AG69" s="17">
        <f t="shared" si="1"/>
        <v>0</v>
      </c>
      <c r="AH69" s="28">
        <f t="shared" si="2"/>
        <v>0</v>
      </c>
      <c r="AI69" s="17">
        <f t="shared" si="3"/>
        <v>0</v>
      </c>
      <c r="AJ69" s="28">
        <f t="shared" si="4"/>
        <v>0</v>
      </c>
      <c r="AK69" s="17">
        <f t="shared" si="20"/>
        <v>0</v>
      </c>
      <c r="AL69" s="28">
        <f t="shared" si="5"/>
        <v>0</v>
      </c>
      <c r="AM69" s="17">
        <f t="shared" si="29"/>
        <v>0</v>
      </c>
      <c r="AN69" s="28">
        <f t="shared" si="36"/>
        <v>0</v>
      </c>
      <c r="AO69" s="17">
        <f t="shared" si="37"/>
        <v>0</v>
      </c>
      <c r="AP69" s="28">
        <f t="shared" si="38"/>
        <v>0</v>
      </c>
      <c r="AQ69" s="17">
        <f t="shared" si="39"/>
        <v>0</v>
      </c>
      <c r="AR69" s="28">
        <f t="shared" si="40"/>
        <v>0</v>
      </c>
      <c r="AS69" s="17">
        <f t="shared" si="25"/>
        <v>0</v>
      </c>
      <c r="AT69" s="28">
        <f t="shared" si="26"/>
        <v>0</v>
      </c>
      <c r="AU69" s="17">
        <f t="shared" si="27"/>
        <v>0</v>
      </c>
      <c r="AV69" s="28">
        <f t="shared" si="28"/>
        <v>0</v>
      </c>
      <c r="AW69" s="17">
        <f t="shared" si="11"/>
        <v>0</v>
      </c>
      <c r="AX69" s="28">
        <f t="shared" si="12"/>
        <v>0</v>
      </c>
      <c r="AY69" s="17">
        <f t="shared" si="13"/>
        <v>0</v>
      </c>
      <c r="AZ69" s="28">
        <f t="shared" si="14"/>
        <v>0</v>
      </c>
      <c r="BA69" s="27">
        <f t="shared" si="18"/>
        <v>0</v>
      </c>
      <c r="BB69" s="27">
        <f t="shared" si="19"/>
        <v>0</v>
      </c>
      <c r="BC69" s="27">
        <f t="shared" si="21"/>
        <v>0</v>
      </c>
      <c r="BD69" s="27">
        <f t="shared" si="22"/>
        <v>0</v>
      </c>
      <c r="BE69" s="27">
        <f t="shared" si="23"/>
        <v>0</v>
      </c>
      <c r="BF69" s="29">
        <f t="shared" si="24"/>
        <v>0</v>
      </c>
      <c r="BH69" s="30">
        <f t="shared" si="15"/>
        <v>0</v>
      </c>
      <c r="BM69" s="2">
        <f t="shared" si="41"/>
        <v>0</v>
      </c>
      <c r="BP69" s="2">
        <f t="shared" si="42"/>
        <v>0</v>
      </c>
    </row>
    <row r="70" spans="1:68" ht="14.45" hidden="1" customHeight="1" x14ac:dyDescent="0.25">
      <c r="A70" s="33" t="s">
        <v>103</v>
      </c>
      <c r="B70" s="2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13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5"/>
      <c r="AD70" s="25">
        <f t="shared" si="43"/>
        <v>0</v>
      </c>
      <c r="AE70" s="26" t="s">
        <v>42</v>
      </c>
      <c r="AF70" s="27"/>
      <c r="AG70" s="17">
        <f t="shared" si="1"/>
        <v>0</v>
      </c>
      <c r="AH70" s="28">
        <f t="shared" si="2"/>
        <v>0</v>
      </c>
      <c r="AI70" s="17">
        <f t="shared" si="3"/>
        <v>0</v>
      </c>
      <c r="AJ70" s="28">
        <f t="shared" si="4"/>
        <v>0</v>
      </c>
      <c r="AK70" s="17">
        <f t="shared" si="20"/>
        <v>0</v>
      </c>
      <c r="AL70" s="28">
        <f t="shared" si="5"/>
        <v>0</v>
      </c>
      <c r="AM70" s="17">
        <f t="shared" si="29"/>
        <v>0</v>
      </c>
      <c r="AN70" s="28">
        <f t="shared" si="36"/>
        <v>0</v>
      </c>
      <c r="AO70" s="17">
        <f t="shared" si="37"/>
        <v>0</v>
      </c>
      <c r="AP70" s="28">
        <f t="shared" si="38"/>
        <v>0</v>
      </c>
      <c r="AQ70" s="17">
        <f t="shared" si="39"/>
        <v>0</v>
      </c>
      <c r="AR70" s="28">
        <f t="shared" si="40"/>
        <v>0</v>
      </c>
      <c r="AS70" s="17">
        <f t="shared" si="25"/>
        <v>0</v>
      </c>
      <c r="AT70" s="28">
        <f t="shared" si="26"/>
        <v>0</v>
      </c>
      <c r="AU70" s="17">
        <f t="shared" si="27"/>
        <v>0</v>
      </c>
      <c r="AV70" s="28">
        <f t="shared" si="28"/>
        <v>0</v>
      </c>
      <c r="AW70" s="17">
        <f t="shared" si="11"/>
        <v>0</v>
      </c>
      <c r="AX70" s="28">
        <f t="shared" si="12"/>
        <v>0</v>
      </c>
      <c r="AY70" s="17">
        <f t="shared" si="13"/>
        <v>0</v>
      </c>
      <c r="AZ70" s="28">
        <f t="shared" si="14"/>
        <v>0</v>
      </c>
      <c r="BA70" s="27">
        <f t="shared" si="18"/>
        <v>0</v>
      </c>
      <c r="BB70" s="27">
        <f t="shared" si="19"/>
        <v>0</v>
      </c>
      <c r="BC70" s="27">
        <f t="shared" si="21"/>
        <v>0</v>
      </c>
      <c r="BD70" s="27">
        <f t="shared" si="22"/>
        <v>0</v>
      </c>
      <c r="BE70" s="27">
        <f t="shared" si="23"/>
        <v>0</v>
      </c>
      <c r="BF70" s="29">
        <f t="shared" si="24"/>
        <v>0</v>
      </c>
      <c r="BH70" s="30">
        <f t="shared" si="15"/>
        <v>0</v>
      </c>
      <c r="BM70" s="2">
        <f t="shared" si="41"/>
        <v>0</v>
      </c>
      <c r="BP70" s="2">
        <f t="shared" si="42"/>
        <v>0</v>
      </c>
    </row>
    <row r="71" spans="1:68" ht="14.45" hidden="1" customHeight="1" x14ac:dyDescent="0.25">
      <c r="A71" s="33" t="s">
        <v>104</v>
      </c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13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5"/>
      <c r="AD71" s="25">
        <f t="shared" si="43"/>
        <v>0</v>
      </c>
      <c r="AE71" s="26" t="s">
        <v>42</v>
      </c>
      <c r="AF71" s="27"/>
      <c r="AG71" s="17">
        <f t="shared" si="1"/>
        <v>0</v>
      </c>
      <c r="AH71" s="28">
        <f t="shared" si="2"/>
        <v>0</v>
      </c>
      <c r="AI71" s="17">
        <f t="shared" si="3"/>
        <v>0</v>
      </c>
      <c r="AJ71" s="28">
        <f t="shared" si="4"/>
        <v>0</v>
      </c>
      <c r="AK71" s="17">
        <f t="shared" si="20"/>
        <v>0</v>
      </c>
      <c r="AL71" s="28">
        <f t="shared" si="5"/>
        <v>0</v>
      </c>
      <c r="AM71" s="17">
        <f t="shared" si="29"/>
        <v>0</v>
      </c>
      <c r="AN71" s="28">
        <f t="shared" si="36"/>
        <v>0</v>
      </c>
      <c r="AO71" s="17">
        <f t="shared" si="37"/>
        <v>0</v>
      </c>
      <c r="AP71" s="28">
        <f t="shared" si="38"/>
        <v>0</v>
      </c>
      <c r="AQ71" s="17">
        <f t="shared" si="39"/>
        <v>0</v>
      </c>
      <c r="AR71" s="28">
        <f t="shared" si="40"/>
        <v>0</v>
      </c>
      <c r="AS71" s="17">
        <f t="shared" si="25"/>
        <v>0</v>
      </c>
      <c r="AT71" s="28">
        <f t="shared" si="26"/>
        <v>0</v>
      </c>
      <c r="AU71" s="17">
        <f t="shared" si="27"/>
        <v>0</v>
      </c>
      <c r="AV71" s="28">
        <f t="shared" si="28"/>
        <v>0</v>
      </c>
      <c r="AW71" s="17">
        <f t="shared" si="11"/>
        <v>0</v>
      </c>
      <c r="AX71" s="28">
        <f t="shared" si="12"/>
        <v>0</v>
      </c>
      <c r="AY71" s="17">
        <f t="shared" si="13"/>
        <v>0</v>
      </c>
      <c r="AZ71" s="28">
        <f t="shared" si="14"/>
        <v>0</v>
      </c>
      <c r="BA71" s="27">
        <f t="shared" si="18"/>
        <v>0</v>
      </c>
      <c r="BB71" s="27">
        <f t="shared" si="19"/>
        <v>0</v>
      </c>
      <c r="BC71" s="27">
        <f t="shared" si="21"/>
        <v>0</v>
      </c>
      <c r="BD71" s="27">
        <f t="shared" si="22"/>
        <v>0</v>
      </c>
      <c r="BE71" s="27">
        <f t="shared" si="23"/>
        <v>0</v>
      </c>
      <c r="BF71" s="29">
        <f t="shared" si="24"/>
        <v>0</v>
      </c>
      <c r="BH71" s="30">
        <f t="shared" si="15"/>
        <v>0</v>
      </c>
      <c r="BM71" s="2">
        <f t="shared" si="41"/>
        <v>0</v>
      </c>
      <c r="BP71" s="2">
        <f t="shared" si="42"/>
        <v>0</v>
      </c>
    </row>
    <row r="72" spans="1:68" ht="14.45" hidden="1" customHeight="1" x14ac:dyDescent="0.25">
      <c r="A72" s="33" t="s">
        <v>105</v>
      </c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13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5"/>
      <c r="AD72" s="25">
        <f t="shared" si="43"/>
        <v>0</v>
      </c>
      <c r="AE72" s="26" t="s">
        <v>42</v>
      </c>
      <c r="AF72" s="27"/>
      <c r="AG72" s="17">
        <f t="shared" ref="AG72:AG135" si="44">SUM(F72:L72)-G72</f>
        <v>0</v>
      </c>
      <c r="AH72" s="28">
        <f t="shared" ref="AH72:AH135" si="45">+AG72*AF72</f>
        <v>0</v>
      </c>
      <c r="AI72" s="17">
        <f t="shared" ref="AI72:AI135" si="46">SUM(T72:Y72)-U72</f>
        <v>0</v>
      </c>
      <c r="AJ72" s="28">
        <f t="shared" ref="AJ72:AJ135" si="47">+AI72*AF72</f>
        <v>0</v>
      </c>
      <c r="AK72" s="17">
        <f t="shared" si="20"/>
        <v>0</v>
      </c>
      <c r="AL72" s="28">
        <f t="shared" ref="AL72:AL135" si="48">+AK72*AF72</f>
        <v>0</v>
      </c>
      <c r="AM72" s="17">
        <f t="shared" si="29"/>
        <v>0</v>
      </c>
      <c r="AN72" s="28">
        <f t="shared" si="36"/>
        <v>0</v>
      </c>
      <c r="AO72" s="17">
        <f t="shared" si="37"/>
        <v>0</v>
      </c>
      <c r="AP72" s="28">
        <f t="shared" si="38"/>
        <v>0</v>
      </c>
      <c r="AQ72" s="17">
        <f t="shared" si="39"/>
        <v>0</v>
      </c>
      <c r="AR72" s="28">
        <f t="shared" si="40"/>
        <v>0</v>
      </c>
      <c r="AS72" s="17">
        <f t="shared" si="25"/>
        <v>0</v>
      </c>
      <c r="AT72" s="28">
        <f t="shared" si="26"/>
        <v>0</v>
      </c>
      <c r="AU72" s="17">
        <f t="shared" si="27"/>
        <v>0</v>
      </c>
      <c r="AV72" s="28">
        <f t="shared" si="28"/>
        <v>0</v>
      </c>
      <c r="AW72" s="17">
        <f t="shared" ref="AW72:AW135" si="49">+D72</f>
        <v>0</v>
      </c>
      <c r="AX72" s="28">
        <f t="shared" ref="AX72:AX135" si="50">+AW72*AF72</f>
        <v>0</v>
      </c>
      <c r="AY72" s="17">
        <f t="shared" ref="AY72:AY135" si="51">+R72</f>
        <v>0</v>
      </c>
      <c r="AZ72" s="28">
        <f t="shared" ref="AZ72:AZ135" si="52">+AY72*AF72</f>
        <v>0</v>
      </c>
      <c r="BA72" s="27">
        <f t="shared" si="18"/>
        <v>0</v>
      </c>
      <c r="BB72" s="27">
        <f t="shared" si="19"/>
        <v>0</v>
      </c>
      <c r="BC72" s="27">
        <f t="shared" si="21"/>
        <v>0</v>
      </c>
      <c r="BD72" s="27">
        <f t="shared" si="22"/>
        <v>0</v>
      </c>
      <c r="BE72" s="27">
        <f t="shared" si="23"/>
        <v>0</v>
      </c>
      <c r="BF72" s="29">
        <f t="shared" si="24"/>
        <v>0</v>
      </c>
      <c r="BH72" s="30">
        <f t="shared" ref="BH72:BH135" si="53">+B72+C72+E72+G72+M72+N72+O72+(P72+Q72+S72+U72+Z72+AA72+AB72)</f>
        <v>0</v>
      </c>
      <c r="BM72" s="2">
        <f t="shared" si="41"/>
        <v>0</v>
      </c>
      <c r="BP72" s="2">
        <f t="shared" si="42"/>
        <v>0</v>
      </c>
    </row>
    <row r="73" spans="1:68" ht="14.45" hidden="1" customHeight="1" x14ac:dyDescent="0.25">
      <c r="A73" s="33" t="s">
        <v>106</v>
      </c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13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5"/>
      <c r="AD73" s="25">
        <f t="shared" si="43"/>
        <v>0</v>
      </c>
      <c r="AE73" s="26" t="s">
        <v>42</v>
      </c>
      <c r="AF73" s="27"/>
      <c r="AG73" s="17">
        <f t="shared" si="44"/>
        <v>0</v>
      </c>
      <c r="AH73" s="28">
        <f t="shared" si="45"/>
        <v>0</v>
      </c>
      <c r="AI73" s="17">
        <f t="shared" si="46"/>
        <v>0</v>
      </c>
      <c r="AJ73" s="28">
        <f t="shared" si="47"/>
        <v>0</v>
      </c>
      <c r="AK73" s="17">
        <f t="shared" si="20"/>
        <v>0</v>
      </c>
      <c r="AL73" s="28">
        <f t="shared" si="48"/>
        <v>0</v>
      </c>
      <c r="AM73" s="17">
        <f t="shared" si="29"/>
        <v>0</v>
      </c>
      <c r="AN73" s="28">
        <f t="shared" si="36"/>
        <v>0</v>
      </c>
      <c r="AO73" s="17">
        <f t="shared" si="37"/>
        <v>0</v>
      </c>
      <c r="AP73" s="28">
        <f t="shared" si="38"/>
        <v>0</v>
      </c>
      <c r="AQ73" s="17">
        <f t="shared" si="39"/>
        <v>0</v>
      </c>
      <c r="AR73" s="28">
        <f t="shared" si="40"/>
        <v>0</v>
      </c>
      <c r="AS73" s="17">
        <f t="shared" si="25"/>
        <v>0</v>
      </c>
      <c r="AT73" s="28">
        <f t="shared" si="26"/>
        <v>0</v>
      </c>
      <c r="AU73" s="17">
        <f t="shared" si="27"/>
        <v>0</v>
      </c>
      <c r="AV73" s="28">
        <f t="shared" si="28"/>
        <v>0</v>
      </c>
      <c r="AW73" s="17">
        <f t="shared" si="49"/>
        <v>0</v>
      </c>
      <c r="AX73" s="28">
        <f t="shared" si="50"/>
        <v>0</v>
      </c>
      <c r="AY73" s="17">
        <f t="shared" si="51"/>
        <v>0</v>
      </c>
      <c r="AZ73" s="28">
        <f t="shared" si="52"/>
        <v>0</v>
      </c>
      <c r="BA73" s="27">
        <f t="shared" si="18"/>
        <v>0</v>
      </c>
      <c r="BB73" s="27">
        <f t="shared" ref="BB73:BB136" si="54">+AL73+AN73</f>
        <v>0</v>
      </c>
      <c r="BC73" s="27">
        <f t="shared" si="21"/>
        <v>0</v>
      </c>
      <c r="BD73" s="27">
        <f t="shared" si="22"/>
        <v>0</v>
      </c>
      <c r="BE73" s="27">
        <f t="shared" si="23"/>
        <v>0</v>
      </c>
      <c r="BF73" s="29">
        <f t="shared" si="24"/>
        <v>0</v>
      </c>
      <c r="BH73" s="30">
        <f t="shared" si="53"/>
        <v>0</v>
      </c>
      <c r="BM73" s="2">
        <f t="shared" si="41"/>
        <v>0</v>
      </c>
      <c r="BP73" s="2">
        <f t="shared" si="42"/>
        <v>0</v>
      </c>
    </row>
    <row r="74" spans="1:68" ht="14.45" hidden="1" customHeight="1" x14ac:dyDescent="0.25">
      <c r="A74" s="33" t="s">
        <v>107</v>
      </c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13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5"/>
      <c r="AD74" s="25">
        <f t="shared" si="43"/>
        <v>0</v>
      </c>
      <c r="AE74" s="26" t="s">
        <v>42</v>
      </c>
      <c r="AF74" s="27"/>
      <c r="AG74" s="17">
        <f t="shared" si="44"/>
        <v>0</v>
      </c>
      <c r="AH74" s="28">
        <f t="shared" si="45"/>
        <v>0</v>
      </c>
      <c r="AI74" s="17">
        <f t="shared" si="46"/>
        <v>0</v>
      </c>
      <c r="AJ74" s="28">
        <f t="shared" si="47"/>
        <v>0</v>
      </c>
      <c r="AK74" s="17">
        <f t="shared" ref="AK74:AK137" si="55">+N74+O74+G74</f>
        <v>0</v>
      </c>
      <c r="AL74" s="28">
        <f t="shared" si="48"/>
        <v>0</v>
      </c>
      <c r="AM74" s="17">
        <f t="shared" si="29"/>
        <v>0</v>
      </c>
      <c r="AN74" s="28">
        <f t="shared" si="36"/>
        <v>0</v>
      </c>
      <c r="AO74" s="17">
        <f t="shared" si="37"/>
        <v>0</v>
      </c>
      <c r="AP74" s="28">
        <f t="shared" si="38"/>
        <v>0</v>
      </c>
      <c r="AQ74" s="17">
        <f t="shared" si="39"/>
        <v>0</v>
      </c>
      <c r="AR74" s="28">
        <f t="shared" si="40"/>
        <v>0</v>
      </c>
      <c r="AS74" s="17">
        <f t="shared" si="25"/>
        <v>0</v>
      </c>
      <c r="AT74" s="28">
        <f t="shared" si="26"/>
        <v>0</v>
      </c>
      <c r="AU74" s="17">
        <f t="shared" si="27"/>
        <v>0</v>
      </c>
      <c r="AV74" s="28">
        <f t="shared" si="28"/>
        <v>0</v>
      </c>
      <c r="AW74" s="17">
        <f t="shared" si="49"/>
        <v>0</v>
      </c>
      <c r="AX74" s="28">
        <f t="shared" si="50"/>
        <v>0</v>
      </c>
      <c r="AY74" s="17">
        <f t="shared" si="51"/>
        <v>0</v>
      </c>
      <c r="AZ74" s="28">
        <f t="shared" si="52"/>
        <v>0</v>
      </c>
      <c r="BA74" s="27">
        <f t="shared" ref="BA74:BA139" si="56">+AH74+AJ74</f>
        <v>0</v>
      </c>
      <c r="BB74" s="27">
        <f t="shared" si="54"/>
        <v>0</v>
      </c>
      <c r="BC74" s="27">
        <f t="shared" ref="BC74:BC137" si="57">+AP74+AR74</f>
        <v>0</v>
      </c>
      <c r="BD74" s="27">
        <f t="shared" ref="BD74:BD137" si="58">+AT74+AV74</f>
        <v>0</v>
      </c>
      <c r="BE74" s="27">
        <f t="shared" ref="BE74:BE137" si="59">+AX74+AZ74</f>
        <v>0</v>
      </c>
      <c r="BF74" s="29">
        <f t="shared" si="24"/>
        <v>0</v>
      </c>
      <c r="BH74" s="30">
        <f t="shared" si="53"/>
        <v>0</v>
      </c>
      <c r="BM74" s="2">
        <f t="shared" si="41"/>
        <v>0</v>
      </c>
      <c r="BP74" s="2">
        <f t="shared" si="42"/>
        <v>0</v>
      </c>
    </row>
    <row r="75" spans="1:68" ht="14.45" hidden="1" customHeight="1" x14ac:dyDescent="0.25">
      <c r="A75" s="33" t="s">
        <v>108</v>
      </c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13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5"/>
      <c r="AD75" s="25">
        <f t="shared" si="43"/>
        <v>0</v>
      </c>
      <c r="AE75" s="26" t="s">
        <v>42</v>
      </c>
      <c r="AF75" s="27"/>
      <c r="AG75" s="17">
        <f t="shared" si="44"/>
        <v>0</v>
      </c>
      <c r="AH75" s="28">
        <f t="shared" si="45"/>
        <v>0</v>
      </c>
      <c r="AI75" s="17">
        <f t="shared" si="46"/>
        <v>0</v>
      </c>
      <c r="AJ75" s="28">
        <f t="shared" si="47"/>
        <v>0</v>
      </c>
      <c r="AK75" s="17">
        <f t="shared" si="55"/>
        <v>0</v>
      </c>
      <c r="AL75" s="28">
        <f t="shared" si="48"/>
        <v>0</v>
      </c>
      <c r="AM75" s="17">
        <f t="shared" si="29"/>
        <v>0</v>
      </c>
      <c r="AN75" s="28">
        <f t="shared" si="36"/>
        <v>0</v>
      </c>
      <c r="AO75" s="17">
        <f t="shared" si="37"/>
        <v>0</v>
      </c>
      <c r="AP75" s="28">
        <f t="shared" si="38"/>
        <v>0</v>
      </c>
      <c r="AQ75" s="17">
        <f t="shared" si="39"/>
        <v>0</v>
      </c>
      <c r="AR75" s="28">
        <f t="shared" si="40"/>
        <v>0</v>
      </c>
      <c r="AS75" s="17">
        <f t="shared" ref="AS75:AS138" si="60">+C75</f>
        <v>0</v>
      </c>
      <c r="AT75" s="28">
        <f t="shared" ref="AT75:AT138" si="61">+AS75*AF75</f>
        <v>0</v>
      </c>
      <c r="AU75" s="17">
        <f t="shared" ref="AU75:AU138" si="62">+Q75</f>
        <v>0</v>
      </c>
      <c r="AV75" s="28">
        <f t="shared" ref="AV75:AV138" si="63">+AU75*AF75</f>
        <v>0</v>
      </c>
      <c r="AW75" s="17">
        <f t="shared" si="49"/>
        <v>0</v>
      </c>
      <c r="AX75" s="28">
        <f t="shared" si="50"/>
        <v>0</v>
      </c>
      <c r="AY75" s="17">
        <f t="shared" si="51"/>
        <v>0</v>
      </c>
      <c r="AZ75" s="28">
        <f t="shared" si="52"/>
        <v>0</v>
      </c>
      <c r="BA75" s="27">
        <f t="shared" si="56"/>
        <v>0</v>
      </c>
      <c r="BB75" s="27">
        <f t="shared" si="54"/>
        <v>0</v>
      </c>
      <c r="BC75" s="27">
        <f t="shared" si="57"/>
        <v>0</v>
      </c>
      <c r="BD75" s="27">
        <f t="shared" si="58"/>
        <v>0</v>
      </c>
      <c r="BE75" s="27">
        <f t="shared" si="59"/>
        <v>0</v>
      </c>
      <c r="BF75" s="29">
        <f t="shared" ref="BF75:BF140" si="64">+BB75+BA75*5%+BD75*30%</f>
        <v>0</v>
      </c>
      <c r="BH75" s="30">
        <f t="shared" si="53"/>
        <v>0</v>
      </c>
      <c r="BM75" s="2">
        <f t="shared" si="41"/>
        <v>0</v>
      </c>
      <c r="BP75" s="2">
        <f t="shared" si="42"/>
        <v>0</v>
      </c>
    </row>
    <row r="76" spans="1:68" ht="14.45" hidden="1" customHeight="1" x14ac:dyDescent="0.25">
      <c r="A76" s="33" t="s">
        <v>109</v>
      </c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13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5"/>
      <c r="AD76" s="25">
        <f t="shared" si="43"/>
        <v>0</v>
      </c>
      <c r="AE76" s="26" t="s">
        <v>42</v>
      </c>
      <c r="AF76" s="27"/>
      <c r="AG76" s="17">
        <f t="shared" si="44"/>
        <v>0</v>
      </c>
      <c r="AH76" s="28">
        <f t="shared" si="45"/>
        <v>0</v>
      </c>
      <c r="AI76" s="17">
        <f t="shared" si="46"/>
        <v>0</v>
      </c>
      <c r="AJ76" s="28">
        <f t="shared" si="47"/>
        <v>0</v>
      </c>
      <c r="AK76" s="17">
        <f t="shared" si="55"/>
        <v>0</v>
      </c>
      <c r="AL76" s="28">
        <f t="shared" si="48"/>
        <v>0</v>
      </c>
      <c r="AM76" s="17">
        <f t="shared" ref="AM76:AM139" si="65">+AA76+AB76+U76</f>
        <v>0</v>
      </c>
      <c r="AN76" s="28">
        <f t="shared" si="36"/>
        <v>0</v>
      </c>
      <c r="AO76" s="17">
        <f t="shared" si="37"/>
        <v>0</v>
      </c>
      <c r="AP76" s="28">
        <f t="shared" si="38"/>
        <v>0</v>
      </c>
      <c r="AQ76" s="17">
        <f t="shared" si="39"/>
        <v>0</v>
      </c>
      <c r="AR76" s="28">
        <f t="shared" si="40"/>
        <v>0</v>
      </c>
      <c r="AS76" s="17">
        <f t="shared" si="60"/>
        <v>0</v>
      </c>
      <c r="AT76" s="28">
        <f t="shared" si="61"/>
        <v>0</v>
      </c>
      <c r="AU76" s="17">
        <f t="shared" si="62"/>
        <v>0</v>
      </c>
      <c r="AV76" s="28">
        <f t="shared" si="63"/>
        <v>0</v>
      </c>
      <c r="AW76" s="17">
        <f t="shared" si="49"/>
        <v>0</v>
      </c>
      <c r="AX76" s="28">
        <f t="shared" si="50"/>
        <v>0</v>
      </c>
      <c r="AY76" s="17">
        <f t="shared" si="51"/>
        <v>0</v>
      </c>
      <c r="AZ76" s="28">
        <f t="shared" si="52"/>
        <v>0</v>
      </c>
      <c r="BA76" s="27">
        <f t="shared" si="56"/>
        <v>0</v>
      </c>
      <c r="BB76" s="27">
        <f t="shared" si="54"/>
        <v>0</v>
      </c>
      <c r="BC76" s="27">
        <f t="shared" si="57"/>
        <v>0</v>
      </c>
      <c r="BD76" s="27">
        <f t="shared" si="58"/>
        <v>0</v>
      </c>
      <c r="BE76" s="27">
        <f t="shared" si="59"/>
        <v>0</v>
      </c>
      <c r="BF76" s="29">
        <f t="shared" si="64"/>
        <v>0</v>
      </c>
      <c r="BH76" s="30">
        <f t="shared" si="53"/>
        <v>0</v>
      </c>
      <c r="BM76" s="2">
        <f t="shared" si="41"/>
        <v>0</v>
      </c>
      <c r="BP76" s="2">
        <f t="shared" si="42"/>
        <v>0</v>
      </c>
    </row>
    <row r="77" spans="1:68" ht="14.45" hidden="1" customHeight="1" x14ac:dyDescent="0.25">
      <c r="A77" s="33" t="s">
        <v>110</v>
      </c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13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5"/>
      <c r="AD77" s="25">
        <f t="shared" si="43"/>
        <v>0</v>
      </c>
      <c r="AE77" s="26" t="s">
        <v>42</v>
      </c>
      <c r="AF77" s="27"/>
      <c r="AG77" s="17">
        <f t="shared" si="44"/>
        <v>0</v>
      </c>
      <c r="AH77" s="28">
        <f t="shared" si="45"/>
        <v>0</v>
      </c>
      <c r="AI77" s="17">
        <f t="shared" si="46"/>
        <v>0</v>
      </c>
      <c r="AJ77" s="28">
        <f t="shared" si="47"/>
        <v>0</v>
      </c>
      <c r="AK77" s="17">
        <f t="shared" si="55"/>
        <v>0</v>
      </c>
      <c r="AL77" s="28">
        <f t="shared" si="48"/>
        <v>0</v>
      </c>
      <c r="AM77" s="17">
        <f t="shared" si="65"/>
        <v>0</v>
      </c>
      <c r="AN77" s="28">
        <f t="shared" si="36"/>
        <v>0</v>
      </c>
      <c r="AO77" s="17">
        <f t="shared" si="37"/>
        <v>0</v>
      </c>
      <c r="AP77" s="28">
        <f t="shared" si="38"/>
        <v>0</v>
      </c>
      <c r="AQ77" s="17">
        <f t="shared" si="39"/>
        <v>0</v>
      </c>
      <c r="AR77" s="28">
        <f t="shared" si="40"/>
        <v>0</v>
      </c>
      <c r="AS77" s="17">
        <f t="shared" si="60"/>
        <v>0</v>
      </c>
      <c r="AT77" s="28">
        <f t="shared" si="61"/>
        <v>0</v>
      </c>
      <c r="AU77" s="17">
        <f t="shared" si="62"/>
        <v>0</v>
      </c>
      <c r="AV77" s="28">
        <f t="shared" si="63"/>
        <v>0</v>
      </c>
      <c r="AW77" s="17">
        <f t="shared" si="49"/>
        <v>0</v>
      </c>
      <c r="AX77" s="28">
        <f t="shared" si="50"/>
        <v>0</v>
      </c>
      <c r="AY77" s="17">
        <f t="shared" si="51"/>
        <v>0</v>
      </c>
      <c r="AZ77" s="28">
        <f t="shared" si="52"/>
        <v>0</v>
      </c>
      <c r="BA77" s="27">
        <f t="shared" si="56"/>
        <v>0</v>
      </c>
      <c r="BB77" s="27">
        <f t="shared" si="54"/>
        <v>0</v>
      </c>
      <c r="BC77" s="27">
        <f t="shared" si="57"/>
        <v>0</v>
      </c>
      <c r="BD77" s="27">
        <f t="shared" si="58"/>
        <v>0</v>
      </c>
      <c r="BE77" s="27">
        <f t="shared" si="59"/>
        <v>0</v>
      </c>
      <c r="BF77" s="29">
        <f t="shared" si="64"/>
        <v>0</v>
      </c>
      <c r="BH77" s="30">
        <f t="shared" si="53"/>
        <v>0</v>
      </c>
      <c r="BM77" s="2">
        <f t="shared" si="41"/>
        <v>0</v>
      </c>
      <c r="BP77" s="2">
        <f t="shared" si="42"/>
        <v>0</v>
      </c>
    </row>
    <row r="78" spans="1:68" ht="14.45" hidden="1" customHeight="1" x14ac:dyDescent="0.25">
      <c r="A78" s="33" t="s">
        <v>111</v>
      </c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13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5"/>
      <c r="AD78" s="25">
        <f t="shared" si="43"/>
        <v>0</v>
      </c>
      <c r="AE78" s="26" t="s">
        <v>42</v>
      </c>
      <c r="AF78" s="27"/>
      <c r="AG78" s="17">
        <f t="shared" si="44"/>
        <v>0</v>
      </c>
      <c r="AH78" s="28">
        <f t="shared" si="45"/>
        <v>0</v>
      </c>
      <c r="AI78" s="17">
        <f t="shared" si="46"/>
        <v>0</v>
      </c>
      <c r="AJ78" s="28">
        <f t="shared" si="47"/>
        <v>0</v>
      </c>
      <c r="AK78" s="17">
        <f t="shared" si="55"/>
        <v>0</v>
      </c>
      <c r="AL78" s="28">
        <f t="shared" si="48"/>
        <v>0</v>
      </c>
      <c r="AM78" s="17">
        <f t="shared" si="65"/>
        <v>0</v>
      </c>
      <c r="AN78" s="28">
        <f t="shared" si="36"/>
        <v>0</v>
      </c>
      <c r="AO78" s="17">
        <f t="shared" si="37"/>
        <v>0</v>
      </c>
      <c r="AP78" s="28">
        <f t="shared" si="38"/>
        <v>0</v>
      </c>
      <c r="AQ78" s="17">
        <f t="shared" si="39"/>
        <v>0</v>
      </c>
      <c r="AR78" s="28">
        <f t="shared" si="40"/>
        <v>0</v>
      </c>
      <c r="AS78" s="17">
        <f t="shared" si="60"/>
        <v>0</v>
      </c>
      <c r="AT78" s="28">
        <f t="shared" si="61"/>
        <v>0</v>
      </c>
      <c r="AU78" s="17">
        <f t="shared" si="62"/>
        <v>0</v>
      </c>
      <c r="AV78" s="28">
        <f t="shared" si="63"/>
        <v>0</v>
      </c>
      <c r="AW78" s="17">
        <f t="shared" si="49"/>
        <v>0</v>
      </c>
      <c r="AX78" s="28">
        <f t="shared" si="50"/>
        <v>0</v>
      </c>
      <c r="AY78" s="17">
        <f t="shared" si="51"/>
        <v>0</v>
      </c>
      <c r="AZ78" s="28">
        <f t="shared" si="52"/>
        <v>0</v>
      </c>
      <c r="BA78" s="27">
        <f t="shared" si="56"/>
        <v>0</v>
      </c>
      <c r="BB78" s="27">
        <f t="shared" si="54"/>
        <v>0</v>
      </c>
      <c r="BC78" s="27">
        <f t="shared" si="57"/>
        <v>0</v>
      </c>
      <c r="BD78" s="27">
        <f t="shared" si="58"/>
        <v>0</v>
      </c>
      <c r="BE78" s="27">
        <f t="shared" si="59"/>
        <v>0</v>
      </c>
      <c r="BF78" s="29">
        <f t="shared" si="64"/>
        <v>0</v>
      </c>
      <c r="BH78" s="30">
        <f t="shared" si="53"/>
        <v>0</v>
      </c>
      <c r="BM78" s="2">
        <f t="shared" si="41"/>
        <v>0</v>
      </c>
      <c r="BP78" s="2">
        <f t="shared" si="42"/>
        <v>0</v>
      </c>
    </row>
    <row r="79" spans="1:68" ht="14.45" hidden="1" customHeight="1" x14ac:dyDescent="0.25">
      <c r="A79" s="33" t="s">
        <v>112</v>
      </c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13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5"/>
      <c r="AD79" s="25">
        <f t="shared" si="43"/>
        <v>0</v>
      </c>
      <c r="AE79" s="26" t="s">
        <v>42</v>
      </c>
      <c r="AF79" s="27"/>
      <c r="AG79" s="17">
        <f t="shared" si="44"/>
        <v>0</v>
      </c>
      <c r="AH79" s="28">
        <f t="shared" si="45"/>
        <v>0</v>
      </c>
      <c r="AI79" s="17">
        <f t="shared" si="46"/>
        <v>0</v>
      </c>
      <c r="AJ79" s="28">
        <f t="shared" si="47"/>
        <v>0</v>
      </c>
      <c r="AK79" s="17">
        <f t="shared" si="55"/>
        <v>0</v>
      </c>
      <c r="AL79" s="28">
        <f t="shared" si="48"/>
        <v>0</v>
      </c>
      <c r="AM79" s="17">
        <f t="shared" si="65"/>
        <v>0</v>
      </c>
      <c r="AN79" s="28">
        <f t="shared" si="36"/>
        <v>0</v>
      </c>
      <c r="AO79" s="17">
        <f t="shared" si="37"/>
        <v>0</v>
      </c>
      <c r="AP79" s="28">
        <f t="shared" si="38"/>
        <v>0</v>
      </c>
      <c r="AQ79" s="17">
        <f t="shared" si="39"/>
        <v>0</v>
      </c>
      <c r="AR79" s="28">
        <f t="shared" si="40"/>
        <v>0</v>
      </c>
      <c r="AS79" s="17">
        <f t="shared" si="60"/>
        <v>0</v>
      </c>
      <c r="AT79" s="28">
        <f t="shared" si="61"/>
        <v>0</v>
      </c>
      <c r="AU79" s="17">
        <f t="shared" si="62"/>
        <v>0</v>
      </c>
      <c r="AV79" s="28">
        <f t="shared" si="63"/>
        <v>0</v>
      </c>
      <c r="AW79" s="17">
        <f t="shared" si="49"/>
        <v>0</v>
      </c>
      <c r="AX79" s="28">
        <f t="shared" si="50"/>
        <v>0</v>
      </c>
      <c r="AY79" s="17">
        <f t="shared" si="51"/>
        <v>0</v>
      </c>
      <c r="AZ79" s="28">
        <f t="shared" si="52"/>
        <v>0</v>
      </c>
      <c r="BA79" s="27">
        <f t="shared" si="56"/>
        <v>0</v>
      </c>
      <c r="BB79" s="27">
        <f t="shared" si="54"/>
        <v>0</v>
      </c>
      <c r="BC79" s="27">
        <f t="shared" si="57"/>
        <v>0</v>
      </c>
      <c r="BD79" s="27">
        <f t="shared" si="58"/>
        <v>0</v>
      </c>
      <c r="BE79" s="27">
        <f t="shared" si="59"/>
        <v>0</v>
      </c>
      <c r="BF79" s="29">
        <f t="shared" si="64"/>
        <v>0</v>
      </c>
      <c r="BH79" s="30">
        <f t="shared" si="53"/>
        <v>0</v>
      </c>
      <c r="BM79" s="2">
        <f t="shared" si="41"/>
        <v>0</v>
      </c>
      <c r="BP79" s="2">
        <f t="shared" si="42"/>
        <v>0</v>
      </c>
    </row>
    <row r="80" spans="1:68" ht="14.45" hidden="1" customHeight="1" x14ac:dyDescent="0.25">
      <c r="A80" s="33" t="s">
        <v>113</v>
      </c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13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5"/>
      <c r="AD80" s="25">
        <f t="shared" si="43"/>
        <v>0</v>
      </c>
      <c r="AE80" s="26" t="s">
        <v>42</v>
      </c>
      <c r="AF80" s="27"/>
      <c r="AG80" s="17">
        <f t="shared" si="44"/>
        <v>0</v>
      </c>
      <c r="AH80" s="28">
        <f t="shared" si="45"/>
        <v>0</v>
      </c>
      <c r="AI80" s="17">
        <f t="shared" si="46"/>
        <v>0</v>
      </c>
      <c r="AJ80" s="28">
        <f t="shared" si="47"/>
        <v>0</v>
      </c>
      <c r="AK80" s="17">
        <f t="shared" si="55"/>
        <v>0</v>
      </c>
      <c r="AL80" s="28">
        <f t="shared" si="48"/>
        <v>0</v>
      </c>
      <c r="AM80" s="17">
        <f t="shared" si="65"/>
        <v>0</v>
      </c>
      <c r="AN80" s="28">
        <f t="shared" si="36"/>
        <v>0</v>
      </c>
      <c r="AO80" s="17">
        <f t="shared" si="37"/>
        <v>0</v>
      </c>
      <c r="AP80" s="28">
        <f t="shared" si="38"/>
        <v>0</v>
      </c>
      <c r="AQ80" s="17">
        <f t="shared" si="39"/>
        <v>0</v>
      </c>
      <c r="AR80" s="28">
        <f t="shared" si="40"/>
        <v>0</v>
      </c>
      <c r="AS80" s="17">
        <f t="shared" si="60"/>
        <v>0</v>
      </c>
      <c r="AT80" s="28">
        <f t="shared" si="61"/>
        <v>0</v>
      </c>
      <c r="AU80" s="17">
        <f t="shared" si="62"/>
        <v>0</v>
      </c>
      <c r="AV80" s="28">
        <f t="shared" si="63"/>
        <v>0</v>
      </c>
      <c r="AW80" s="17">
        <f t="shared" si="49"/>
        <v>0</v>
      </c>
      <c r="AX80" s="28">
        <f t="shared" si="50"/>
        <v>0</v>
      </c>
      <c r="AY80" s="17">
        <f t="shared" si="51"/>
        <v>0</v>
      </c>
      <c r="AZ80" s="28">
        <f t="shared" si="52"/>
        <v>0</v>
      </c>
      <c r="BA80" s="27">
        <f t="shared" si="56"/>
        <v>0</v>
      </c>
      <c r="BB80" s="27">
        <f t="shared" si="54"/>
        <v>0</v>
      </c>
      <c r="BC80" s="27">
        <f t="shared" si="57"/>
        <v>0</v>
      </c>
      <c r="BD80" s="27">
        <f t="shared" si="58"/>
        <v>0</v>
      </c>
      <c r="BE80" s="27">
        <f t="shared" si="59"/>
        <v>0</v>
      </c>
      <c r="BF80" s="29">
        <f t="shared" si="64"/>
        <v>0</v>
      </c>
      <c r="BH80" s="30">
        <f t="shared" si="53"/>
        <v>0</v>
      </c>
      <c r="BM80" s="2">
        <f t="shared" si="41"/>
        <v>0</v>
      </c>
      <c r="BP80" s="2">
        <f t="shared" si="42"/>
        <v>0</v>
      </c>
    </row>
    <row r="81" spans="1:68" ht="14.45" hidden="1" customHeight="1" x14ac:dyDescent="0.25">
      <c r="A81" s="33" t="s">
        <v>114</v>
      </c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13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5"/>
      <c r="AD81" s="25">
        <f t="shared" si="43"/>
        <v>0</v>
      </c>
      <c r="AE81" s="26" t="s">
        <v>42</v>
      </c>
      <c r="AF81" s="27"/>
      <c r="AG81" s="17">
        <f t="shared" si="44"/>
        <v>0</v>
      </c>
      <c r="AH81" s="28">
        <f t="shared" si="45"/>
        <v>0</v>
      </c>
      <c r="AI81" s="17">
        <f t="shared" si="46"/>
        <v>0</v>
      </c>
      <c r="AJ81" s="28">
        <f t="shared" si="47"/>
        <v>0</v>
      </c>
      <c r="AK81" s="17">
        <f t="shared" si="55"/>
        <v>0</v>
      </c>
      <c r="AL81" s="28">
        <f t="shared" si="48"/>
        <v>0</v>
      </c>
      <c r="AM81" s="17">
        <f t="shared" si="65"/>
        <v>0</v>
      </c>
      <c r="AN81" s="28">
        <f t="shared" si="36"/>
        <v>0</v>
      </c>
      <c r="AO81" s="17">
        <f t="shared" si="37"/>
        <v>0</v>
      </c>
      <c r="AP81" s="28">
        <f t="shared" si="38"/>
        <v>0</v>
      </c>
      <c r="AQ81" s="17">
        <f t="shared" si="39"/>
        <v>0</v>
      </c>
      <c r="AR81" s="28">
        <f t="shared" si="40"/>
        <v>0</v>
      </c>
      <c r="AS81" s="17">
        <f t="shared" si="60"/>
        <v>0</v>
      </c>
      <c r="AT81" s="28">
        <f t="shared" si="61"/>
        <v>0</v>
      </c>
      <c r="AU81" s="17">
        <f t="shared" si="62"/>
        <v>0</v>
      </c>
      <c r="AV81" s="28">
        <f t="shared" si="63"/>
        <v>0</v>
      </c>
      <c r="AW81" s="17">
        <f t="shared" si="49"/>
        <v>0</v>
      </c>
      <c r="AX81" s="28">
        <f t="shared" si="50"/>
        <v>0</v>
      </c>
      <c r="AY81" s="17">
        <f t="shared" si="51"/>
        <v>0</v>
      </c>
      <c r="AZ81" s="28">
        <f t="shared" si="52"/>
        <v>0</v>
      </c>
      <c r="BA81" s="27">
        <f t="shared" si="56"/>
        <v>0</v>
      </c>
      <c r="BB81" s="27">
        <f t="shared" si="54"/>
        <v>0</v>
      </c>
      <c r="BC81" s="27">
        <f t="shared" si="57"/>
        <v>0</v>
      </c>
      <c r="BD81" s="27">
        <f t="shared" si="58"/>
        <v>0</v>
      </c>
      <c r="BE81" s="27">
        <f t="shared" si="59"/>
        <v>0</v>
      </c>
      <c r="BF81" s="29">
        <f t="shared" si="64"/>
        <v>0</v>
      </c>
      <c r="BH81" s="30">
        <f t="shared" si="53"/>
        <v>0</v>
      </c>
      <c r="BM81" s="2">
        <f t="shared" si="41"/>
        <v>0</v>
      </c>
      <c r="BP81" s="2">
        <f t="shared" si="42"/>
        <v>0</v>
      </c>
    </row>
    <row r="82" spans="1:68" ht="14.45" hidden="1" customHeight="1" x14ac:dyDescent="0.25">
      <c r="A82" s="33" t="s">
        <v>115</v>
      </c>
      <c r="B82" s="2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13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5"/>
      <c r="AD82" s="25">
        <f t="shared" ref="AD82:AD108" si="66">SUM(B82:S82)</f>
        <v>0</v>
      </c>
      <c r="AE82" s="26" t="s">
        <v>42</v>
      </c>
      <c r="AF82" s="27"/>
      <c r="AG82" s="17">
        <f t="shared" si="44"/>
        <v>0</v>
      </c>
      <c r="AH82" s="28">
        <f t="shared" si="45"/>
        <v>0</v>
      </c>
      <c r="AI82" s="17">
        <f t="shared" si="46"/>
        <v>0</v>
      </c>
      <c r="AJ82" s="28">
        <f t="shared" si="47"/>
        <v>0</v>
      </c>
      <c r="AK82" s="17">
        <f t="shared" si="55"/>
        <v>0</v>
      </c>
      <c r="AL82" s="28">
        <f t="shared" si="48"/>
        <v>0</v>
      </c>
      <c r="AM82" s="17">
        <f t="shared" si="65"/>
        <v>0</v>
      </c>
      <c r="AN82" s="28">
        <f t="shared" si="36"/>
        <v>0</v>
      </c>
      <c r="AO82" s="17">
        <f t="shared" si="37"/>
        <v>0</v>
      </c>
      <c r="AP82" s="28">
        <f t="shared" si="38"/>
        <v>0</v>
      </c>
      <c r="AQ82" s="17">
        <f t="shared" si="39"/>
        <v>0</v>
      </c>
      <c r="AR82" s="28">
        <f t="shared" si="40"/>
        <v>0</v>
      </c>
      <c r="AS82" s="17">
        <f t="shared" si="60"/>
        <v>0</v>
      </c>
      <c r="AT82" s="28">
        <f t="shared" si="61"/>
        <v>0</v>
      </c>
      <c r="AU82" s="17">
        <f t="shared" si="62"/>
        <v>0</v>
      </c>
      <c r="AV82" s="28">
        <f t="shared" si="63"/>
        <v>0</v>
      </c>
      <c r="AW82" s="17">
        <f t="shared" si="49"/>
        <v>0</v>
      </c>
      <c r="AX82" s="28">
        <f t="shared" si="50"/>
        <v>0</v>
      </c>
      <c r="AY82" s="17">
        <f t="shared" si="51"/>
        <v>0</v>
      </c>
      <c r="AZ82" s="28">
        <f t="shared" si="52"/>
        <v>0</v>
      </c>
      <c r="BA82" s="27">
        <f t="shared" si="56"/>
        <v>0</v>
      </c>
      <c r="BB82" s="27">
        <f t="shared" si="54"/>
        <v>0</v>
      </c>
      <c r="BC82" s="27">
        <f t="shared" si="57"/>
        <v>0</v>
      </c>
      <c r="BD82" s="27">
        <f t="shared" si="58"/>
        <v>0</v>
      </c>
      <c r="BE82" s="27">
        <f t="shared" si="59"/>
        <v>0</v>
      </c>
      <c r="BF82" s="29">
        <f t="shared" si="64"/>
        <v>0</v>
      </c>
      <c r="BH82" s="30">
        <f t="shared" si="53"/>
        <v>0</v>
      </c>
      <c r="BM82" s="2">
        <f t="shared" si="41"/>
        <v>0</v>
      </c>
      <c r="BP82" s="2">
        <f t="shared" si="42"/>
        <v>0</v>
      </c>
    </row>
    <row r="83" spans="1:68" ht="14.45" hidden="1" customHeight="1" x14ac:dyDescent="0.25">
      <c r="A83" s="33" t="s">
        <v>116</v>
      </c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13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5"/>
      <c r="AD83" s="25">
        <f t="shared" si="66"/>
        <v>0</v>
      </c>
      <c r="AE83" s="26" t="s">
        <v>42</v>
      </c>
      <c r="AF83" s="27"/>
      <c r="AG83" s="17">
        <f t="shared" si="44"/>
        <v>0</v>
      </c>
      <c r="AH83" s="28">
        <f t="shared" si="45"/>
        <v>0</v>
      </c>
      <c r="AI83" s="17">
        <f t="shared" si="46"/>
        <v>0</v>
      </c>
      <c r="AJ83" s="28">
        <f t="shared" si="47"/>
        <v>0</v>
      </c>
      <c r="AK83" s="17">
        <f t="shared" si="55"/>
        <v>0</v>
      </c>
      <c r="AL83" s="28">
        <f t="shared" si="48"/>
        <v>0</v>
      </c>
      <c r="AM83" s="17">
        <f t="shared" si="65"/>
        <v>0</v>
      </c>
      <c r="AN83" s="28">
        <f t="shared" si="36"/>
        <v>0</v>
      </c>
      <c r="AO83" s="17">
        <f t="shared" si="37"/>
        <v>0</v>
      </c>
      <c r="AP83" s="28">
        <f t="shared" si="38"/>
        <v>0</v>
      </c>
      <c r="AQ83" s="17">
        <f t="shared" si="39"/>
        <v>0</v>
      </c>
      <c r="AR83" s="28">
        <f t="shared" si="40"/>
        <v>0</v>
      </c>
      <c r="AS83" s="17">
        <f t="shared" si="60"/>
        <v>0</v>
      </c>
      <c r="AT83" s="28">
        <f t="shared" si="61"/>
        <v>0</v>
      </c>
      <c r="AU83" s="17">
        <f t="shared" si="62"/>
        <v>0</v>
      </c>
      <c r="AV83" s="28">
        <f t="shared" si="63"/>
        <v>0</v>
      </c>
      <c r="AW83" s="17">
        <f t="shared" si="49"/>
        <v>0</v>
      </c>
      <c r="AX83" s="28">
        <f t="shared" si="50"/>
        <v>0</v>
      </c>
      <c r="AY83" s="17">
        <f t="shared" si="51"/>
        <v>0</v>
      </c>
      <c r="AZ83" s="28">
        <f t="shared" si="52"/>
        <v>0</v>
      </c>
      <c r="BA83" s="27">
        <f t="shared" si="56"/>
        <v>0</v>
      </c>
      <c r="BB83" s="27">
        <f t="shared" si="54"/>
        <v>0</v>
      </c>
      <c r="BC83" s="27">
        <f t="shared" si="57"/>
        <v>0</v>
      </c>
      <c r="BD83" s="27">
        <f t="shared" si="58"/>
        <v>0</v>
      </c>
      <c r="BE83" s="27">
        <f t="shared" si="59"/>
        <v>0</v>
      </c>
      <c r="BF83" s="29">
        <f t="shared" si="64"/>
        <v>0</v>
      </c>
      <c r="BH83" s="30">
        <f t="shared" si="53"/>
        <v>0</v>
      </c>
      <c r="BM83" s="2">
        <f t="shared" si="41"/>
        <v>0</v>
      </c>
      <c r="BP83" s="2">
        <f t="shared" si="42"/>
        <v>0</v>
      </c>
    </row>
    <row r="84" spans="1:68" ht="14.45" hidden="1" customHeight="1" x14ac:dyDescent="0.25">
      <c r="A84" s="33" t="s">
        <v>81</v>
      </c>
      <c r="B84" s="2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13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5"/>
      <c r="AD84" s="25">
        <f t="shared" si="66"/>
        <v>0</v>
      </c>
      <c r="AE84" s="26" t="s">
        <v>42</v>
      </c>
      <c r="AF84" s="27"/>
      <c r="AG84" s="17">
        <f t="shared" si="44"/>
        <v>0</v>
      </c>
      <c r="AH84" s="28">
        <f t="shared" si="45"/>
        <v>0</v>
      </c>
      <c r="AI84" s="17">
        <f t="shared" si="46"/>
        <v>0</v>
      </c>
      <c r="AJ84" s="28">
        <f t="shared" si="47"/>
        <v>0</v>
      </c>
      <c r="AK84" s="17">
        <f t="shared" si="55"/>
        <v>0</v>
      </c>
      <c r="AL84" s="28">
        <f t="shared" si="48"/>
        <v>0</v>
      </c>
      <c r="AM84" s="17">
        <f t="shared" si="65"/>
        <v>0</v>
      </c>
      <c r="AN84" s="28">
        <f t="shared" si="36"/>
        <v>0</v>
      </c>
      <c r="AO84" s="17">
        <f t="shared" si="37"/>
        <v>0</v>
      </c>
      <c r="AP84" s="28">
        <f t="shared" si="38"/>
        <v>0</v>
      </c>
      <c r="AQ84" s="17">
        <f t="shared" si="39"/>
        <v>0</v>
      </c>
      <c r="AR84" s="28">
        <f t="shared" si="40"/>
        <v>0</v>
      </c>
      <c r="AS84" s="17">
        <f t="shared" si="60"/>
        <v>0</v>
      </c>
      <c r="AT84" s="28">
        <f t="shared" si="61"/>
        <v>0</v>
      </c>
      <c r="AU84" s="17">
        <f t="shared" si="62"/>
        <v>0</v>
      </c>
      <c r="AV84" s="28">
        <f t="shared" si="63"/>
        <v>0</v>
      </c>
      <c r="AW84" s="17">
        <f t="shared" si="49"/>
        <v>0</v>
      </c>
      <c r="AX84" s="28">
        <f t="shared" si="50"/>
        <v>0</v>
      </c>
      <c r="AY84" s="17">
        <f t="shared" si="51"/>
        <v>0</v>
      </c>
      <c r="AZ84" s="28">
        <f t="shared" si="52"/>
        <v>0</v>
      </c>
      <c r="BA84" s="27">
        <f t="shared" si="56"/>
        <v>0</v>
      </c>
      <c r="BB84" s="27">
        <f t="shared" si="54"/>
        <v>0</v>
      </c>
      <c r="BC84" s="27">
        <f t="shared" si="57"/>
        <v>0</v>
      </c>
      <c r="BD84" s="27">
        <f t="shared" si="58"/>
        <v>0</v>
      </c>
      <c r="BE84" s="27">
        <f t="shared" si="59"/>
        <v>0</v>
      </c>
      <c r="BF84" s="29">
        <f t="shared" si="64"/>
        <v>0</v>
      </c>
      <c r="BH84" s="30">
        <f t="shared" si="53"/>
        <v>0</v>
      </c>
      <c r="BM84" s="2">
        <f t="shared" si="41"/>
        <v>0</v>
      </c>
      <c r="BP84" s="2">
        <f t="shared" si="42"/>
        <v>0</v>
      </c>
    </row>
    <row r="85" spans="1:68" ht="14.45" hidden="1" customHeight="1" x14ac:dyDescent="0.25">
      <c r="A85" s="33" t="s">
        <v>117</v>
      </c>
      <c r="B85" s="2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13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5"/>
      <c r="AD85" s="25">
        <f t="shared" si="66"/>
        <v>0</v>
      </c>
      <c r="AE85" s="26" t="s">
        <v>42</v>
      </c>
      <c r="AF85" s="27"/>
      <c r="AG85" s="17">
        <f t="shared" si="44"/>
        <v>0</v>
      </c>
      <c r="AH85" s="28">
        <f t="shared" si="45"/>
        <v>0</v>
      </c>
      <c r="AI85" s="17">
        <f t="shared" si="46"/>
        <v>0</v>
      </c>
      <c r="AJ85" s="28">
        <f t="shared" si="47"/>
        <v>0</v>
      </c>
      <c r="AK85" s="17">
        <f t="shared" si="55"/>
        <v>0</v>
      </c>
      <c r="AL85" s="28">
        <f t="shared" si="48"/>
        <v>0</v>
      </c>
      <c r="AM85" s="17">
        <f t="shared" si="65"/>
        <v>0</v>
      </c>
      <c r="AN85" s="28">
        <f t="shared" si="36"/>
        <v>0</v>
      </c>
      <c r="AO85" s="17">
        <f t="shared" si="37"/>
        <v>0</v>
      </c>
      <c r="AP85" s="28">
        <f t="shared" si="38"/>
        <v>0</v>
      </c>
      <c r="AQ85" s="17">
        <f t="shared" si="39"/>
        <v>0</v>
      </c>
      <c r="AR85" s="28">
        <f t="shared" si="40"/>
        <v>0</v>
      </c>
      <c r="AS85" s="17">
        <f t="shared" si="60"/>
        <v>0</v>
      </c>
      <c r="AT85" s="28">
        <f t="shared" si="61"/>
        <v>0</v>
      </c>
      <c r="AU85" s="17">
        <f t="shared" si="62"/>
        <v>0</v>
      </c>
      <c r="AV85" s="28">
        <f t="shared" si="63"/>
        <v>0</v>
      </c>
      <c r="AW85" s="17">
        <f t="shared" si="49"/>
        <v>0</v>
      </c>
      <c r="AX85" s="28">
        <f t="shared" si="50"/>
        <v>0</v>
      </c>
      <c r="AY85" s="17">
        <f t="shared" si="51"/>
        <v>0</v>
      </c>
      <c r="AZ85" s="28">
        <f t="shared" si="52"/>
        <v>0</v>
      </c>
      <c r="BA85" s="27">
        <f t="shared" si="56"/>
        <v>0</v>
      </c>
      <c r="BB85" s="27">
        <f t="shared" si="54"/>
        <v>0</v>
      </c>
      <c r="BC85" s="27">
        <f t="shared" si="57"/>
        <v>0</v>
      </c>
      <c r="BD85" s="27">
        <f t="shared" si="58"/>
        <v>0</v>
      </c>
      <c r="BE85" s="27">
        <f t="shared" si="59"/>
        <v>0</v>
      </c>
      <c r="BF85" s="29">
        <f t="shared" si="64"/>
        <v>0</v>
      </c>
      <c r="BH85" s="30">
        <f t="shared" si="53"/>
        <v>0</v>
      </c>
      <c r="BM85" s="2">
        <f t="shared" si="41"/>
        <v>0</v>
      </c>
      <c r="BP85" s="2">
        <f t="shared" si="42"/>
        <v>0</v>
      </c>
    </row>
    <row r="86" spans="1:68" ht="14.45" hidden="1" customHeight="1" x14ac:dyDescent="0.25">
      <c r="A86" s="33" t="s">
        <v>118</v>
      </c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13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5"/>
      <c r="AD86" s="25">
        <f t="shared" si="66"/>
        <v>0</v>
      </c>
      <c r="AE86" s="26" t="s">
        <v>42</v>
      </c>
      <c r="AF86" s="27"/>
      <c r="AG86" s="17">
        <f t="shared" si="44"/>
        <v>0</v>
      </c>
      <c r="AH86" s="28">
        <f t="shared" si="45"/>
        <v>0</v>
      </c>
      <c r="AI86" s="17">
        <f t="shared" si="46"/>
        <v>0</v>
      </c>
      <c r="AJ86" s="28">
        <f t="shared" si="47"/>
        <v>0</v>
      </c>
      <c r="AK86" s="17">
        <f t="shared" si="55"/>
        <v>0</v>
      </c>
      <c r="AL86" s="28">
        <f t="shared" si="48"/>
        <v>0</v>
      </c>
      <c r="AM86" s="17">
        <f t="shared" si="65"/>
        <v>0</v>
      </c>
      <c r="AN86" s="28">
        <f t="shared" si="36"/>
        <v>0</v>
      </c>
      <c r="AO86" s="17">
        <f t="shared" si="37"/>
        <v>0</v>
      </c>
      <c r="AP86" s="28">
        <f t="shared" si="38"/>
        <v>0</v>
      </c>
      <c r="AQ86" s="17">
        <f t="shared" si="39"/>
        <v>0</v>
      </c>
      <c r="AR86" s="28">
        <f t="shared" si="40"/>
        <v>0</v>
      </c>
      <c r="AS86" s="17">
        <f t="shared" si="60"/>
        <v>0</v>
      </c>
      <c r="AT86" s="28">
        <f t="shared" si="61"/>
        <v>0</v>
      </c>
      <c r="AU86" s="17">
        <f t="shared" si="62"/>
        <v>0</v>
      </c>
      <c r="AV86" s="28">
        <f t="shared" si="63"/>
        <v>0</v>
      </c>
      <c r="AW86" s="17">
        <f t="shared" si="49"/>
        <v>0</v>
      </c>
      <c r="AX86" s="28">
        <f t="shared" si="50"/>
        <v>0</v>
      </c>
      <c r="AY86" s="17">
        <f t="shared" si="51"/>
        <v>0</v>
      </c>
      <c r="AZ86" s="28">
        <f t="shared" si="52"/>
        <v>0</v>
      </c>
      <c r="BA86" s="27">
        <f t="shared" si="56"/>
        <v>0</v>
      </c>
      <c r="BB86" s="27">
        <f t="shared" si="54"/>
        <v>0</v>
      </c>
      <c r="BC86" s="27">
        <f t="shared" si="57"/>
        <v>0</v>
      </c>
      <c r="BD86" s="27">
        <f t="shared" si="58"/>
        <v>0</v>
      </c>
      <c r="BE86" s="27">
        <f t="shared" si="59"/>
        <v>0</v>
      </c>
      <c r="BF86" s="29">
        <f t="shared" si="64"/>
        <v>0</v>
      </c>
      <c r="BH86" s="30">
        <f t="shared" si="53"/>
        <v>0</v>
      </c>
      <c r="BM86" s="2">
        <f t="shared" si="41"/>
        <v>0</v>
      </c>
      <c r="BP86" s="2">
        <f t="shared" si="42"/>
        <v>0</v>
      </c>
    </row>
    <row r="87" spans="1:68" ht="14.45" customHeight="1" x14ac:dyDescent="0.25">
      <c r="A87" s="33" t="s">
        <v>119</v>
      </c>
      <c r="B87" s="23"/>
      <c r="C87" s="24"/>
      <c r="D87" s="24">
        <v>31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13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5"/>
      <c r="AD87" s="25"/>
      <c r="AE87" s="26"/>
      <c r="AF87" s="27">
        <v>350000</v>
      </c>
      <c r="AG87" s="17">
        <f t="shared" si="44"/>
        <v>0</v>
      </c>
      <c r="AH87" s="28">
        <f t="shared" si="45"/>
        <v>0</v>
      </c>
      <c r="AI87" s="17">
        <f t="shared" si="46"/>
        <v>0</v>
      </c>
      <c r="AJ87" s="28">
        <f t="shared" si="47"/>
        <v>0</v>
      </c>
      <c r="AK87" s="17">
        <f t="shared" si="55"/>
        <v>0</v>
      </c>
      <c r="AL87" s="28">
        <f t="shared" si="48"/>
        <v>0</v>
      </c>
      <c r="AM87" s="17">
        <f t="shared" si="65"/>
        <v>0</v>
      </c>
      <c r="AN87" s="28"/>
      <c r="AO87" s="17"/>
      <c r="AP87" s="28"/>
      <c r="AQ87" s="17"/>
      <c r="AR87" s="28"/>
      <c r="AS87" s="17">
        <f t="shared" si="60"/>
        <v>0</v>
      </c>
      <c r="AT87" s="28">
        <f t="shared" si="61"/>
        <v>0</v>
      </c>
      <c r="AU87" s="17">
        <f t="shared" si="62"/>
        <v>0</v>
      </c>
      <c r="AV87" s="28">
        <f t="shared" si="63"/>
        <v>0</v>
      </c>
      <c r="AW87" s="17">
        <f t="shared" si="49"/>
        <v>31</v>
      </c>
      <c r="AX87" s="28">
        <f t="shared" si="50"/>
        <v>10850000</v>
      </c>
      <c r="AY87" s="17">
        <f t="shared" si="51"/>
        <v>0</v>
      </c>
      <c r="AZ87" s="28">
        <f t="shared" si="52"/>
        <v>0</v>
      </c>
      <c r="BA87" s="27"/>
      <c r="BB87" s="27">
        <f t="shared" si="54"/>
        <v>0</v>
      </c>
      <c r="BC87" s="27">
        <f t="shared" si="57"/>
        <v>0</v>
      </c>
      <c r="BD87" s="27">
        <f t="shared" si="58"/>
        <v>0</v>
      </c>
      <c r="BE87" s="27">
        <f t="shared" si="59"/>
        <v>10850000</v>
      </c>
      <c r="BF87" s="29"/>
      <c r="BH87" s="30">
        <f t="shared" si="53"/>
        <v>0</v>
      </c>
    </row>
    <row r="88" spans="1:68" x14ac:dyDescent="0.25">
      <c r="A88" s="33" t="s">
        <v>120</v>
      </c>
      <c r="B88" s="23"/>
      <c r="C88" s="24"/>
      <c r="D88" s="24">
        <v>47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13"/>
      <c r="P88" s="24"/>
      <c r="Q88" s="24"/>
      <c r="R88" s="24">
        <v>227</v>
      </c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5"/>
      <c r="AD88" s="25">
        <f t="shared" si="66"/>
        <v>274</v>
      </c>
      <c r="AE88" s="26" t="s">
        <v>42</v>
      </c>
      <c r="AF88" s="34">
        <v>35292</v>
      </c>
      <c r="AG88" s="17">
        <f t="shared" si="44"/>
        <v>0</v>
      </c>
      <c r="AH88" s="28">
        <f t="shared" si="45"/>
        <v>0</v>
      </c>
      <c r="AI88" s="17">
        <f t="shared" si="46"/>
        <v>0</v>
      </c>
      <c r="AJ88" s="28">
        <f t="shared" si="47"/>
        <v>0</v>
      </c>
      <c r="AK88" s="17">
        <f t="shared" si="55"/>
        <v>0</v>
      </c>
      <c r="AL88" s="28">
        <f t="shared" si="48"/>
        <v>0</v>
      </c>
      <c r="AM88" s="17">
        <f t="shared" si="65"/>
        <v>0</v>
      </c>
      <c r="AN88" s="28">
        <f>+AM88*AF88</f>
        <v>0</v>
      </c>
      <c r="AO88" s="17">
        <f>+B88</f>
        <v>0</v>
      </c>
      <c r="AP88" s="28">
        <f>+AO88*AF88</f>
        <v>0</v>
      </c>
      <c r="AQ88" s="17">
        <f>+P88</f>
        <v>0</v>
      </c>
      <c r="AR88" s="28">
        <f>+AQ88*AF88</f>
        <v>0</v>
      </c>
      <c r="AS88" s="17">
        <f t="shared" si="60"/>
        <v>0</v>
      </c>
      <c r="AT88" s="28">
        <f t="shared" si="61"/>
        <v>0</v>
      </c>
      <c r="AU88" s="17">
        <f t="shared" si="62"/>
        <v>0</v>
      </c>
      <c r="AV88" s="28">
        <f t="shared" si="63"/>
        <v>0</v>
      </c>
      <c r="AW88" s="17">
        <f t="shared" si="49"/>
        <v>47</v>
      </c>
      <c r="AX88" s="28">
        <f t="shared" si="50"/>
        <v>1658724</v>
      </c>
      <c r="AY88" s="17">
        <f t="shared" si="51"/>
        <v>227</v>
      </c>
      <c r="AZ88" s="28">
        <f t="shared" si="52"/>
        <v>8011284</v>
      </c>
      <c r="BA88" s="27">
        <f t="shared" si="56"/>
        <v>0</v>
      </c>
      <c r="BB88" s="27">
        <f t="shared" si="54"/>
        <v>0</v>
      </c>
      <c r="BC88" s="27">
        <f t="shared" si="57"/>
        <v>0</v>
      </c>
      <c r="BD88" s="27">
        <f t="shared" si="58"/>
        <v>0</v>
      </c>
      <c r="BE88" s="27">
        <f t="shared" si="59"/>
        <v>9670008</v>
      </c>
      <c r="BF88" s="29">
        <f t="shared" si="64"/>
        <v>0</v>
      </c>
      <c r="BH88" s="30">
        <f t="shared" si="53"/>
        <v>0</v>
      </c>
      <c r="BM88" s="2">
        <f>SUM(B88:S88)</f>
        <v>274</v>
      </c>
      <c r="BP88" s="2">
        <f>SUM(B88:S88)</f>
        <v>274</v>
      </c>
    </row>
    <row r="89" spans="1:68" x14ac:dyDescent="0.25">
      <c r="A89" s="33" t="s">
        <v>121</v>
      </c>
      <c r="B89" s="23"/>
      <c r="C89" s="24"/>
      <c r="D89" s="24">
        <v>534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13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5"/>
      <c r="AD89" s="25">
        <f t="shared" si="66"/>
        <v>534</v>
      </c>
      <c r="AE89" s="26" t="s">
        <v>42</v>
      </c>
      <c r="AF89" s="34">
        <v>71055</v>
      </c>
      <c r="AG89" s="17">
        <f t="shared" si="44"/>
        <v>0</v>
      </c>
      <c r="AH89" s="28">
        <f t="shared" si="45"/>
        <v>0</v>
      </c>
      <c r="AI89" s="17">
        <f t="shared" si="46"/>
        <v>0</v>
      </c>
      <c r="AJ89" s="28">
        <f t="shared" si="47"/>
        <v>0</v>
      </c>
      <c r="AK89" s="17">
        <f t="shared" si="55"/>
        <v>0</v>
      </c>
      <c r="AL89" s="28">
        <f t="shared" si="48"/>
        <v>0</v>
      </c>
      <c r="AM89" s="17">
        <f t="shared" si="65"/>
        <v>0</v>
      </c>
      <c r="AN89" s="28">
        <f>+AM89*AF89</f>
        <v>0</v>
      </c>
      <c r="AO89" s="17">
        <f>+B89</f>
        <v>0</v>
      </c>
      <c r="AP89" s="28">
        <f>+AO89*AF89</f>
        <v>0</v>
      </c>
      <c r="AQ89" s="17">
        <f>+P89</f>
        <v>0</v>
      </c>
      <c r="AR89" s="28">
        <f>+AQ89*AF89</f>
        <v>0</v>
      </c>
      <c r="AS89" s="17">
        <f t="shared" si="60"/>
        <v>0</v>
      </c>
      <c r="AT89" s="28">
        <f t="shared" si="61"/>
        <v>0</v>
      </c>
      <c r="AU89" s="17">
        <f t="shared" si="62"/>
        <v>0</v>
      </c>
      <c r="AV89" s="28">
        <f t="shared" si="63"/>
        <v>0</v>
      </c>
      <c r="AW89" s="17">
        <f t="shared" si="49"/>
        <v>534</v>
      </c>
      <c r="AX89" s="28">
        <f t="shared" si="50"/>
        <v>37943370</v>
      </c>
      <c r="AY89" s="17">
        <f t="shared" si="51"/>
        <v>0</v>
      </c>
      <c r="AZ89" s="28">
        <f t="shared" si="52"/>
        <v>0</v>
      </c>
      <c r="BA89" s="27">
        <f t="shared" si="56"/>
        <v>0</v>
      </c>
      <c r="BB89" s="27">
        <f t="shared" si="54"/>
        <v>0</v>
      </c>
      <c r="BC89" s="27">
        <f t="shared" si="57"/>
        <v>0</v>
      </c>
      <c r="BD89" s="27">
        <f t="shared" si="58"/>
        <v>0</v>
      </c>
      <c r="BE89" s="27">
        <f t="shared" si="59"/>
        <v>37943370</v>
      </c>
      <c r="BF89" s="29">
        <f t="shared" si="64"/>
        <v>0</v>
      </c>
      <c r="BH89" s="30">
        <f t="shared" si="53"/>
        <v>0</v>
      </c>
      <c r="BM89" s="2">
        <f>SUM(B89:S89)</f>
        <v>534</v>
      </c>
      <c r="BP89" s="2">
        <f>SUM(B89:S89)</f>
        <v>534</v>
      </c>
    </row>
    <row r="90" spans="1:68" x14ac:dyDescent="0.25">
      <c r="A90" s="33" t="s">
        <v>122</v>
      </c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13">
        <v>160</v>
      </c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5"/>
      <c r="AD90" s="39">
        <f>SUM(B90:AB90)</f>
        <v>160</v>
      </c>
      <c r="AE90" s="40" t="s">
        <v>42</v>
      </c>
      <c r="AF90" s="34">
        <v>150</v>
      </c>
      <c r="AG90" s="17">
        <f t="shared" si="44"/>
        <v>0</v>
      </c>
      <c r="AH90" s="28">
        <f t="shared" si="45"/>
        <v>0</v>
      </c>
      <c r="AI90" s="17">
        <f t="shared" si="46"/>
        <v>0</v>
      </c>
      <c r="AJ90" s="28">
        <f t="shared" si="47"/>
        <v>0</v>
      </c>
      <c r="AK90" s="17">
        <f t="shared" si="55"/>
        <v>160</v>
      </c>
      <c r="AL90" s="28">
        <f t="shared" si="48"/>
        <v>24000</v>
      </c>
      <c r="AM90" s="17">
        <f t="shared" si="65"/>
        <v>0</v>
      </c>
      <c r="AN90" s="28"/>
      <c r="AO90" s="17"/>
      <c r="AP90" s="28"/>
      <c r="AQ90" s="17"/>
      <c r="AR90" s="28"/>
      <c r="AS90" s="17">
        <f t="shared" si="60"/>
        <v>0</v>
      </c>
      <c r="AT90" s="28">
        <f t="shared" si="61"/>
        <v>0</v>
      </c>
      <c r="AU90" s="17">
        <f t="shared" si="62"/>
        <v>0</v>
      </c>
      <c r="AV90" s="28">
        <f t="shared" si="63"/>
        <v>0</v>
      </c>
      <c r="AW90" s="17">
        <f t="shared" si="49"/>
        <v>0</v>
      </c>
      <c r="AX90" s="28">
        <f t="shared" si="50"/>
        <v>0</v>
      </c>
      <c r="AY90" s="17">
        <f t="shared" si="51"/>
        <v>0</v>
      </c>
      <c r="AZ90" s="28">
        <f t="shared" si="52"/>
        <v>0</v>
      </c>
      <c r="BA90" s="27"/>
      <c r="BB90" s="27">
        <f t="shared" si="54"/>
        <v>24000</v>
      </c>
      <c r="BC90" s="27">
        <f t="shared" si="57"/>
        <v>0</v>
      </c>
      <c r="BD90" s="27">
        <f t="shared" si="58"/>
        <v>0</v>
      </c>
      <c r="BE90" s="27">
        <f t="shared" si="59"/>
        <v>0</v>
      </c>
      <c r="BF90" s="29">
        <f t="shared" si="64"/>
        <v>24000</v>
      </c>
      <c r="BH90" s="30">
        <f t="shared" si="53"/>
        <v>160</v>
      </c>
    </row>
    <row r="91" spans="1:68" x14ac:dyDescent="0.25">
      <c r="A91" s="33" t="s">
        <v>123</v>
      </c>
      <c r="B91" s="23"/>
      <c r="C91" s="24"/>
      <c r="D91" s="24">
        <v>79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13"/>
      <c r="P91" s="24"/>
      <c r="Q91" s="24"/>
      <c r="R91" s="24">
        <v>700</v>
      </c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5"/>
      <c r="AD91" s="25">
        <f t="shared" si="66"/>
        <v>779</v>
      </c>
      <c r="AE91" s="26" t="s">
        <v>42</v>
      </c>
      <c r="AF91" s="27">
        <v>2000</v>
      </c>
      <c r="AG91" s="17">
        <f t="shared" si="44"/>
        <v>0</v>
      </c>
      <c r="AH91" s="28">
        <f t="shared" si="45"/>
        <v>0</v>
      </c>
      <c r="AI91" s="17">
        <f t="shared" si="46"/>
        <v>0</v>
      </c>
      <c r="AJ91" s="28">
        <f t="shared" si="47"/>
        <v>0</v>
      </c>
      <c r="AK91" s="17">
        <f t="shared" si="55"/>
        <v>0</v>
      </c>
      <c r="AL91" s="28">
        <f t="shared" si="48"/>
        <v>0</v>
      </c>
      <c r="AM91" s="17">
        <f t="shared" si="65"/>
        <v>0</v>
      </c>
      <c r="AN91" s="28">
        <f t="shared" ref="AN91:AN108" si="67">+AM91*AF91</f>
        <v>0</v>
      </c>
      <c r="AO91" s="17">
        <f t="shared" ref="AO91:AO154" si="68">+B91</f>
        <v>0</v>
      </c>
      <c r="AP91" s="28">
        <f t="shared" ref="AP91:AP108" si="69">+AO91*AF91</f>
        <v>0</v>
      </c>
      <c r="AQ91" s="17">
        <f t="shared" ref="AQ91:AQ154" si="70">+P91</f>
        <v>0</v>
      </c>
      <c r="AR91" s="28">
        <f t="shared" ref="AR91:AR108" si="71">+AQ91*AF91</f>
        <v>0</v>
      </c>
      <c r="AS91" s="17">
        <f t="shared" si="60"/>
        <v>0</v>
      </c>
      <c r="AT91" s="28">
        <f t="shared" si="61"/>
        <v>0</v>
      </c>
      <c r="AU91" s="17">
        <f t="shared" si="62"/>
        <v>0</v>
      </c>
      <c r="AV91" s="28">
        <f t="shared" si="63"/>
        <v>0</v>
      </c>
      <c r="AW91" s="17">
        <f t="shared" si="49"/>
        <v>79</v>
      </c>
      <c r="AX91" s="28">
        <f t="shared" si="50"/>
        <v>158000</v>
      </c>
      <c r="AY91" s="17">
        <f t="shared" si="51"/>
        <v>700</v>
      </c>
      <c r="AZ91" s="28">
        <f t="shared" si="52"/>
        <v>1400000</v>
      </c>
      <c r="BA91" s="27">
        <f t="shared" si="56"/>
        <v>0</v>
      </c>
      <c r="BB91" s="27">
        <f t="shared" si="54"/>
        <v>0</v>
      </c>
      <c r="BC91" s="27">
        <f t="shared" si="57"/>
        <v>0</v>
      </c>
      <c r="BD91" s="27">
        <f t="shared" si="58"/>
        <v>0</v>
      </c>
      <c r="BE91" s="27">
        <f t="shared" si="59"/>
        <v>1558000</v>
      </c>
      <c r="BF91" s="29">
        <f t="shared" si="64"/>
        <v>0</v>
      </c>
      <c r="BH91" s="30">
        <f t="shared" si="53"/>
        <v>0</v>
      </c>
      <c r="BM91" s="2">
        <f t="shared" ref="BM91:BM108" si="72">SUM(B91:S91)</f>
        <v>779</v>
      </c>
      <c r="BP91" s="2">
        <f t="shared" ref="BP91:BP108" si="73">SUM(B91:S91)</f>
        <v>779</v>
      </c>
    </row>
    <row r="92" spans="1:68" x14ac:dyDescent="0.25">
      <c r="A92" s="33" t="s">
        <v>124</v>
      </c>
      <c r="B92" s="23"/>
      <c r="C92" s="24"/>
      <c r="D92" s="24">
        <v>900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13"/>
      <c r="P92" s="24"/>
      <c r="Q92" s="24"/>
      <c r="R92" s="24">
        <v>1050</v>
      </c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5"/>
      <c r="AD92" s="25">
        <f t="shared" si="66"/>
        <v>1950</v>
      </c>
      <c r="AE92" s="26" t="s">
        <v>42</v>
      </c>
      <c r="AF92" s="27">
        <v>1100</v>
      </c>
      <c r="AG92" s="17">
        <f t="shared" si="44"/>
        <v>0</v>
      </c>
      <c r="AH92" s="28">
        <f t="shared" si="45"/>
        <v>0</v>
      </c>
      <c r="AI92" s="17">
        <f t="shared" si="46"/>
        <v>0</v>
      </c>
      <c r="AJ92" s="28">
        <f t="shared" si="47"/>
        <v>0</v>
      </c>
      <c r="AK92" s="17">
        <f t="shared" si="55"/>
        <v>0</v>
      </c>
      <c r="AL92" s="28">
        <f t="shared" si="48"/>
        <v>0</v>
      </c>
      <c r="AM92" s="17">
        <f t="shared" si="65"/>
        <v>0</v>
      </c>
      <c r="AN92" s="28">
        <f t="shared" si="67"/>
        <v>0</v>
      </c>
      <c r="AO92" s="17">
        <f t="shared" si="68"/>
        <v>0</v>
      </c>
      <c r="AP92" s="28">
        <f t="shared" si="69"/>
        <v>0</v>
      </c>
      <c r="AQ92" s="17">
        <f t="shared" si="70"/>
        <v>0</v>
      </c>
      <c r="AR92" s="28">
        <f t="shared" si="71"/>
        <v>0</v>
      </c>
      <c r="AS92" s="17">
        <f t="shared" si="60"/>
        <v>0</v>
      </c>
      <c r="AT92" s="28">
        <f t="shared" si="61"/>
        <v>0</v>
      </c>
      <c r="AU92" s="17">
        <f t="shared" si="62"/>
        <v>0</v>
      </c>
      <c r="AV92" s="28">
        <f t="shared" si="63"/>
        <v>0</v>
      </c>
      <c r="AW92" s="17">
        <f t="shared" si="49"/>
        <v>900</v>
      </c>
      <c r="AX92" s="28">
        <f t="shared" si="50"/>
        <v>990000</v>
      </c>
      <c r="AY92" s="17">
        <f t="shared" si="51"/>
        <v>1050</v>
      </c>
      <c r="AZ92" s="28">
        <f t="shared" si="52"/>
        <v>1155000</v>
      </c>
      <c r="BA92" s="27">
        <f t="shared" si="56"/>
        <v>0</v>
      </c>
      <c r="BB92" s="27">
        <f t="shared" si="54"/>
        <v>0</v>
      </c>
      <c r="BC92" s="27">
        <f t="shared" si="57"/>
        <v>0</v>
      </c>
      <c r="BD92" s="27">
        <f t="shared" si="58"/>
        <v>0</v>
      </c>
      <c r="BE92" s="27">
        <f t="shared" si="59"/>
        <v>2145000</v>
      </c>
      <c r="BF92" s="29">
        <f t="shared" si="64"/>
        <v>0</v>
      </c>
      <c r="BH92" s="30">
        <f t="shared" si="53"/>
        <v>0</v>
      </c>
      <c r="BM92" s="2">
        <f t="shared" si="72"/>
        <v>1950</v>
      </c>
      <c r="BP92" s="2">
        <f t="shared" si="73"/>
        <v>1950</v>
      </c>
    </row>
    <row r="93" spans="1:68" ht="14.45" hidden="1" customHeight="1" x14ac:dyDescent="0.25">
      <c r="A93" s="33" t="s">
        <v>125</v>
      </c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13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5"/>
      <c r="AD93" s="25">
        <f t="shared" si="66"/>
        <v>0</v>
      </c>
      <c r="AE93" s="26" t="s">
        <v>42</v>
      </c>
      <c r="AF93" s="27"/>
      <c r="AG93" s="17">
        <f t="shared" si="44"/>
        <v>0</v>
      </c>
      <c r="AH93" s="28">
        <f t="shared" si="45"/>
        <v>0</v>
      </c>
      <c r="AI93" s="17">
        <f t="shared" si="46"/>
        <v>0</v>
      </c>
      <c r="AJ93" s="28">
        <f t="shared" si="47"/>
        <v>0</v>
      </c>
      <c r="AK93" s="17">
        <f t="shared" si="55"/>
        <v>0</v>
      </c>
      <c r="AL93" s="28">
        <f t="shared" si="48"/>
        <v>0</v>
      </c>
      <c r="AM93" s="17">
        <f t="shared" si="65"/>
        <v>0</v>
      </c>
      <c r="AN93" s="28">
        <f t="shared" si="67"/>
        <v>0</v>
      </c>
      <c r="AO93" s="17">
        <f t="shared" si="68"/>
        <v>0</v>
      </c>
      <c r="AP93" s="28">
        <f t="shared" si="69"/>
        <v>0</v>
      </c>
      <c r="AQ93" s="17">
        <f t="shared" si="70"/>
        <v>0</v>
      </c>
      <c r="AR93" s="28">
        <f t="shared" si="71"/>
        <v>0</v>
      </c>
      <c r="AS93" s="17">
        <f t="shared" si="60"/>
        <v>0</v>
      </c>
      <c r="AT93" s="28">
        <f t="shared" si="61"/>
        <v>0</v>
      </c>
      <c r="AU93" s="17">
        <f t="shared" si="62"/>
        <v>0</v>
      </c>
      <c r="AV93" s="28">
        <f t="shared" si="63"/>
        <v>0</v>
      </c>
      <c r="AW93" s="17">
        <f t="shared" si="49"/>
        <v>0</v>
      </c>
      <c r="AX93" s="28">
        <f t="shared" si="50"/>
        <v>0</v>
      </c>
      <c r="AY93" s="17">
        <f t="shared" si="51"/>
        <v>0</v>
      </c>
      <c r="AZ93" s="28">
        <f t="shared" si="52"/>
        <v>0</v>
      </c>
      <c r="BA93" s="27">
        <f t="shared" si="56"/>
        <v>0</v>
      </c>
      <c r="BB93" s="27">
        <f t="shared" si="54"/>
        <v>0</v>
      </c>
      <c r="BC93" s="27">
        <f t="shared" si="57"/>
        <v>0</v>
      </c>
      <c r="BD93" s="27">
        <f t="shared" si="58"/>
        <v>0</v>
      </c>
      <c r="BE93" s="27">
        <f t="shared" si="59"/>
        <v>0</v>
      </c>
      <c r="BF93" s="29">
        <f t="shared" si="64"/>
        <v>0</v>
      </c>
      <c r="BH93" s="30">
        <f t="shared" si="53"/>
        <v>0</v>
      </c>
      <c r="BM93" s="2">
        <f t="shared" si="72"/>
        <v>0</v>
      </c>
      <c r="BP93" s="2">
        <f t="shared" si="73"/>
        <v>0</v>
      </c>
    </row>
    <row r="94" spans="1:68" x14ac:dyDescent="0.25">
      <c r="A94" s="33" t="s">
        <v>126</v>
      </c>
      <c r="B94" s="23"/>
      <c r="C94" s="24"/>
      <c r="D94" s="24"/>
      <c r="E94" s="24"/>
      <c r="F94" s="24"/>
      <c r="G94" s="24">
        <v>400</v>
      </c>
      <c r="H94" s="24"/>
      <c r="I94" s="24"/>
      <c r="J94" s="24"/>
      <c r="K94" s="24"/>
      <c r="L94" s="24"/>
      <c r="M94" s="24"/>
      <c r="N94" s="24"/>
      <c r="O94" s="13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5"/>
      <c r="AD94" s="25">
        <f t="shared" si="66"/>
        <v>400</v>
      </c>
      <c r="AE94" s="26" t="s">
        <v>42</v>
      </c>
      <c r="AF94" s="27">
        <f>3.5*655.957*1.69</f>
        <v>3879.9856549999995</v>
      </c>
      <c r="AG94" s="17">
        <f t="shared" si="44"/>
        <v>0</v>
      </c>
      <c r="AH94" s="28">
        <f t="shared" si="45"/>
        <v>0</v>
      </c>
      <c r="AI94" s="17">
        <f t="shared" si="46"/>
        <v>0</v>
      </c>
      <c r="AJ94" s="28">
        <f t="shared" si="47"/>
        <v>0</v>
      </c>
      <c r="AK94" s="17">
        <f t="shared" si="55"/>
        <v>400</v>
      </c>
      <c r="AL94" s="28">
        <f t="shared" si="48"/>
        <v>1551994.2619999999</v>
      </c>
      <c r="AM94" s="17">
        <f t="shared" si="65"/>
        <v>0</v>
      </c>
      <c r="AN94" s="28">
        <f t="shared" si="67"/>
        <v>0</v>
      </c>
      <c r="AO94" s="17">
        <f t="shared" si="68"/>
        <v>0</v>
      </c>
      <c r="AP94" s="28">
        <f t="shared" si="69"/>
        <v>0</v>
      </c>
      <c r="AQ94" s="17">
        <f t="shared" si="70"/>
        <v>0</v>
      </c>
      <c r="AR94" s="28">
        <f t="shared" si="71"/>
        <v>0</v>
      </c>
      <c r="AS94" s="17">
        <f t="shared" si="60"/>
        <v>0</v>
      </c>
      <c r="AT94" s="28">
        <f t="shared" si="61"/>
        <v>0</v>
      </c>
      <c r="AU94" s="17">
        <f t="shared" si="62"/>
        <v>0</v>
      </c>
      <c r="AV94" s="28">
        <f t="shared" si="63"/>
        <v>0</v>
      </c>
      <c r="AW94" s="17">
        <f t="shared" si="49"/>
        <v>0</v>
      </c>
      <c r="AX94" s="28">
        <f t="shared" si="50"/>
        <v>0</v>
      </c>
      <c r="AY94" s="17">
        <f t="shared" si="51"/>
        <v>0</v>
      </c>
      <c r="AZ94" s="28">
        <f t="shared" si="52"/>
        <v>0</v>
      </c>
      <c r="BA94" s="27">
        <f t="shared" si="56"/>
        <v>0</v>
      </c>
      <c r="BB94" s="27">
        <f t="shared" si="54"/>
        <v>1551994.2619999999</v>
      </c>
      <c r="BC94" s="27">
        <f t="shared" si="57"/>
        <v>0</v>
      </c>
      <c r="BD94" s="27">
        <f t="shared" si="58"/>
        <v>0</v>
      </c>
      <c r="BE94" s="27">
        <f t="shared" si="59"/>
        <v>0</v>
      </c>
      <c r="BF94" s="29">
        <f t="shared" si="64"/>
        <v>1551994.2619999999</v>
      </c>
      <c r="BH94" s="30">
        <f t="shared" si="53"/>
        <v>400</v>
      </c>
      <c r="BM94" s="2">
        <f t="shared" si="72"/>
        <v>400</v>
      </c>
      <c r="BP94" s="2">
        <f t="shared" si="73"/>
        <v>400</v>
      </c>
    </row>
    <row r="95" spans="1:68" ht="14.45" hidden="1" customHeight="1" x14ac:dyDescent="0.25">
      <c r="A95" s="33" t="s">
        <v>127</v>
      </c>
      <c r="B95" s="2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13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5"/>
      <c r="AD95" s="25">
        <f t="shared" si="66"/>
        <v>0</v>
      </c>
      <c r="AE95" s="26" t="s">
        <v>42</v>
      </c>
      <c r="AF95" s="27"/>
      <c r="AG95" s="17">
        <f t="shared" si="44"/>
        <v>0</v>
      </c>
      <c r="AH95" s="28">
        <f t="shared" si="45"/>
        <v>0</v>
      </c>
      <c r="AI95" s="17">
        <f t="shared" si="46"/>
        <v>0</v>
      </c>
      <c r="AJ95" s="28">
        <f t="shared" si="47"/>
        <v>0</v>
      </c>
      <c r="AK95" s="17">
        <f t="shared" si="55"/>
        <v>0</v>
      </c>
      <c r="AL95" s="28">
        <f t="shared" si="48"/>
        <v>0</v>
      </c>
      <c r="AM95" s="17">
        <f t="shared" si="65"/>
        <v>0</v>
      </c>
      <c r="AN95" s="28">
        <f t="shared" si="67"/>
        <v>0</v>
      </c>
      <c r="AO95" s="17">
        <f t="shared" si="68"/>
        <v>0</v>
      </c>
      <c r="AP95" s="28">
        <f t="shared" si="69"/>
        <v>0</v>
      </c>
      <c r="AQ95" s="17">
        <f t="shared" si="70"/>
        <v>0</v>
      </c>
      <c r="AR95" s="28">
        <f t="shared" si="71"/>
        <v>0</v>
      </c>
      <c r="AS95" s="17">
        <f t="shared" si="60"/>
        <v>0</v>
      </c>
      <c r="AT95" s="28">
        <f t="shared" si="61"/>
        <v>0</v>
      </c>
      <c r="AU95" s="17">
        <f t="shared" si="62"/>
        <v>0</v>
      </c>
      <c r="AV95" s="28">
        <f t="shared" si="63"/>
        <v>0</v>
      </c>
      <c r="AW95" s="17">
        <f t="shared" si="49"/>
        <v>0</v>
      </c>
      <c r="AX95" s="28">
        <f t="shared" si="50"/>
        <v>0</v>
      </c>
      <c r="AY95" s="17">
        <f t="shared" si="51"/>
        <v>0</v>
      </c>
      <c r="AZ95" s="28">
        <f t="shared" si="52"/>
        <v>0</v>
      </c>
      <c r="BA95" s="27">
        <f t="shared" si="56"/>
        <v>0</v>
      </c>
      <c r="BB95" s="27">
        <f t="shared" si="54"/>
        <v>0</v>
      </c>
      <c r="BC95" s="27">
        <f t="shared" si="57"/>
        <v>0</v>
      </c>
      <c r="BD95" s="27">
        <f t="shared" si="58"/>
        <v>0</v>
      </c>
      <c r="BE95" s="27">
        <f t="shared" si="59"/>
        <v>0</v>
      </c>
      <c r="BF95" s="29">
        <f t="shared" si="64"/>
        <v>0</v>
      </c>
      <c r="BH95" s="30">
        <f t="shared" si="53"/>
        <v>0</v>
      </c>
      <c r="BM95" s="2">
        <f t="shared" si="72"/>
        <v>0</v>
      </c>
      <c r="BP95" s="2">
        <f t="shared" si="73"/>
        <v>0</v>
      </c>
    </row>
    <row r="96" spans="1:68" ht="14.45" hidden="1" customHeight="1" x14ac:dyDescent="0.25">
      <c r="A96" s="33" t="s">
        <v>128</v>
      </c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13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5"/>
      <c r="AD96" s="25">
        <f t="shared" si="66"/>
        <v>0</v>
      </c>
      <c r="AE96" s="26" t="s">
        <v>42</v>
      </c>
      <c r="AF96" s="27"/>
      <c r="AG96" s="17">
        <f t="shared" si="44"/>
        <v>0</v>
      </c>
      <c r="AH96" s="28">
        <f t="shared" si="45"/>
        <v>0</v>
      </c>
      <c r="AI96" s="17">
        <f t="shared" si="46"/>
        <v>0</v>
      </c>
      <c r="AJ96" s="28">
        <f t="shared" si="47"/>
        <v>0</v>
      </c>
      <c r="AK96" s="17">
        <f t="shared" si="55"/>
        <v>0</v>
      </c>
      <c r="AL96" s="28">
        <f t="shared" si="48"/>
        <v>0</v>
      </c>
      <c r="AM96" s="17">
        <f t="shared" si="65"/>
        <v>0</v>
      </c>
      <c r="AN96" s="28">
        <f t="shared" si="67"/>
        <v>0</v>
      </c>
      <c r="AO96" s="17">
        <f t="shared" si="68"/>
        <v>0</v>
      </c>
      <c r="AP96" s="28">
        <f t="shared" si="69"/>
        <v>0</v>
      </c>
      <c r="AQ96" s="17">
        <f t="shared" si="70"/>
        <v>0</v>
      </c>
      <c r="AR96" s="28">
        <f t="shared" si="71"/>
        <v>0</v>
      </c>
      <c r="AS96" s="17">
        <f t="shared" si="60"/>
        <v>0</v>
      </c>
      <c r="AT96" s="28">
        <f t="shared" si="61"/>
        <v>0</v>
      </c>
      <c r="AU96" s="17">
        <f t="shared" si="62"/>
        <v>0</v>
      </c>
      <c r="AV96" s="28">
        <f t="shared" si="63"/>
        <v>0</v>
      </c>
      <c r="AW96" s="17">
        <f t="shared" si="49"/>
        <v>0</v>
      </c>
      <c r="AX96" s="28">
        <f t="shared" si="50"/>
        <v>0</v>
      </c>
      <c r="AY96" s="17">
        <f t="shared" si="51"/>
        <v>0</v>
      </c>
      <c r="AZ96" s="28">
        <f t="shared" si="52"/>
        <v>0</v>
      </c>
      <c r="BA96" s="27">
        <f t="shared" si="56"/>
        <v>0</v>
      </c>
      <c r="BB96" s="27">
        <f t="shared" si="54"/>
        <v>0</v>
      </c>
      <c r="BC96" s="27">
        <f t="shared" si="57"/>
        <v>0</v>
      </c>
      <c r="BD96" s="27">
        <f t="shared" si="58"/>
        <v>0</v>
      </c>
      <c r="BE96" s="27">
        <f t="shared" si="59"/>
        <v>0</v>
      </c>
      <c r="BF96" s="29">
        <f t="shared" si="64"/>
        <v>0</v>
      </c>
      <c r="BH96" s="30">
        <f t="shared" si="53"/>
        <v>0</v>
      </c>
      <c r="BM96" s="2">
        <f t="shared" si="72"/>
        <v>0</v>
      </c>
      <c r="BP96" s="2">
        <f t="shared" si="73"/>
        <v>0</v>
      </c>
    </row>
    <row r="97" spans="1:68" ht="14.45" hidden="1" customHeight="1" x14ac:dyDescent="0.25">
      <c r="A97" s="33" t="s">
        <v>126</v>
      </c>
      <c r="B97" s="2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13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5"/>
      <c r="AD97" s="25">
        <f t="shared" si="66"/>
        <v>0</v>
      </c>
      <c r="AE97" s="26" t="s">
        <v>42</v>
      </c>
      <c r="AF97" s="27"/>
      <c r="AG97" s="17">
        <f t="shared" si="44"/>
        <v>0</v>
      </c>
      <c r="AH97" s="28">
        <f t="shared" si="45"/>
        <v>0</v>
      </c>
      <c r="AI97" s="17">
        <f t="shared" si="46"/>
        <v>0</v>
      </c>
      <c r="AJ97" s="28">
        <f t="shared" si="47"/>
        <v>0</v>
      </c>
      <c r="AK97" s="17">
        <f t="shared" si="55"/>
        <v>0</v>
      </c>
      <c r="AL97" s="28">
        <f t="shared" si="48"/>
        <v>0</v>
      </c>
      <c r="AM97" s="17">
        <f t="shared" si="65"/>
        <v>0</v>
      </c>
      <c r="AN97" s="28">
        <f t="shared" si="67"/>
        <v>0</v>
      </c>
      <c r="AO97" s="17">
        <f t="shared" si="68"/>
        <v>0</v>
      </c>
      <c r="AP97" s="28">
        <f t="shared" si="69"/>
        <v>0</v>
      </c>
      <c r="AQ97" s="17">
        <f t="shared" si="70"/>
        <v>0</v>
      </c>
      <c r="AR97" s="28">
        <f t="shared" si="71"/>
        <v>0</v>
      </c>
      <c r="AS97" s="17">
        <f t="shared" si="60"/>
        <v>0</v>
      </c>
      <c r="AT97" s="28">
        <f t="shared" si="61"/>
        <v>0</v>
      </c>
      <c r="AU97" s="17">
        <f t="shared" si="62"/>
        <v>0</v>
      </c>
      <c r="AV97" s="28">
        <f t="shared" si="63"/>
        <v>0</v>
      </c>
      <c r="AW97" s="17">
        <f t="shared" si="49"/>
        <v>0</v>
      </c>
      <c r="AX97" s="28">
        <f t="shared" si="50"/>
        <v>0</v>
      </c>
      <c r="AY97" s="17">
        <f t="shared" si="51"/>
        <v>0</v>
      </c>
      <c r="AZ97" s="28">
        <f t="shared" si="52"/>
        <v>0</v>
      </c>
      <c r="BA97" s="27">
        <f t="shared" si="56"/>
        <v>0</v>
      </c>
      <c r="BB97" s="27">
        <f t="shared" si="54"/>
        <v>0</v>
      </c>
      <c r="BC97" s="27">
        <f t="shared" si="57"/>
        <v>0</v>
      </c>
      <c r="BD97" s="27">
        <f t="shared" si="58"/>
        <v>0</v>
      </c>
      <c r="BE97" s="27">
        <f t="shared" si="59"/>
        <v>0</v>
      </c>
      <c r="BF97" s="29">
        <f t="shared" si="64"/>
        <v>0</v>
      </c>
      <c r="BH97" s="30">
        <f t="shared" si="53"/>
        <v>0</v>
      </c>
      <c r="BM97" s="2">
        <f t="shared" si="72"/>
        <v>0</v>
      </c>
      <c r="BP97" s="2">
        <f t="shared" si="73"/>
        <v>0</v>
      </c>
    </row>
    <row r="98" spans="1:68" ht="14.45" hidden="1" customHeight="1" x14ac:dyDescent="0.25">
      <c r="A98" s="33" t="s">
        <v>129</v>
      </c>
      <c r="B98" s="2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13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5"/>
      <c r="AD98" s="25">
        <f t="shared" si="66"/>
        <v>0</v>
      </c>
      <c r="AE98" s="26" t="s">
        <v>42</v>
      </c>
      <c r="AF98" s="27"/>
      <c r="AG98" s="17">
        <f t="shared" si="44"/>
        <v>0</v>
      </c>
      <c r="AH98" s="28">
        <f t="shared" si="45"/>
        <v>0</v>
      </c>
      <c r="AI98" s="17">
        <f t="shared" si="46"/>
        <v>0</v>
      </c>
      <c r="AJ98" s="28">
        <f t="shared" si="47"/>
        <v>0</v>
      </c>
      <c r="AK98" s="17">
        <f t="shared" si="55"/>
        <v>0</v>
      </c>
      <c r="AL98" s="28">
        <f t="shared" si="48"/>
        <v>0</v>
      </c>
      <c r="AM98" s="17">
        <f t="shared" si="65"/>
        <v>0</v>
      </c>
      <c r="AN98" s="28">
        <f t="shared" si="67"/>
        <v>0</v>
      </c>
      <c r="AO98" s="17">
        <f t="shared" si="68"/>
        <v>0</v>
      </c>
      <c r="AP98" s="28">
        <f t="shared" si="69"/>
        <v>0</v>
      </c>
      <c r="AQ98" s="17">
        <f t="shared" si="70"/>
        <v>0</v>
      </c>
      <c r="AR98" s="28">
        <f t="shared" si="71"/>
        <v>0</v>
      </c>
      <c r="AS98" s="17">
        <f t="shared" si="60"/>
        <v>0</v>
      </c>
      <c r="AT98" s="28">
        <f t="shared" si="61"/>
        <v>0</v>
      </c>
      <c r="AU98" s="17">
        <f t="shared" si="62"/>
        <v>0</v>
      </c>
      <c r="AV98" s="28">
        <f t="shared" si="63"/>
        <v>0</v>
      </c>
      <c r="AW98" s="17">
        <f t="shared" si="49"/>
        <v>0</v>
      </c>
      <c r="AX98" s="28">
        <f t="shared" si="50"/>
        <v>0</v>
      </c>
      <c r="AY98" s="17">
        <f t="shared" si="51"/>
        <v>0</v>
      </c>
      <c r="AZ98" s="28">
        <f t="shared" si="52"/>
        <v>0</v>
      </c>
      <c r="BA98" s="27">
        <f t="shared" si="56"/>
        <v>0</v>
      </c>
      <c r="BB98" s="27">
        <f t="shared" si="54"/>
        <v>0</v>
      </c>
      <c r="BC98" s="27">
        <f t="shared" si="57"/>
        <v>0</v>
      </c>
      <c r="BD98" s="27">
        <f t="shared" si="58"/>
        <v>0</v>
      </c>
      <c r="BE98" s="27">
        <f t="shared" si="59"/>
        <v>0</v>
      </c>
      <c r="BF98" s="29">
        <f t="shared" si="64"/>
        <v>0</v>
      </c>
      <c r="BH98" s="30">
        <f t="shared" si="53"/>
        <v>0</v>
      </c>
      <c r="BM98" s="2">
        <f t="shared" si="72"/>
        <v>0</v>
      </c>
      <c r="BP98" s="2">
        <f t="shared" si="73"/>
        <v>0</v>
      </c>
    </row>
    <row r="99" spans="1:68" x14ac:dyDescent="0.25">
      <c r="A99" s="33" t="s">
        <v>130</v>
      </c>
      <c r="B99" s="2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13">
        <v>2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5"/>
      <c r="AD99" s="25">
        <f t="shared" si="66"/>
        <v>2</v>
      </c>
      <c r="AE99" s="26" t="s">
        <v>42</v>
      </c>
      <c r="AF99" s="34">
        <v>3600</v>
      </c>
      <c r="AG99" s="17">
        <f t="shared" si="44"/>
        <v>0</v>
      </c>
      <c r="AH99" s="28">
        <f t="shared" si="45"/>
        <v>0</v>
      </c>
      <c r="AI99" s="17">
        <f t="shared" si="46"/>
        <v>0</v>
      </c>
      <c r="AJ99" s="28">
        <f t="shared" si="47"/>
        <v>0</v>
      </c>
      <c r="AK99" s="17">
        <f t="shared" si="55"/>
        <v>2</v>
      </c>
      <c r="AL99" s="28">
        <f t="shared" si="48"/>
        <v>7200</v>
      </c>
      <c r="AM99" s="17">
        <f t="shared" si="65"/>
        <v>0</v>
      </c>
      <c r="AN99" s="28">
        <f t="shared" si="67"/>
        <v>0</v>
      </c>
      <c r="AO99" s="17">
        <f t="shared" si="68"/>
        <v>0</v>
      </c>
      <c r="AP99" s="28">
        <f t="shared" si="69"/>
        <v>0</v>
      </c>
      <c r="AQ99" s="17">
        <f t="shared" si="70"/>
        <v>0</v>
      </c>
      <c r="AR99" s="28">
        <f t="shared" si="71"/>
        <v>0</v>
      </c>
      <c r="AS99" s="17">
        <f t="shared" si="60"/>
        <v>0</v>
      </c>
      <c r="AT99" s="28">
        <f t="shared" si="61"/>
        <v>0</v>
      </c>
      <c r="AU99" s="17">
        <f t="shared" si="62"/>
        <v>0</v>
      </c>
      <c r="AV99" s="28">
        <f t="shared" si="63"/>
        <v>0</v>
      </c>
      <c r="AW99" s="17">
        <f t="shared" si="49"/>
        <v>0</v>
      </c>
      <c r="AX99" s="28">
        <f t="shared" si="50"/>
        <v>0</v>
      </c>
      <c r="AY99" s="17">
        <f t="shared" si="51"/>
        <v>0</v>
      </c>
      <c r="AZ99" s="28">
        <f t="shared" si="52"/>
        <v>0</v>
      </c>
      <c r="BA99" s="27">
        <f t="shared" si="56"/>
        <v>0</v>
      </c>
      <c r="BB99" s="27">
        <f t="shared" si="54"/>
        <v>7200</v>
      </c>
      <c r="BC99" s="27">
        <f t="shared" si="57"/>
        <v>0</v>
      </c>
      <c r="BD99" s="27">
        <f t="shared" si="58"/>
        <v>0</v>
      </c>
      <c r="BE99" s="27">
        <f t="shared" si="59"/>
        <v>0</v>
      </c>
      <c r="BF99" s="29">
        <f t="shared" si="64"/>
        <v>7200</v>
      </c>
      <c r="BH99" s="30">
        <f t="shared" si="53"/>
        <v>2</v>
      </c>
      <c r="BM99" s="2">
        <f t="shared" si="72"/>
        <v>2</v>
      </c>
      <c r="BP99" s="2">
        <f t="shared" si="73"/>
        <v>2</v>
      </c>
    </row>
    <row r="100" spans="1:68" ht="14.45" hidden="1" customHeight="1" x14ac:dyDescent="0.25">
      <c r="A100" s="33" t="s">
        <v>131</v>
      </c>
      <c r="B100" s="2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13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5"/>
      <c r="AD100" s="25">
        <f t="shared" si="66"/>
        <v>0</v>
      </c>
      <c r="AE100" s="26" t="s">
        <v>42</v>
      </c>
      <c r="AF100" s="34"/>
      <c r="AG100" s="17">
        <f t="shared" si="44"/>
        <v>0</v>
      </c>
      <c r="AH100" s="28">
        <f t="shared" si="45"/>
        <v>0</v>
      </c>
      <c r="AI100" s="17">
        <f t="shared" si="46"/>
        <v>0</v>
      </c>
      <c r="AJ100" s="28">
        <f t="shared" si="47"/>
        <v>0</v>
      </c>
      <c r="AK100" s="17">
        <f t="shared" si="55"/>
        <v>0</v>
      </c>
      <c r="AL100" s="28">
        <f t="shared" si="48"/>
        <v>0</v>
      </c>
      <c r="AM100" s="17">
        <f t="shared" si="65"/>
        <v>0</v>
      </c>
      <c r="AN100" s="28">
        <f t="shared" si="67"/>
        <v>0</v>
      </c>
      <c r="AO100" s="17">
        <f t="shared" si="68"/>
        <v>0</v>
      </c>
      <c r="AP100" s="28">
        <f t="shared" si="69"/>
        <v>0</v>
      </c>
      <c r="AQ100" s="17">
        <f t="shared" si="70"/>
        <v>0</v>
      </c>
      <c r="AR100" s="28">
        <f t="shared" si="71"/>
        <v>0</v>
      </c>
      <c r="AS100" s="17">
        <f t="shared" si="60"/>
        <v>0</v>
      </c>
      <c r="AT100" s="28">
        <f t="shared" si="61"/>
        <v>0</v>
      </c>
      <c r="AU100" s="17">
        <f t="shared" si="62"/>
        <v>0</v>
      </c>
      <c r="AV100" s="28">
        <f t="shared" si="63"/>
        <v>0</v>
      </c>
      <c r="AW100" s="17">
        <f t="shared" si="49"/>
        <v>0</v>
      </c>
      <c r="AX100" s="28">
        <f t="shared" si="50"/>
        <v>0</v>
      </c>
      <c r="AY100" s="17">
        <f t="shared" si="51"/>
        <v>0</v>
      </c>
      <c r="AZ100" s="28">
        <f t="shared" si="52"/>
        <v>0</v>
      </c>
      <c r="BA100" s="27">
        <f t="shared" si="56"/>
        <v>0</v>
      </c>
      <c r="BB100" s="27">
        <f t="shared" si="54"/>
        <v>0</v>
      </c>
      <c r="BC100" s="27">
        <f t="shared" si="57"/>
        <v>0</v>
      </c>
      <c r="BD100" s="27">
        <f t="shared" si="58"/>
        <v>0</v>
      </c>
      <c r="BE100" s="27">
        <f t="shared" si="59"/>
        <v>0</v>
      </c>
      <c r="BF100" s="29">
        <f t="shared" si="64"/>
        <v>0</v>
      </c>
      <c r="BH100" s="30">
        <f t="shared" si="53"/>
        <v>0</v>
      </c>
      <c r="BM100" s="2">
        <f t="shared" si="72"/>
        <v>0</v>
      </c>
      <c r="BP100" s="2">
        <f t="shared" si="73"/>
        <v>0</v>
      </c>
    </row>
    <row r="101" spans="1:68" ht="14.45" hidden="1" customHeight="1" x14ac:dyDescent="0.25">
      <c r="A101" s="33" t="s">
        <v>132</v>
      </c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13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5"/>
      <c r="AD101" s="25">
        <f t="shared" si="66"/>
        <v>0</v>
      </c>
      <c r="AE101" s="26" t="s">
        <v>42</v>
      </c>
      <c r="AF101" s="34"/>
      <c r="AG101" s="17">
        <f t="shared" si="44"/>
        <v>0</v>
      </c>
      <c r="AH101" s="28">
        <f t="shared" si="45"/>
        <v>0</v>
      </c>
      <c r="AI101" s="17">
        <f t="shared" si="46"/>
        <v>0</v>
      </c>
      <c r="AJ101" s="28">
        <f t="shared" si="47"/>
        <v>0</v>
      </c>
      <c r="AK101" s="17">
        <f t="shared" si="55"/>
        <v>0</v>
      </c>
      <c r="AL101" s="28">
        <f t="shared" si="48"/>
        <v>0</v>
      </c>
      <c r="AM101" s="17">
        <f t="shared" si="65"/>
        <v>0</v>
      </c>
      <c r="AN101" s="28">
        <f t="shared" si="67"/>
        <v>0</v>
      </c>
      <c r="AO101" s="17">
        <f t="shared" si="68"/>
        <v>0</v>
      </c>
      <c r="AP101" s="28">
        <f t="shared" si="69"/>
        <v>0</v>
      </c>
      <c r="AQ101" s="17">
        <f t="shared" si="70"/>
        <v>0</v>
      </c>
      <c r="AR101" s="28">
        <f t="shared" si="71"/>
        <v>0</v>
      </c>
      <c r="AS101" s="17">
        <f t="shared" si="60"/>
        <v>0</v>
      </c>
      <c r="AT101" s="28">
        <f t="shared" si="61"/>
        <v>0</v>
      </c>
      <c r="AU101" s="17">
        <f t="shared" si="62"/>
        <v>0</v>
      </c>
      <c r="AV101" s="28">
        <f t="shared" si="63"/>
        <v>0</v>
      </c>
      <c r="AW101" s="17">
        <f t="shared" si="49"/>
        <v>0</v>
      </c>
      <c r="AX101" s="28">
        <f t="shared" si="50"/>
        <v>0</v>
      </c>
      <c r="AY101" s="17">
        <f t="shared" si="51"/>
        <v>0</v>
      </c>
      <c r="AZ101" s="28">
        <f t="shared" si="52"/>
        <v>0</v>
      </c>
      <c r="BA101" s="27">
        <f t="shared" si="56"/>
        <v>0</v>
      </c>
      <c r="BB101" s="27">
        <f t="shared" si="54"/>
        <v>0</v>
      </c>
      <c r="BC101" s="27">
        <f t="shared" si="57"/>
        <v>0</v>
      </c>
      <c r="BD101" s="27">
        <f t="shared" si="58"/>
        <v>0</v>
      </c>
      <c r="BE101" s="27">
        <f t="shared" si="59"/>
        <v>0</v>
      </c>
      <c r="BF101" s="29">
        <f t="shared" si="64"/>
        <v>0</v>
      </c>
      <c r="BH101" s="30">
        <f t="shared" si="53"/>
        <v>0</v>
      </c>
      <c r="BM101" s="2">
        <f t="shared" si="72"/>
        <v>0</v>
      </c>
      <c r="BP101" s="2">
        <f t="shared" si="73"/>
        <v>0</v>
      </c>
    </row>
    <row r="102" spans="1:68" ht="14.45" hidden="1" customHeight="1" x14ac:dyDescent="0.25">
      <c r="A102" s="33" t="s">
        <v>133</v>
      </c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13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5"/>
      <c r="AD102" s="25">
        <f t="shared" si="66"/>
        <v>0</v>
      </c>
      <c r="AE102" s="26" t="s">
        <v>42</v>
      </c>
      <c r="AF102" s="34"/>
      <c r="AG102" s="17">
        <f t="shared" si="44"/>
        <v>0</v>
      </c>
      <c r="AH102" s="28">
        <f t="shared" si="45"/>
        <v>0</v>
      </c>
      <c r="AI102" s="17">
        <f t="shared" si="46"/>
        <v>0</v>
      </c>
      <c r="AJ102" s="28">
        <f t="shared" si="47"/>
        <v>0</v>
      </c>
      <c r="AK102" s="17">
        <f t="shared" si="55"/>
        <v>0</v>
      </c>
      <c r="AL102" s="28">
        <f t="shared" si="48"/>
        <v>0</v>
      </c>
      <c r="AM102" s="17">
        <f t="shared" si="65"/>
        <v>0</v>
      </c>
      <c r="AN102" s="28">
        <f t="shared" si="67"/>
        <v>0</v>
      </c>
      <c r="AO102" s="17">
        <f t="shared" si="68"/>
        <v>0</v>
      </c>
      <c r="AP102" s="28">
        <f t="shared" si="69"/>
        <v>0</v>
      </c>
      <c r="AQ102" s="17">
        <f t="shared" si="70"/>
        <v>0</v>
      </c>
      <c r="AR102" s="28">
        <f t="shared" si="71"/>
        <v>0</v>
      </c>
      <c r="AS102" s="17">
        <f t="shared" si="60"/>
        <v>0</v>
      </c>
      <c r="AT102" s="28">
        <f t="shared" si="61"/>
        <v>0</v>
      </c>
      <c r="AU102" s="17">
        <f t="shared" si="62"/>
        <v>0</v>
      </c>
      <c r="AV102" s="28">
        <f t="shared" si="63"/>
        <v>0</v>
      </c>
      <c r="AW102" s="17">
        <f t="shared" si="49"/>
        <v>0</v>
      </c>
      <c r="AX102" s="28">
        <f t="shared" si="50"/>
        <v>0</v>
      </c>
      <c r="AY102" s="17">
        <f t="shared" si="51"/>
        <v>0</v>
      </c>
      <c r="AZ102" s="28">
        <f t="shared" si="52"/>
        <v>0</v>
      </c>
      <c r="BA102" s="27">
        <f t="shared" si="56"/>
        <v>0</v>
      </c>
      <c r="BB102" s="27">
        <f t="shared" si="54"/>
        <v>0</v>
      </c>
      <c r="BC102" s="27">
        <f t="shared" si="57"/>
        <v>0</v>
      </c>
      <c r="BD102" s="27">
        <f t="shared" si="58"/>
        <v>0</v>
      </c>
      <c r="BE102" s="27">
        <f t="shared" si="59"/>
        <v>0</v>
      </c>
      <c r="BF102" s="29">
        <f t="shared" si="64"/>
        <v>0</v>
      </c>
      <c r="BH102" s="30">
        <f t="shared" si="53"/>
        <v>0</v>
      </c>
      <c r="BM102" s="2">
        <f t="shared" si="72"/>
        <v>0</v>
      </c>
      <c r="BP102" s="2">
        <f t="shared" si="73"/>
        <v>0</v>
      </c>
    </row>
    <row r="103" spans="1:68" ht="14.45" hidden="1" customHeight="1" x14ac:dyDescent="0.25">
      <c r="A103" s="33" t="s">
        <v>134</v>
      </c>
      <c r="B103" s="2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13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5"/>
      <c r="AD103" s="25">
        <f t="shared" si="66"/>
        <v>0</v>
      </c>
      <c r="AE103" s="26" t="s">
        <v>42</v>
      </c>
      <c r="AF103" s="34"/>
      <c r="AG103" s="17">
        <f t="shared" si="44"/>
        <v>0</v>
      </c>
      <c r="AH103" s="28">
        <f t="shared" si="45"/>
        <v>0</v>
      </c>
      <c r="AI103" s="17">
        <f t="shared" si="46"/>
        <v>0</v>
      </c>
      <c r="AJ103" s="28">
        <f t="shared" si="47"/>
        <v>0</v>
      </c>
      <c r="AK103" s="17">
        <f t="shared" si="55"/>
        <v>0</v>
      </c>
      <c r="AL103" s="28">
        <f t="shared" si="48"/>
        <v>0</v>
      </c>
      <c r="AM103" s="17">
        <f t="shared" si="65"/>
        <v>0</v>
      </c>
      <c r="AN103" s="28">
        <f t="shared" si="67"/>
        <v>0</v>
      </c>
      <c r="AO103" s="17">
        <f t="shared" si="68"/>
        <v>0</v>
      </c>
      <c r="AP103" s="28">
        <f t="shared" si="69"/>
        <v>0</v>
      </c>
      <c r="AQ103" s="17">
        <f t="shared" si="70"/>
        <v>0</v>
      </c>
      <c r="AR103" s="28">
        <f t="shared" si="71"/>
        <v>0</v>
      </c>
      <c r="AS103" s="17">
        <f t="shared" si="60"/>
        <v>0</v>
      </c>
      <c r="AT103" s="28">
        <f t="shared" si="61"/>
        <v>0</v>
      </c>
      <c r="AU103" s="17">
        <f t="shared" si="62"/>
        <v>0</v>
      </c>
      <c r="AV103" s="28">
        <f t="shared" si="63"/>
        <v>0</v>
      </c>
      <c r="AW103" s="17">
        <f t="shared" si="49"/>
        <v>0</v>
      </c>
      <c r="AX103" s="28">
        <f t="shared" si="50"/>
        <v>0</v>
      </c>
      <c r="AY103" s="17">
        <f t="shared" si="51"/>
        <v>0</v>
      </c>
      <c r="AZ103" s="28">
        <f t="shared" si="52"/>
        <v>0</v>
      </c>
      <c r="BA103" s="27">
        <f t="shared" si="56"/>
        <v>0</v>
      </c>
      <c r="BB103" s="27">
        <f t="shared" si="54"/>
        <v>0</v>
      </c>
      <c r="BC103" s="27">
        <f t="shared" si="57"/>
        <v>0</v>
      </c>
      <c r="BD103" s="27">
        <f t="shared" si="58"/>
        <v>0</v>
      </c>
      <c r="BE103" s="27">
        <f t="shared" si="59"/>
        <v>0</v>
      </c>
      <c r="BF103" s="29">
        <f t="shared" si="64"/>
        <v>0</v>
      </c>
      <c r="BH103" s="30">
        <f t="shared" si="53"/>
        <v>0</v>
      </c>
      <c r="BM103" s="2">
        <f t="shared" si="72"/>
        <v>0</v>
      </c>
      <c r="BP103" s="2">
        <f t="shared" si="73"/>
        <v>0</v>
      </c>
    </row>
    <row r="104" spans="1:68" ht="14.45" hidden="1" customHeight="1" x14ac:dyDescent="0.25">
      <c r="A104" s="33" t="s">
        <v>135</v>
      </c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13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5"/>
      <c r="AD104" s="25">
        <f t="shared" si="66"/>
        <v>0</v>
      </c>
      <c r="AE104" s="26" t="s">
        <v>42</v>
      </c>
      <c r="AF104" s="34"/>
      <c r="AG104" s="17">
        <f t="shared" si="44"/>
        <v>0</v>
      </c>
      <c r="AH104" s="28">
        <f t="shared" si="45"/>
        <v>0</v>
      </c>
      <c r="AI104" s="17">
        <f t="shared" si="46"/>
        <v>0</v>
      </c>
      <c r="AJ104" s="28">
        <f t="shared" si="47"/>
        <v>0</v>
      </c>
      <c r="AK104" s="17">
        <f t="shared" si="55"/>
        <v>0</v>
      </c>
      <c r="AL104" s="28">
        <f t="shared" si="48"/>
        <v>0</v>
      </c>
      <c r="AM104" s="17">
        <f t="shared" si="65"/>
        <v>0</v>
      </c>
      <c r="AN104" s="28">
        <f t="shared" si="67"/>
        <v>0</v>
      </c>
      <c r="AO104" s="17">
        <f t="shared" si="68"/>
        <v>0</v>
      </c>
      <c r="AP104" s="28">
        <f t="shared" si="69"/>
        <v>0</v>
      </c>
      <c r="AQ104" s="17">
        <f t="shared" si="70"/>
        <v>0</v>
      </c>
      <c r="AR104" s="28">
        <f t="shared" si="71"/>
        <v>0</v>
      </c>
      <c r="AS104" s="17">
        <f t="shared" si="60"/>
        <v>0</v>
      </c>
      <c r="AT104" s="28">
        <f t="shared" si="61"/>
        <v>0</v>
      </c>
      <c r="AU104" s="17">
        <f t="shared" si="62"/>
        <v>0</v>
      </c>
      <c r="AV104" s="28">
        <f t="shared" si="63"/>
        <v>0</v>
      </c>
      <c r="AW104" s="17">
        <f t="shared" si="49"/>
        <v>0</v>
      </c>
      <c r="AX104" s="28">
        <f t="shared" si="50"/>
        <v>0</v>
      </c>
      <c r="AY104" s="17">
        <f t="shared" si="51"/>
        <v>0</v>
      </c>
      <c r="AZ104" s="28">
        <f t="shared" si="52"/>
        <v>0</v>
      </c>
      <c r="BA104" s="27">
        <f t="shared" si="56"/>
        <v>0</v>
      </c>
      <c r="BB104" s="27">
        <f t="shared" si="54"/>
        <v>0</v>
      </c>
      <c r="BC104" s="27">
        <f t="shared" si="57"/>
        <v>0</v>
      </c>
      <c r="BD104" s="27">
        <f t="shared" si="58"/>
        <v>0</v>
      </c>
      <c r="BE104" s="27">
        <f t="shared" si="59"/>
        <v>0</v>
      </c>
      <c r="BF104" s="29">
        <f t="shared" si="64"/>
        <v>0</v>
      </c>
      <c r="BH104" s="30">
        <f t="shared" si="53"/>
        <v>0</v>
      </c>
      <c r="BM104" s="2">
        <f t="shared" si="72"/>
        <v>0</v>
      </c>
      <c r="BP104" s="2">
        <f t="shared" si="73"/>
        <v>0</v>
      </c>
    </row>
    <row r="105" spans="1:68" ht="14.45" hidden="1" customHeight="1" x14ac:dyDescent="0.25">
      <c r="A105" s="33" t="s">
        <v>134</v>
      </c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13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5"/>
      <c r="AD105" s="25">
        <f t="shared" si="66"/>
        <v>0</v>
      </c>
      <c r="AE105" s="26" t="s">
        <v>42</v>
      </c>
      <c r="AF105" s="34"/>
      <c r="AG105" s="17">
        <f t="shared" si="44"/>
        <v>0</v>
      </c>
      <c r="AH105" s="28">
        <f t="shared" si="45"/>
        <v>0</v>
      </c>
      <c r="AI105" s="17">
        <f t="shared" si="46"/>
        <v>0</v>
      </c>
      <c r="AJ105" s="28">
        <f t="shared" si="47"/>
        <v>0</v>
      </c>
      <c r="AK105" s="17">
        <f t="shared" si="55"/>
        <v>0</v>
      </c>
      <c r="AL105" s="28">
        <f t="shared" si="48"/>
        <v>0</v>
      </c>
      <c r="AM105" s="17">
        <f t="shared" si="65"/>
        <v>0</v>
      </c>
      <c r="AN105" s="28">
        <f t="shared" si="67"/>
        <v>0</v>
      </c>
      <c r="AO105" s="17">
        <f t="shared" si="68"/>
        <v>0</v>
      </c>
      <c r="AP105" s="28">
        <f t="shared" si="69"/>
        <v>0</v>
      </c>
      <c r="AQ105" s="17">
        <f t="shared" si="70"/>
        <v>0</v>
      </c>
      <c r="AR105" s="28">
        <f t="shared" si="71"/>
        <v>0</v>
      </c>
      <c r="AS105" s="17">
        <f t="shared" si="60"/>
        <v>0</v>
      </c>
      <c r="AT105" s="28">
        <f t="shared" si="61"/>
        <v>0</v>
      </c>
      <c r="AU105" s="17">
        <f t="shared" si="62"/>
        <v>0</v>
      </c>
      <c r="AV105" s="28">
        <f t="shared" si="63"/>
        <v>0</v>
      </c>
      <c r="AW105" s="17">
        <f t="shared" si="49"/>
        <v>0</v>
      </c>
      <c r="AX105" s="28">
        <f t="shared" si="50"/>
        <v>0</v>
      </c>
      <c r="AY105" s="17">
        <f t="shared" si="51"/>
        <v>0</v>
      </c>
      <c r="AZ105" s="28">
        <f t="shared" si="52"/>
        <v>0</v>
      </c>
      <c r="BA105" s="27">
        <f t="shared" si="56"/>
        <v>0</v>
      </c>
      <c r="BB105" s="27">
        <f t="shared" si="54"/>
        <v>0</v>
      </c>
      <c r="BC105" s="27">
        <f t="shared" si="57"/>
        <v>0</v>
      </c>
      <c r="BD105" s="27">
        <f t="shared" si="58"/>
        <v>0</v>
      </c>
      <c r="BE105" s="27">
        <f t="shared" si="59"/>
        <v>0</v>
      </c>
      <c r="BF105" s="29">
        <f t="shared" si="64"/>
        <v>0</v>
      </c>
      <c r="BH105" s="30">
        <f t="shared" si="53"/>
        <v>0</v>
      </c>
      <c r="BM105" s="2">
        <f t="shared" si="72"/>
        <v>0</v>
      </c>
      <c r="BP105" s="2">
        <f t="shared" si="73"/>
        <v>0</v>
      </c>
    </row>
    <row r="106" spans="1:68" x14ac:dyDescent="0.25">
      <c r="A106" s="33" t="s">
        <v>131</v>
      </c>
      <c r="B106" s="23"/>
      <c r="C106" s="24"/>
      <c r="D106" s="24">
        <v>331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13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5"/>
      <c r="AD106" s="37">
        <f t="shared" si="66"/>
        <v>331</v>
      </c>
      <c r="AE106" s="40" t="s">
        <v>42</v>
      </c>
      <c r="AF106" s="34">
        <v>184</v>
      </c>
      <c r="AG106" s="17">
        <f t="shared" si="44"/>
        <v>0</v>
      </c>
      <c r="AH106" s="28">
        <f t="shared" si="45"/>
        <v>0</v>
      </c>
      <c r="AI106" s="17">
        <f t="shared" si="46"/>
        <v>0</v>
      </c>
      <c r="AJ106" s="28">
        <f t="shared" si="47"/>
        <v>0</v>
      </c>
      <c r="AK106" s="17">
        <f t="shared" si="55"/>
        <v>0</v>
      </c>
      <c r="AL106" s="28">
        <f t="shared" si="48"/>
        <v>0</v>
      </c>
      <c r="AM106" s="17">
        <f t="shared" si="65"/>
        <v>0</v>
      </c>
      <c r="AN106" s="28">
        <f t="shared" si="67"/>
        <v>0</v>
      </c>
      <c r="AO106" s="17">
        <f t="shared" si="68"/>
        <v>0</v>
      </c>
      <c r="AP106" s="28">
        <f t="shared" si="69"/>
        <v>0</v>
      </c>
      <c r="AQ106" s="17">
        <f t="shared" si="70"/>
        <v>0</v>
      </c>
      <c r="AR106" s="28">
        <f t="shared" si="71"/>
        <v>0</v>
      </c>
      <c r="AS106" s="17">
        <f t="shared" si="60"/>
        <v>0</v>
      </c>
      <c r="AT106" s="28">
        <f t="shared" si="61"/>
        <v>0</v>
      </c>
      <c r="AU106" s="17">
        <f t="shared" si="62"/>
        <v>0</v>
      </c>
      <c r="AV106" s="28">
        <f t="shared" si="63"/>
        <v>0</v>
      </c>
      <c r="AW106" s="17">
        <f t="shared" si="49"/>
        <v>331</v>
      </c>
      <c r="AX106" s="28">
        <f t="shared" si="50"/>
        <v>60904</v>
      </c>
      <c r="AY106" s="17">
        <f t="shared" si="51"/>
        <v>0</v>
      </c>
      <c r="AZ106" s="28">
        <f t="shared" si="52"/>
        <v>0</v>
      </c>
      <c r="BA106" s="27">
        <f t="shared" si="56"/>
        <v>0</v>
      </c>
      <c r="BB106" s="27">
        <f t="shared" si="54"/>
        <v>0</v>
      </c>
      <c r="BC106" s="27">
        <f t="shared" si="57"/>
        <v>0</v>
      </c>
      <c r="BD106" s="27">
        <f t="shared" si="58"/>
        <v>0</v>
      </c>
      <c r="BE106" s="27">
        <f t="shared" si="59"/>
        <v>60904</v>
      </c>
      <c r="BF106" s="29">
        <f t="shared" si="64"/>
        <v>0</v>
      </c>
      <c r="BH106" s="30">
        <f t="shared" si="53"/>
        <v>0</v>
      </c>
      <c r="BM106" s="2">
        <f t="shared" si="72"/>
        <v>331</v>
      </c>
      <c r="BP106" s="2">
        <f t="shared" si="73"/>
        <v>331</v>
      </c>
    </row>
    <row r="107" spans="1:68" ht="14.45" hidden="1" customHeight="1" x14ac:dyDescent="0.25">
      <c r="A107" s="33" t="s">
        <v>134</v>
      </c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13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5"/>
      <c r="AD107" s="25">
        <f t="shared" si="66"/>
        <v>0</v>
      </c>
      <c r="AE107" s="40" t="s">
        <v>42</v>
      </c>
      <c r="AF107" s="27"/>
      <c r="AG107" s="17">
        <f t="shared" si="44"/>
        <v>0</v>
      </c>
      <c r="AH107" s="28">
        <f t="shared" si="45"/>
        <v>0</v>
      </c>
      <c r="AI107" s="17">
        <f t="shared" si="46"/>
        <v>0</v>
      </c>
      <c r="AJ107" s="28">
        <f t="shared" si="47"/>
        <v>0</v>
      </c>
      <c r="AK107" s="17">
        <f t="shared" si="55"/>
        <v>0</v>
      </c>
      <c r="AL107" s="28">
        <f t="shared" si="48"/>
        <v>0</v>
      </c>
      <c r="AM107" s="17">
        <f t="shared" si="65"/>
        <v>0</v>
      </c>
      <c r="AN107" s="28">
        <f t="shared" si="67"/>
        <v>0</v>
      </c>
      <c r="AO107" s="17">
        <f t="shared" si="68"/>
        <v>0</v>
      </c>
      <c r="AP107" s="28">
        <f t="shared" si="69"/>
        <v>0</v>
      </c>
      <c r="AQ107" s="17">
        <f t="shared" si="70"/>
        <v>0</v>
      </c>
      <c r="AR107" s="28">
        <f t="shared" si="71"/>
        <v>0</v>
      </c>
      <c r="AS107" s="17">
        <f t="shared" si="60"/>
        <v>0</v>
      </c>
      <c r="AT107" s="28">
        <f t="shared" si="61"/>
        <v>0</v>
      </c>
      <c r="AU107" s="17">
        <f t="shared" si="62"/>
        <v>0</v>
      </c>
      <c r="AV107" s="28">
        <f t="shared" si="63"/>
        <v>0</v>
      </c>
      <c r="AW107" s="17">
        <f t="shared" si="49"/>
        <v>0</v>
      </c>
      <c r="AX107" s="28">
        <f t="shared" si="50"/>
        <v>0</v>
      </c>
      <c r="AY107" s="17">
        <f t="shared" si="51"/>
        <v>0</v>
      </c>
      <c r="AZ107" s="28">
        <f t="shared" si="52"/>
        <v>0</v>
      </c>
      <c r="BA107" s="27">
        <f t="shared" si="56"/>
        <v>0</v>
      </c>
      <c r="BB107" s="27">
        <f t="shared" si="54"/>
        <v>0</v>
      </c>
      <c r="BC107" s="27">
        <f t="shared" si="57"/>
        <v>0</v>
      </c>
      <c r="BD107" s="27">
        <f t="shared" si="58"/>
        <v>0</v>
      </c>
      <c r="BE107" s="27">
        <f t="shared" si="59"/>
        <v>0</v>
      </c>
      <c r="BF107" s="29">
        <f t="shared" si="64"/>
        <v>0</v>
      </c>
      <c r="BH107" s="30">
        <f t="shared" si="53"/>
        <v>0</v>
      </c>
      <c r="BM107" s="2">
        <f t="shared" si="72"/>
        <v>0</v>
      </c>
      <c r="BP107" s="2">
        <f t="shared" si="73"/>
        <v>0</v>
      </c>
    </row>
    <row r="108" spans="1:68" ht="14.45" hidden="1" customHeight="1" x14ac:dyDescent="0.25">
      <c r="A108" s="33" t="s">
        <v>136</v>
      </c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13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5"/>
      <c r="AD108" s="25">
        <f t="shared" si="66"/>
        <v>0</v>
      </c>
      <c r="AE108" s="26" t="s">
        <v>137</v>
      </c>
      <c r="AF108" s="27"/>
      <c r="AG108" s="17">
        <f t="shared" si="44"/>
        <v>0</v>
      </c>
      <c r="AH108" s="28">
        <f t="shared" si="45"/>
        <v>0</v>
      </c>
      <c r="AI108" s="17">
        <f t="shared" si="46"/>
        <v>0</v>
      </c>
      <c r="AJ108" s="28">
        <f t="shared" si="47"/>
        <v>0</v>
      </c>
      <c r="AK108" s="17">
        <f t="shared" si="55"/>
        <v>0</v>
      </c>
      <c r="AL108" s="28">
        <f t="shared" si="48"/>
        <v>0</v>
      </c>
      <c r="AM108" s="17">
        <f t="shared" si="65"/>
        <v>0</v>
      </c>
      <c r="AN108" s="28">
        <f t="shared" si="67"/>
        <v>0</v>
      </c>
      <c r="AO108" s="17">
        <f t="shared" si="68"/>
        <v>0</v>
      </c>
      <c r="AP108" s="28">
        <f t="shared" si="69"/>
        <v>0</v>
      </c>
      <c r="AQ108" s="17">
        <f t="shared" si="70"/>
        <v>0</v>
      </c>
      <c r="AR108" s="28">
        <f t="shared" si="71"/>
        <v>0</v>
      </c>
      <c r="AS108" s="17">
        <f t="shared" si="60"/>
        <v>0</v>
      </c>
      <c r="AT108" s="28">
        <f t="shared" si="61"/>
        <v>0</v>
      </c>
      <c r="AU108" s="17">
        <f t="shared" si="62"/>
        <v>0</v>
      </c>
      <c r="AV108" s="28">
        <f t="shared" si="63"/>
        <v>0</v>
      </c>
      <c r="AW108" s="17">
        <f t="shared" si="49"/>
        <v>0</v>
      </c>
      <c r="AX108" s="28">
        <f t="shared" si="50"/>
        <v>0</v>
      </c>
      <c r="AY108" s="17">
        <f t="shared" si="51"/>
        <v>0</v>
      </c>
      <c r="AZ108" s="28">
        <f t="shared" si="52"/>
        <v>0</v>
      </c>
      <c r="BA108" s="27">
        <f t="shared" si="56"/>
        <v>0</v>
      </c>
      <c r="BB108" s="27">
        <f t="shared" si="54"/>
        <v>0</v>
      </c>
      <c r="BC108" s="27">
        <f t="shared" si="57"/>
        <v>0</v>
      </c>
      <c r="BD108" s="27">
        <f t="shared" si="58"/>
        <v>0</v>
      </c>
      <c r="BE108" s="27">
        <f t="shared" si="59"/>
        <v>0</v>
      </c>
      <c r="BF108" s="29">
        <f t="shared" si="64"/>
        <v>0</v>
      </c>
      <c r="BH108" s="30">
        <f t="shared" si="53"/>
        <v>0</v>
      </c>
      <c r="BM108" s="2">
        <f t="shared" si="72"/>
        <v>0</v>
      </c>
      <c r="BP108" s="2">
        <f t="shared" si="73"/>
        <v>0</v>
      </c>
    </row>
    <row r="109" spans="1:68" ht="14.45" customHeight="1" x14ac:dyDescent="0.25">
      <c r="A109" s="33" t="s">
        <v>138</v>
      </c>
      <c r="B109" s="23"/>
      <c r="C109" s="24"/>
      <c r="D109" s="24">
        <v>140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13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5"/>
      <c r="AD109" s="39">
        <f>SUM(B109:AB109)</f>
        <v>140</v>
      </c>
      <c r="AE109" s="26" t="s">
        <v>42</v>
      </c>
      <c r="AF109" s="27">
        <v>5940</v>
      </c>
      <c r="AG109" s="17">
        <f t="shared" si="44"/>
        <v>0</v>
      </c>
      <c r="AH109" s="28">
        <f t="shared" si="45"/>
        <v>0</v>
      </c>
      <c r="AI109" s="17">
        <f t="shared" si="46"/>
        <v>0</v>
      </c>
      <c r="AJ109" s="28">
        <f t="shared" si="47"/>
        <v>0</v>
      </c>
      <c r="AK109" s="17">
        <f t="shared" si="55"/>
        <v>0</v>
      </c>
      <c r="AL109" s="28">
        <f t="shared" si="48"/>
        <v>0</v>
      </c>
      <c r="AM109" s="17">
        <f t="shared" si="65"/>
        <v>0</v>
      </c>
      <c r="AN109" s="28"/>
      <c r="AO109" s="17">
        <f t="shared" si="68"/>
        <v>0</v>
      </c>
      <c r="AP109" s="28"/>
      <c r="AQ109" s="17">
        <f t="shared" si="70"/>
        <v>0</v>
      </c>
      <c r="AR109" s="28"/>
      <c r="AS109" s="17">
        <f t="shared" si="60"/>
        <v>0</v>
      </c>
      <c r="AT109" s="28">
        <f t="shared" si="61"/>
        <v>0</v>
      </c>
      <c r="AU109" s="17">
        <f t="shared" si="62"/>
        <v>0</v>
      </c>
      <c r="AV109" s="28">
        <f t="shared" si="63"/>
        <v>0</v>
      </c>
      <c r="AW109" s="17">
        <f t="shared" si="49"/>
        <v>140</v>
      </c>
      <c r="AX109" s="28">
        <f t="shared" si="50"/>
        <v>831600</v>
      </c>
      <c r="AY109" s="17">
        <f t="shared" si="51"/>
        <v>0</v>
      </c>
      <c r="AZ109" s="28">
        <f t="shared" si="52"/>
        <v>0</v>
      </c>
      <c r="BA109" s="27">
        <f t="shared" si="56"/>
        <v>0</v>
      </c>
      <c r="BB109" s="27">
        <f t="shared" si="54"/>
        <v>0</v>
      </c>
      <c r="BC109" s="27">
        <f t="shared" si="57"/>
        <v>0</v>
      </c>
      <c r="BD109" s="27">
        <f t="shared" si="58"/>
        <v>0</v>
      </c>
      <c r="BE109" s="27">
        <f t="shared" si="59"/>
        <v>831600</v>
      </c>
      <c r="BF109" s="29">
        <f t="shared" si="64"/>
        <v>0</v>
      </c>
      <c r="BH109" s="30">
        <f t="shared" si="53"/>
        <v>0</v>
      </c>
    </row>
    <row r="110" spans="1:68" x14ac:dyDescent="0.25">
      <c r="A110" s="33" t="s">
        <v>139</v>
      </c>
      <c r="B110" s="23"/>
      <c r="C110" s="24">
        <v>0.3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13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5"/>
      <c r="AD110" s="25">
        <f t="shared" ref="AD110:AD122" si="74">SUM(B110:S110)</f>
        <v>0.3</v>
      </c>
      <c r="AE110" s="26" t="s">
        <v>137</v>
      </c>
      <c r="AF110" s="27">
        <v>11536000</v>
      </c>
      <c r="AG110" s="17">
        <f t="shared" si="44"/>
        <v>0</v>
      </c>
      <c r="AH110" s="28">
        <f t="shared" si="45"/>
        <v>0</v>
      </c>
      <c r="AI110" s="17">
        <f t="shared" si="46"/>
        <v>0</v>
      </c>
      <c r="AJ110" s="28">
        <f t="shared" si="47"/>
        <v>0</v>
      </c>
      <c r="AK110" s="17">
        <f t="shared" si="55"/>
        <v>0</v>
      </c>
      <c r="AL110" s="28">
        <f t="shared" si="48"/>
        <v>0</v>
      </c>
      <c r="AM110" s="17">
        <f t="shared" si="65"/>
        <v>0</v>
      </c>
      <c r="AN110" s="28">
        <f t="shared" ref="AN110:AN122" si="75">+AM110*AF110</f>
        <v>0</v>
      </c>
      <c r="AO110" s="17">
        <f t="shared" si="68"/>
        <v>0</v>
      </c>
      <c r="AP110" s="28">
        <f t="shared" ref="AP110:AP122" si="76">+AO110*AF110</f>
        <v>0</v>
      </c>
      <c r="AQ110" s="17">
        <f t="shared" si="70"/>
        <v>0</v>
      </c>
      <c r="AR110" s="28">
        <f t="shared" ref="AR110:AR122" si="77">+AQ110*AF110</f>
        <v>0</v>
      </c>
      <c r="AS110" s="17">
        <f t="shared" si="60"/>
        <v>0.3</v>
      </c>
      <c r="AT110" s="28">
        <f t="shared" si="61"/>
        <v>3460800</v>
      </c>
      <c r="AU110" s="17">
        <f t="shared" si="62"/>
        <v>0</v>
      </c>
      <c r="AV110" s="28">
        <f t="shared" si="63"/>
        <v>0</v>
      </c>
      <c r="AW110" s="17">
        <f t="shared" si="49"/>
        <v>0</v>
      </c>
      <c r="AX110" s="28">
        <f t="shared" si="50"/>
        <v>0</v>
      </c>
      <c r="AY110" s="17">
        <f t="shared" si="51"/>
        <v>0</v>
      </c>
      <c r="AZ110" s="28">
        <f t="shared" si="52"/>
        <v>0</v>
      </c>
      <c r="BA110" s="27">
        <f t="shared" si="56"/>
        <v>0</v>
      </c>
      <c r="BB110" s="27">
        <f t="shared" si="54"/>
        <v>0</v>
      </c>
      <c r="BC110" s="27">
        <f t="shared" si="57"/>
        <v>0</v>
      </c>
      <c r="BD110" s="27">
        <f t="shared" si="58"/>
        <v>3460800</v>
      </c>
      <c r="BE110" s="27">
        <f t="shared" si="59"/>
        <v>0</v>
      </c>
      <c r="BF110" s="29">
        <f t="shared" si="64"/>
        <v>1038240</v>
      </c>
      <c r="BH110" s="30">
        <f t="shared" si="53"/>
        <v>0.3</v>
      </c>
      <c r="BM110" s="2">
        <f t="shared" ref="BM110:BM122" si="78">SUM(B110:S110)</f>
        <v>0.3</v>
      </c>
      <c r="BP110" s="2">
        <f t="shared" ref="BP110:BP122" si="79">SUM(B110:S110)</f>
        <v>0.3</v>
      </c>
    </row>
    <row r="111" spans="1:68" x14ac:dyDescent="0.25">
      <c r="A111" s="33" t="s">
        <v>140</v>
      </c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13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5"/>
      <c r="AD111" s="25">
        <f t="shared" si="74"/>
        <v>0</v>
      </c>
      <c r="AE111" s="26" t="s">
        <v>137</v>
      </c>
      <c r="AF111" s="27">
        <v>4693380</v>
      </c>
      <c r="AG111" s="17">
        <f t="shared" si="44"/>
        <v>0</v>
      </c>
      <c r="AH111" s="28">
        <f t="shared" si="45"/>
        <v>0</v>
      </c>
      <c r="AI111" s="17">
        <f t="shared" si="46"/>
        <v>0</v>
      </c>
      <c r="AJ111" s="28">
        <f t="shared" si="47"/>
        <v>0</v>
      </c>
      <c r="AK111" s="17">
        <f t="shared" si="55"/>
        <v>0</v>
      </c>
      <c r="AL111" s="28">
        <f t="shared" si="48"/>
        <v>0</v>
      </c>
      <c r="AM111" s="17">
        <f t="shared" si="65"/>
        <v>0</v>
      </c>
      <c r="AN111" s="28">
        <f t="shared" si="75"/>
        <v>0</v>
      </c>
      <c r="AO111" s="17">
        <f t="shared" si="68"/>
        <v>0</v>
      </c>
      <c r="AP111" s="28">
        <f t="shared" si="76"/>
        <v>0</v>
      </c>
      <c r="AQ111" s="17">
        <f t="shared" si="70"/>
        <v>0</v>
      </c>
      <c r="AR111" s="28">
        <f t="shared" si="77"/>
        <v>0</v>
      </c>
      <c r="AS111" s="17">
        <f t="shared" si="60"/>
        <v>0</v>
      </c>
      <c r="AT111" s="28">
        <f t="shared" si="61"/>
        <v>0</v>
      </c>
      <c r="AU111" s="17">
        <f t="shared" si="62"/>
        <v>0</v>
      </c>
      <c r="AV111" s="28">
        <f t="shared" si="63"/>
        <v>0</v>
      </c>
      <c r="AW111" s="17">
        <f t="shared" si="49"/>
        <v>0</v>
      </c>
      <c r="AX111" s="28">
        <f t="shared" si="50"/>
        <v>0</v>
      </c>
      <c r="AY111" s="17">
        <f t="shared" si="51"/>
        <v>0</v>
      </c>
      <c r="AZ111" s="28">
        <f t="shared" si="52"/>
        <v>0</v>
      </c>
      <c r="BA111" s="27">
        <f t="shared" si="56"/>
        <v>0</v>
      </c>
      <c r="BB111" s="27">
        <f t="shared" si="54"/>
        <v>0</v>
      </c>
      <c r="BC111" s="27">
        <f t="shared" si="57"/>
        <v>0</v>
      </c>
      <c r="BD111" s="27">
        <f t="shared" si="58"/>
        <v>0</v>
      </c>
      <c r="BE111" s="27">
        <f t="shared" si="59"/>
        <v>0</v>
      </c>
      <c r="BF111" s="29">
        <f t="shared" si="64"/>
        <v>0</v>
      </c>
      <c r="BH111" s="30">
        <f t="shared" si="53"/>
        <v>0</v>
      </c>
      <c r="BM111" s="2">
        <f t="shared" si="78"/>
        <v>0</v>
      </c>
      <c r="BP111" s="2">
        <f t="shared" si="79"/>
        <v>0</v>
      </c>
    </row>
    <row r="112" spans="1:68" ht="14.45" hidden="1" customHeight="1" x14ac:dyDescent="0.25">
      <c r="A112" s="33" t="s">
        <v>141</v>
      </c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13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5"/>
      <c r="AD112" s="25">
        <f t="shared" si="74"/>
        <v>0</v>
      </c>
      <c r="AE112" s="26" t="s">
        <v>137</v>
      </c>
      <c r="AF112" s="27"/>
      <c r="AG112" s="17">
        <f t="shared" si="44"/>
        <v>0</v>
      </c>
      <c r="AH112" s="28">
        <f t="shared" si="45"/>
        <v>0</v>
      </c>
      <c r="AI112" s="17">
        <f t="shared" si="46"/>
        <v>0</v>
      </c>
      <c r="AJ112" s="28">
        <f t="shared" si="47"/>
        <v>0</v>
      </c>
      <c r="AK112" s="17">
        <f t="shared" si="55"/>
        <v>0</v>
      </c>
      <c r="AL112" s="28">
        <f t="shared" si="48"/>
        <v>0</v>
      </c>
      <c r="AM112" s="17">
        <f t="shared" si="65"/>
        <v>0</v>
      </c>
      <c r="AN112" s="28">
        <f t="shared" si="75"/>
        <v>0</v>
      </c>
      <c r="AO112" s="17">
        <f t="shared" si="68"/>
        <v>0</v>
      </c>
      <c r="AP112" s="28">
        <f t="shared" si="76"/>
        <v>0</v>
      </c>
      <c r="AQ112" s="17">
        <f t="shared" si="70"/>
        <v>0</v>
      </c>
      <c r="AR112" s="28">
        <f t="shared" si="77"/>
        <v>0</v>
      </c>
      <c r="AS112" s="17">
        <f t="shared" si="60"/>
        <v>0</v>
      </c>
      <c r="AT112" s="28">
        <f t="shared" si="61"/>
        <v>0</v>
      </c>
      <c r="AU112" s="17">
        <f t="shared" si="62"/>
        <v>0</v>
      </c>
      <c r="AV112" s="28">
        <f t="shared" si="63"/>
        <v>0</v>
      </c>
      <c r="AW112" s="17">
        <f t="shared" si="49"/>
        <v>0</v>
      </c>
      <c r="AX112" s="28">
        <f t="shared" si="50"/>
        <v>0</v>
      </c>
      <c r="AY112" s="17">
        <f t="shared" si="51"/>
        <v>0</v>
      </c>
      <c r="AZ112" s="28">
        <f t="shared" si="52"/>
        <v>0</v>
      </c>
      <c r="BA112" s="27">
        <f t="shared" si="56"/>
        <v>0</v>
      </c>
      <c r="BB112" s="27">
        <f t="shared" si="54"/>
        <v>0</v>
      </c>
      <c r="BC112" s="27">
        <f t="shared" si="57"/>
        <v>0</v>
      </c>
      <c r="BD112" s="27">
        <f t="shared" si="58"/>
        <v>0</v>
      </c>
      <c r="BE112" s="27">
        <f t="shared" si="59"/>
        <v>0</v>
      </c>
      <c r="BF112" s="29">
        <f t="shared" si="64"/>
        <v>0</v>
      </c>
      <c r="BH112" s="30">
        <f t="shared" si="53"/>
        <v>0</v>
      </c>
      <c r="BM112" s="2">
        <f t="shared" si="78"/>
        <v>0</v>
      </c>
      <c r="BP112" s="2">
        <f t="shared" si="79"/>
        <v>0</v>
      </c>
    </row>
    <row r="113" spans="1:68" x14ac:dyDescent="0.25">
      <c r="A113" s="33" t="s">
        <v>142</v>
      </c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13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5"/>
      <c r="AD113" s="25">
        <f t="shared" si="74"/>
        <v>0</v>
      </c>
      <c r="AE113" s="26" t="s">
        <v>137</v>
      </c>
      <c r="AF113" s="27">
        <v>300000</v>
      </c>
      <c r="AG113" s="17">
        <f t="shared" si="44"/>
        <v>0</v>
      </c>
      <c r="AH113" s="28">
        <f t="shared" si="45"/>
        <v>0</v>
      </c>
      <c r="AI113" s="17">
        <f t="shared" si="46"/>
        <v>0</v>
      </c>
      <c r="AJ113" s="28">
        <f t="shared" si="47"/>
        <v>0</v>
      </c>
      <c r="AK113" s="17">
        <f t="shared" si="55"/>
        <v>0</v>
      </c>
      <c r="AL113" s="28">
        <f t="shared" si="48"/>
        <v>0</v>
      </c>
      <c r="AM113" s="17">
        <f t="shared" si="65"/>
        <v>0</v>
      </c>
      <c r="AN113" s="28">
        <f t="shared" si="75"/>
        <v>0</v>
      </c>
      <c r="AO113" s="17">
        <f t="shared" si="68"/>
        <v>0</v>
      </c>
      <c r="AP113" s="28">
        <f t="shared" si="76"/>
        <v>0</v>
      </c>
      <c r="AQ113" s="17">
        <f t="shared" si="70"/>
        <v>0</v>
      </c>
      <c r="AR113" s="28">
        <f t="shared" si="77"/>
        <v>0</v>
      </c>
      <c r="AS113" s="17">
        <f t="shared" si="60"/>
        <v>0</v>
      </c>
      <c r="AT113" s="28">
        <f t="shared" si="61"/>
        <v>0</v>
      </c>
      <c r="AU113" s="17">
        <f t="shared" si="62"/>
        <v>0</v>
      </c>
      <c r="AV113" s="28">
        <f t="shared" si="63"/>
        <v>0</v>
      </c>
      <c r="AW113" s="17">
        <f t="shared" si="49"/>
        <v>0</v>
      </c>
      <c r="AX113" s="28">
        <f t="shared" si="50"/>
        <v>0</v>
      </c>
      <c r="AY113" s="17">
        <f t="shared" si="51"/>
        <v>0</v>
      </c>
      <c r="AZ113" s="28">
        <f t="shared" si="52"/>
        <v>0</v>
      </c>
      <c r="BA113" s="27">
        <f t="shared" si="56"/>
        <v>0</v>
      </c>
      <c r="BB113" s="27">
        <f t="shared" si="54"/>
        <v>0</v>
      </c>
      <c r="BC113" s="27">
        <f t="shared" si="57"/>
        <v>0</v>
      </c>
      <c r="BD113" s="27">
        <f t="shared" si="58"/>
        <v>0</v>
      </c>
      <c r="BE113" s="27">
        <f t="shared" si="59"/>
        <v>0</v>
      </c>
      <c r="BF113" s="29">
        <f t="shared" si="64"/>
        <v>0</v>
      </c>
      <c r="BH113" s="30">
        <f t="shared" si="53"/>
        <v>0</v>
      </c>
      <c r="BM113" s="2">
        <f t="shared" si="78"/>
        <v>0</v>
      </c>
      <c r="BP113" s="2">
        <f t="shared" si="79"/>
        <v>0</v>
      </c>
    </row>
    <row r="114" spans="1:68" x14ac:dyDescent="0.25">
      <c r="A114" s="33" t="s">
        <v>143</v>
      </c>
      <c r="B114" s="2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13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5"/>
      <c r="AD114" s="25">
        <f t="shared" si="74"/>
        <v>0</v>
      </c>
      <c r="AE114" s="26" t="s">
        <v>137</v>
      </c>
      <c r="AF114" s="27">
        <v>1029135</v>
      </c>
      <c r="AG114" s="17">
        <f t="shared" si="44"/>
        <v>0</v>
      </c>
      <c r="AH114" s="28">
        <f t="shared" si="45"/>
        <v>0</v>
      </c>
      <c r="AI114" s="17">
        <f t="shared" si="46"/>
        <v>0</v>
      </c>
      <c r="AJ114" s="28">
        <f t="shared" si="47"/>
        <v>0</v>
      </c>
      <c r="AK114" s="17">
        <f t="shared" si="55"/>
        <v>0</v>
      </c>
      <c r="AL114" s="28">
        <f t="shared" si="48"/>
        <v>0</v>
      </c>
      <c r="AM114" s="17">
        <f t="shared" si="65"/>
        <v>0</v>
      </c>
      <c r="AN114" s="28">
        <f t="shared" si="75"/>
        <v>0</v>
      </c>
      <c r="AO114" s="17">
        <f t="shared" si="68"/>
        <v>0</v>
      </c>
      <c r="AP114" s="28">
        <f t="shared" si="76"/>
        <v>0</v>
      </c>
      <c r="AQ114" s="17">
        <f t="shared" si="70"/>
        <v>0</v>
      </c>
      <c r="AR114" s="28">
        <f t="shared" si="77"/>
        <v>0</v>
      </c>
      <c r="AS114" s="17">
        <f t="shared" si="60"/>
        <v>0</v>
      </c>
      <c r="AT114" s="28">
        <f t="shared" si="61"/>
        <v>0</v>
      </c>
      <c r="AU114" s="17">
        <f t="shared" si="62"/>
        <v>0</v>
      </c>
      <c r="AV114" s="28">
        <f t="shared" si="63"/>
        <v>0</v>
      </c>
      <c r="AW114" s="17">
        <f t="shared" si="49"/>
        <v>0</v>
      </c>
      <c r="AX114" s="28">
        <f t="shared" si="50"/>
        <v>0</v>
      </c>
      <c r="AY114" s="17">
        <f t="shared" si="51"/>
        <v>0</v>
      </c>
      <c r="AZ114" s="28">
        <f t="shared" si="52"/>
        <v>0</v>
      </c>
      <c r="BA114" s="27">
        <f t="shared" si="56"/>
        <v>0</v>
      </c>
      <c r="BB114" s="27">
        <f t="shared" si="54"/>
        <v>0</v>
      </c>
      <c r="BC114" s="27">
        <f t="shared" si="57"/>
        <v>0</v>
      </c>
      <c r="BD114" s="27">
        <f t="shared" si="58"/>
        <v>0</v>
      </c>
      <c r="BE114" s="27">
        <f t="shared" si="59"/>
        <v>0</v>
      </c>
      <c r="BF114" s="29">
        <f t="shared" si="64"/>
        <v>0</v>
      </c>
      <c r="BH114" s="30">
        <f t="shared" si="53"/>
        <v>0</v>
      </c>
      <c r="BM114" s="2">
        <f t="shared" si="78"/>
        <v>0</v>
      </c>
      <c r="BP114" s="2">
        <f t="shared" si="79"/>
        <v>0</v>
      </c>
    </row>
    <row r="115" spans="1:68" ht="14.45" hidden="1" customHeight="1" x14ac:dyDescent="0.25">
      <c r="A115" s="33" t="s">
        <v>144</v>
      </c>
      <c r="B115" s="2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13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5"/>
      <c r="AD115" s="25">
        <f t="shared" si="74"/>
        <v>0</v>
      </c>
      <c r="AE115" s="26" t="s">
        <v>137</v>
      </c>
      <c r="AF115" s="27"/>
      <c r="AG115" s="17">
        <f t="shared" si="44"/>
        <v>0</v>
      </c>
      <c r="AH115" s="28">
        <f t="shared" si="45"/>
        <v>0</v>
      </c>
      <c r="AI115" s="17">
        <f t="shared" si="46"/>
        <v>0</v>
      </c>
      <c r="AJ115" s="28">
        <f t="shared" si="47"/>
        <v>0</v>
      </c>
      <c r="AK115" s="17">
        <f t="shared" si="55"/>
        <v>0</v>
      </c>
      <c r="AL115" s="28">
        <f t="shared" si="48"/>
        <v>0</v>
      </c>
      <c r="AM115" s="17">
        <f t="shared" si="65"/>
        <v>0</v>
      </c>
      <c r="AN115" s="28">
        <f t="shared" si="75"/>
        <v>0</v>
      </c>
      <c r="AO115" s="17">
        <f t="shared" si="68"/>
        <v>0</v>
      </c>
      <c r="AP115" s="28">
        <f t="shared" si="76"/>
        <v>0</v>
      </c>
      <c r="AQ115" s="17">
        <f t="shared" si="70"/>
        <v>0</v>
      </c>
      <c r="AR115" s="28">
        <f t="shared" si="77"/>
        <v>0</v>
      </c>
      <c r="AS115" s="17">
        <f t="shared" si="60"/>
        <v>0</v>
      </c>
      <c r="AT115" s="28">
        <f t="shared" si="61"/>
        <v>0</v>
      </c>
      <c r="AU115" s="17">
        <f t="shared" si="62"/>
        <v>0</v>
      </c>
      <c r="AV115" s="28">
        <f t="shared" si="63"/>
        <v>0</v>
      </c>
      <c r="AW115" s="17">
        <f t="shared" si="49"/>
        <v>0</v>
      </c>
      <c r="AX115" s="28">
        <f t="shared" si="50"/>
        <v>0</v>
      </c>
      <c r="AY115" s="17">
        <f t="shared" si="51"/>
        <v>0</v>
      </c>
      <c r="AZ115" s="28">
        <f t="shared" si="52"/>
        <v>0</v>
      </c>
      <c r="BA115" s="27">
        <f t="shared" si="56"/>
        <v>0</v>
      </c>
      <c r="BB115" s="27">
        <f t="shared" si="54"/>
        <v>0</v>
      </c>
      <c r="BC115" s="27">
        <f t="shared" si="57"/>
        <v>0</v>
      </c>
      <c r="BD115" s="27">
        <f t="shared" si="58"/>
        <v>0</v>
      </c>
      <c r="BE115" s="27">
        <f t="shared" si="59"/>
        <v>0</v>
      </c>
      <c r="BF115" s="29">
        <f t="shared" si="64"/>
        <v>0</v>
      </c>
      <c r="BH115" s="30">
        <f t="shared" si="53"/>
        <v>0</v>
      </c>
      <c r="BM115" s="2">
        <f t="shared" si="78"/>
        <v>0</v>
      </c>
      <c r="BP115" s="2">
        <f t="shared" si="79"/>
        <v>0</v>
      </c>
    </row>
    <row r="116" spans="1:68" x14ac:dyDescent="0.25">
      <c r="A116" s="33" t="s">
        <v>145</v>
      </c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13">
        <v>66000</v>
      </c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5"/>
      <c r="AD116" s="37">
        <f t="shared" si="74"/>
        <v>66000</v>
      </c>
      <c r="AE116" s="41" t="s">
        <v>146</v>
      </c>
      <c r="AF116" s="42">
        <v>300</v>
      </c>
      <c r="AG116" s="17">
        <f t="shared" si="44"/>
        <v>0</v>
      </c>
      <c r="AH116" s="28">
        <f t="shared" si="45"/>
        <v>0</v>
      </c>
      <c r="AI116" s="17">
        <f t="shared" si="46"/>
        <v>0</v>
      </c>
      <c r="AJ116" s="28">
        <f t="shared" si="47"/>
        <v>0</v>
      </c>
      <c r="AK116" s="17">
        <f t="shared" si="55"/>
        <v>66000</v>
      </c>
      <c r="AL116" s="28">
        <f t="shared" si="48"/>
        <v>19800000</v>
      </c>
      <c r="AM116" s="17">
        <f t="shared" si="65"/>
        <v>0</v>
      </c>
      <c r="AN116" s="28">
        <f t="shared" si="75"/>
        <v>0</v>
      </c>
      <c r="AO116" s="17">
        <f t="shared" si="68"/>
        <v>0</v>
      </c>
      <c r="AP116" s="28">
        <f t="shared" si="76"/>
        <v>0</v>
      </c>
      <c r="AQ116" s="17">
        <f t="shared" si="70"/>
        <v>0</v>
      </c>
      <c r="AR116" s="28">
        <f t="shared" si="77"/>
        <v>0</v>
      </c>
      <c r="AS116" s="17">
        <f t="shared" si="60"/>
        <v>0</v>
      </c>
      <c r="AT116" s="28">
        <f t="shared" si="61"/>
        <v>0</v>
      </c>
      <c r="AU116" s="17">
        <f t="shared" si="62"/>
        <v>0</v>
      </c>
      <c r="AV116" s="28">
        <f t="shared" si="63"/>
        <v>0</v>
      </c>
      <c r="AW116" s="17">
        <f t="shared" si="49"/>
        <v>0</v>
      </c>
      <c r="AX116" s="28">
        <f t="shared" si="50"/>
        <v>0</v>
      </c>
      <c r="AY116" s="17">
        <f t="shared" si="51"/>
        <v>0</v>
      </c>
      <c r="AZ116" s="28">
        <f t="shared" si="52"/>
        <v>0</v>
      </c>
      <c r="BA116" s="27">
        <f t="shared" si="56"/>
        <v>0</v>
      </c>
      <c r="BB116" s="27">
        <f t="shared" si="54"/>
        <v>19800000</v>
      </c>
      <c r="BC116" s="27">
        <f t="shared" si="57"/>
        <v>0</v>
      </c>
      <c r="BD116" s="27">
        <f t="shared" si="58"/>
        <v>0</v>
      </c>
      <c r="BE116" s="27">
        <f t="shared" si="59"/>
        <v>0</v>
      </c>
      <c r="BF116" s="29">
        <f t="shared" si="64"/>
        <v>19800000</v>
      </c>
      <c r="BH116" s="30">
        <f t="shared" si="53"/>
        <v>66000</v>
      </c>
      <c r="BM116" s="2">
        <f t="shared" si="78"/>
        <v>66000</v>
      </c>
      <c r="BP116" s="2">
        <f t="shared" si="79"/>
        <v>66000</v>
      </c>
    </row>
    <row r="117" spans="1:68" ht="14.45" hidden="1" customHeight="1" x14ac:dyDescent="0.25">
      <c r="A117" s="33" t="s">
        <v>147</v>
      </c>
      <c r="B117" s="2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13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5"/>
      <c r="AD117" s="25">
        <f t="shared" si="74"/>
        <v>0</v>
      </c>
      <c r="AE117" s="41" t="s">
        <v>146</v>
      </c>
      <c r="AF117" s="27"/>
      <c r="AG117" s="17">
        <f t="shared" si="44"/>
        <v>0</v>
      </c>
      <c r="AH117" s="28">
        <f t="shared" si="45"/>
        <v>0</v>
      </c>
      <c r="AI117" s="17">
        <f t="shared" si="46"/>
        <v>0</v>
      </c>
      <c r="AJ117" s="28">
        <f t="shared" si="47"/>
        <v>0</v>
      </c>
      <c r="AK117" s="17">
        <f t="shared" si="55"/>
        <v>0</v>
      </c>
      <c r="AL117" s="28">
        <f t="shared" si="48"/>
        <v>0</v>
      </c>
      <c r="AM117" s="17">
        <f t="shared" si="65"/>
        <v>0</v>
      </c>
      <c r="AN117" s="28">
        <f t="shared" si="75"/>
        <v>0</v>
      </c>
      <c r="AO117" s="17">
        <f t="shared" si="68"/>
        <v>0</v>
      </c>
      <c r="AP117" s="28">
        <f t="shared" si="76"/>
        <v>0</v>
      </c>
      <c r="AQ117" s="17">
        <f t="shared" si="70"/>
        <v>0</v>
      </c>
      <c r="AR117" s="28">
        <f t="shared" si="77"/>
        <v>0</v>
      </c>
      <c r="AS117" s="17">
        <f t="shared" si="60"/>
        <v>0</v>
      </c>
      <c r="AT117" s="28">
        <f t="shared" si="61"/>
        <v>0</v>
      </c>
      <c r="AU117" s="17">
        <f t="shared" si="62"/>
        <v>0</v>
      </c>
      <c r="AV117" s="28">
        <f t="shared" si="63"/>
        <v>0</v>
      </c>
      <c r="AW117" s="17">
        <f t="shared" si="49"/>
        <v>0</v>
      </c>
      <c r="AX117" s="28">
        <f t="shared" si="50"/>
        <v>0</v>
      </c>
      <c r="AY117" s="17">
        <f t="shared" si="51"/>
        <v>0</v>
      </c>
      <c r="AZ117" s="28">
        <f t="shared" si="52"/>
        <v>0</v>
      </c>
      <c r="BA117" s="27">
        <f t="shared" si="56"/>
        <v>0</v>
      </c>
      <c r="BB117" s="27">
        <f t="shared" si="54"/>
        <v>0</v>
      </c>
      <c r="BC117" s="27">
        <f t="shared" si="57"/>
        <v>0</v>
      </c>
      <c r="BD117" s="27">
        <f t="shared" si="58"/>
        <v>0</v>
      </c>
      <c r="BE117" s="27">
        <f t="shared" si="59"/>
        <v>0</v>
      </c>
      <c r="BF117" s="29">
        <f t="shared" si="64"/>
        <v>0</v>
      </c>
      <c r="BH117" s="30">
        <f t="shared" si="53"/>
        <v>0</v>
      </c>
      <c r="BM117" s="2">
        <f t="shared" si="78"/>
        <v>0</v>
      </c>
      <c r="BP117" s="2">
        <f t="shared" si="79"/>
        <v>0</v>
      </c>
    </row>
    <row r="118" spans="1:68" ht="14.45" hidden="1" customHeight="1" x14ac:dyDescent="0.25">
      <c r="A118" s="33" t="s">
        <v>148</v>
      </c>
      <c r="B118" s="2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13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5"/>
      <c r="AD118" s="25">
        <f t="shared" si="74"/>
        <v>0</v>
      </c>
      <c r="AE118" s="41" t="s">
        <v>146</v>
      </c>
      <c r="AF118" s="27"/>
      <c r="AG118" s="17">
        <f t="shared" si="44"/>
        <v>0</v>
      </c>
      <c r="AH118" s="28">
        <f t="shared" si="45"/>
        <v>0</v>
      </c>
      <c r="AI118" s="17">
        <f t="shared" si="46"/>
        <v>0</v>
      </c>
      <c r="AJ118" s="28">
        <f t="shared" si="47"/>
        <v>0</v>
      </c>
      <c r="AK118" s="17">
        <f t="shared" si="55"/>
        <v>0</v>
      </c>
      <c r="AL118" s="28">
        <f t="shared" si="48"/>
        <v>0</v>
      </c>
      <c r="AM118" s="17">
        <f t="shared" si="65"/>
        <v>0</v>
      </c>
      <c r="AN118" s="28">
        <f t="shared" si="75"/>
        <v>0</v>
      </c>
      <c r="AO118" s="17">
        <f t="shared" si="68"/>
        <v>0</v>
      </c>
      <c r="AP118" s="28">
        <f t="shared" si="76"/>
        <v>0</v>
      </c>
      <c r="AQ118" s="17">
        <f t="shared" si="70"/>
        <v>0</v>
      </c>
      <c r="AR118" s="28">
        <f t="shared" si="77"/>
        <v>0</v>
      </c>
      <c r="AS118" s="17">
        <f t="shared" si="60"/>
        <v>0</v>
      </c>
      <c r="AT118" s="28">
        <f t="shared" si="61"/>
        <v>0</v>
      </c>
      <c r="AU118" s="17">
        <f t="shared" si="62"/>
        <v>0</v>
      </c>
      <c r="AV118" s="28">
        <f t="shared" si="63"/>
        <v>0</v>
      </c>
      <c r="AW118" s="17">
        <f t="shared" si="49"/>
        <v>0</v>
      </c>
      <c r="AX118" s="28">
        <f t="shared" si="50"/>
        <v>0</v>
      </c>
      <c r="AY118" s="17">
        <f t="shared" si="51"/>
        <v>0</v>
      </c>
      <c r="AZ118" s="28">
        <f t="shared" si="52"/>
        <v>0</v>
      </c>
      <c r="BA118" s="27">
        <f t="shared" si="56"/>
        <v>0</v>
      </c>
      <c r="BB118" s="27">
        <f t="shared" si="54"/>
        <v>0</v>
      </c>
      <c r="BC118" s="27">
        <f t="shared" si="57"/>
        <v>0</v>
      </c>
      <c r="BD118" s="27">
        <f t="shared" si="58"/>
        <v>0</v>
      </c>
      <c r="BE118" s="27">
        <f t="shared" si="59"/>
        <v>0</v>
      </c>
      <c r="BF118" s="29">
        <f t="shared" si="64"/>
        <v>0</v>
      </c>
      <c r="BH118" s="30">
        <f t="shared" si="53"/>
        <v>0</v>
      </c>
      <c r="BM118" s="2">
        <f t="shared" si="78"/>
        <v>0</v>
      </c>
      <c r="BP118" s="2">
        <f t="shared" si="79"/>
        <v>0</v>
      </c>
    </row>
    <row r="119" spans="1:68" ht="14.45" hidden="1" customHeight="1" x14ac:dyDescent="0.25">
      <c r="A119" s="33" t="s">
        <v>149</v>
      </c>
      <c r="B119" s="2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13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5"/>
      <c r="AD119" s="25">
        <f t="shared" si="74"/>
        <v>0</v>
      </c>
      <c r="AE119" s="41" t="s">
        <v>146</v>
      </c>
      <c r="AF119" s="27"/>
      <c r="AG119" s="17">
        <f t="shared" si="44"/>
        <v>0</v>
      </c>
      <c r="AH119" s="28">
        <f t="shared" si="45"/>
        <v>0</v>
      </c>
      <c r="AI119" s="17">
        <f t="shared" si="46"/>
        <v>0</v>
      </c>
      <c r="AJ119" s="28">
        <f t="shared" si="47"/>
        <v>0</v>
      </c>
      <c r="AK119" s="17">
        <f t="shared" si="55"/>
        <v>0</v>
      </c>
      <c r="AL119" s="28">
        <f t="shared" si="48"/>
        <v>0</v>
      </c>
      <c r="AM119" s="17">
        <f t="shared" si="65"/>
        <v>0</v>
      </c>
      <c r="AN119" s="28">
        <f t="shared" si="75"/>
        <v>0</v>
      </c>
      <c r="AO119" s="17">
        <f t="shared" si="68"/>
        <v>0</v>
      </c>
      <c r="AP119" s="28">
        <f t="shared" si="76"/>
        <v>0</v>
      </c>
      <c r="AQ119" s="17">
        <f t="shared" si="70"/>
        <v>0</v>
      </c>
      <c r="AR119" s="28">
        <f t="shared" si="77"/>
        <v>0</v>
      </c>
      <c r="AS119" s="17">
        <f t="shared" si="60"/>
        <v>0</v>
      </c>
      <c r="AT119" s="28">
        <f t="shared" si="61"/>
        <v>0</v>
      </c>
      <c r="AU119" s="17">
        <f t="shared" si="62"/>
        <v>0</v>
      </c>
      <c r="AV119" s="28">
        <f t="shared" si="63"/>
        <v>0</v>
      </c>
      <c r="AW119" s="17">
        <f t="shared" si="49"/>
        <v>0</v>
      </c>
      <c r="AX119" s="28">
        <f t="shared" si="50"/>
        <v>0</v>
      </c>
      <c r="AY119" s="17">
        <f t="shared" si="51"/>
        <v>0</v>
      </c>
      <c r="AZ119" s="28">
        <f t="shared" si="52"/>
        <v>0</v>
      </c>
      <c r="BA119" s="27">
        <f t="shared" si="56"/>
        <v>0</v>
      </c>
      <c r="BB119" s="27">
        <f t="shared" si="54"/>
        <v>0</v>
      </c>
      <c r="BC119" s="27">
        <f t="shared" si="57"/>
        <v>0</v>
      </c>
      <c r="BD119" s="27">
        <f t="shared" si="58"/>
        <v>0</v>
      </c>
      <c r="BE119" s="27">
        <f t="shared" si="59"/>
        <v>0</v>
      </c>
      <c r="BF119" s="29">
        <f t="shared" si="64"/>
        <v>0</v>
      </c>
      <c r="BH119" s="30">
        <f t="shared" si="53"/>
        <v>0</v>
      </c>
      <c r="BM119" s="2">
        <f t="shared" si="78"/>
        <v>0</v>
      </c>
      <c r="BP119" s="2">
        <f t="shared" si="79"/>
        <v>0</v>
      </c>
    </row>
    <row r="120" spans="1:68" ht="14.45" hidden="1" customHeight="1" x14ac:dyDescent="0.25">
      <c r="A120" s="33" t="s">
        <v>150</v>
      </c>
      <c r="B120" s="2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13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5"/>
      <c r="AD120" s="25">
        <f t="shared" si="74"/>
        <v>0</v>
      </c>
      <c r="AE120" s="41" t="s">
        <v>146</v>
      </c>
      <c r="AF120" s="27"/>
      <c r="AG120" s="17">
        <f t="shared" si="44"/>
        <v>0</v>
      </c>
      <c r="AH120" s="28">
        <f t="shared" si="45"/>
        <v>0</v>
      </c>
      <c r="AI120" s="17">
        <f t="shared" si="46"/>
        <v>0</v>
      </c>
      <c r="AJ120" s="28">
        <f t="shared" si="47"/>
        <v>0</v>
      </c>
      <c r="AK120" s="17">
        <f t="shared" si="55"/>
        <v>0</v>
      </c>
      <c r="AL120" s="28">
        <f t="shared" si="48"/>
        <v>0</v>
      </c>
      <c r="AM120" s="17">
        <f t="shared" si="65"/>
        <v>0</v>
      </c>
      <c r="AN120" s="28">
        <f t="shared" si="75"/>
        <v>0</v>
      </c>
      <c r="AO120" s="17">
        <f t="shared" si="68"/>
        <v>0</v>
      </c>
      <c r="AP120" s="28">
        <f t="shared" si="76"/>
        <v>0</v>
      </c>
      <c r="AQ120" s="17">
        <f t="shared" si="70"/>
        <v>0</v>
      </c>
      <c r="AR120" s="28">
        <f t="shared" si="77"/>
        <v>0</v>
      </c>
      <c r="AS120" s="17">
        <f t="shared" si="60"/>
        <v>0</v>
      </c>
      <c r="AT120" s="28">
        <f t="shared" si="61"/>
        <v>0</v>
      </c>
      <c r="AU120" s="17">
        <f t="shared" si="62"/>
        <v>0</v>
      </c>
      <c r="AV120" s="28">
        <f t="shared" si="63"/>
        <v>0</v>
      </c>
      <c r="AW120" s="17">
        <f t="shared" si="49"/>
        <v>0</v>
      </c>
      <c r="AX120" s="28">
        <f t="shared" si="50"/>
        <v>0</v>
      </c>
      <c r="AY120" s="17">
        <f t="shared" si="51"/>
        <v>0</v>
      </c>
      <c r="AZ120" s="28">
        <f t="shared" si="52"/>
        <v>0</v>
      </c>
      <c r="BA120" s="27">
        <f t="shared" si="56"/>
        <v>0</v>
      </c>
      <c r="BB120" s="27">
        <f t="shared" si="54"/>
        <v>0</v>
      </c>
      <c r="BC120" s="27">
        <f t="shared" si="57"/>
        <v>0</v>
      </c>
      <c r="BD120" s="27">
        <f t="shared" si="58"/>
        <v>0</v>
      </c>
      <c r="BE120" s="27">
        <f t="shared" si="59"/>
        <v>0</v>
      </c>
      <c r="BF120" s="29">
        <f t="shared" si="64"/>
        <v>0</v>
      </c>
      <c r="BH120" s="30">
        <f t="shared" si="53"/>
        <v>0</v>
      </c>
      <c r="BM120" s="2">
        <f t="shared" si="78"/>
        <v>0</v>
      </c>
      <c r="BP120" s="2">
        <f t="shared" si="79"/>
        <v>0</v>
      </c>
    </row>
    <row r="121" spans="1:68" x14ac:dyDescent="0.25">
      <c r="A121" s="33" t="s">
        <v>151</v>
      </c>
      <c r="B121" s="23"/>
      <c r="C121" s="24"/>
      <c r="D121" s="24">
        <v>6243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13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5"/>
      <c r="AD121" s="25">
        <f t="shared" si="74"/>
        <v>6243</v>
      </c>
      <c r="AE121" s="41" t="s">
        <v>146</v>
      </c>
      <c r="AF121" s="27">
        <v>1153680</v>
      </c>
      <c r="AG121" s="17">
        <f t="shared" si="44"/>
        <v>0</v>
      </c>
      <c r="AH121" s="28">
        <f t="shared" si="45"/>
        <v>0</v>
      </c>
      <c r="AI121" s="17">
        <f t="shared" si="46"/>
        <v>0</v>
      </c>
      <c r="AJ121" s="28">
        <f t="shared" si="47"/>
        <v>0</v>
      </c>
      <c r="AK121" s="17">
        <f t="shared" si="55"/>
        <v>0</v>
      </c>
      <c r="AL121" s="28">
        <f t="shared" si="48"/>
        <v>0</v>
      </c>
      <c r="AM121" s="17">
        <f t="shared" si="65"/>
        <v>0</v>
      </c>
      <c r="AN121" s="28">
        <f t="shared" si="75"/>
        <v>0</v>
      </c>
      <c r="AO121" s="17">
        <f t="shared" si="68"/>
        <v>0</v>
      </c>
      <c r="AP121" s="28">
        <f t="shared" si="76"/>
        <v>0</v>
      </c>
      <c r="AQ121" s="17">
        <f t="shared" si="70"/>
        <v>0</v>
      </c>
      <c r="AR121" s="28">
        <f t="shared" si="77"/>
        <v>0</v>
      </c>
      <c r="AS121" s="17">
        <f t="shared" si="60"/>
        <v>0</v>
      </c>
      <c r="AT121" s="28">
        <f t="shared" si="61"/>
        <v>0</v>
      </c>
      <c r="AU121" s="17">
        <f t="shared" si="62"/>
        <v>0</v>
      </c>
      <c r="AV121" s="28">
        <f t="shared" si="63"/>
        <v>0</v>
      </c>
      <c r="AW121" s="17">
        <f t="shared" si="49"/>
        <v>6243</v>
      </c>
      <c r="AX121" s="28">
        <f t="shared" si="50"/>
        <v>7202424240</v>
      </c>
      <c r="AY121" s="17">
        <f t="shared" si="51"/>
        <v>0</v>
      </c>
      <c r="AZ121" s="28">
        <f t="shared" si="52"/>
        <v>0</v>
      </c>
      <c r="BA121" s="27">
        <f t="shared" si="56"/>
        <v>0</v>
      </c>
      <c r="BB121" s="27">
        <f t="shared" si="54"/>
        <v>0</v>
      </c>
      <c r="BC121" s="27">
        <f t="shared" si="57"/>
        <v>0</v>
      </c>
      <c r="BD121" s="27">
        <f t="shared" si="58"/>
        <v>0</v>
      </c>
      <c r="BE121" s="27">
        <f t="shared" si="59"/>
        <v>7202424240</v>
      </c>
      <c r="BF121" s="29">
        <f t="shared" si="64"/>
        <v>0</v>
      </c>
      <c r="BH121" s="30">
        <f t="shared" si="53"/>
        <v>0</v>
      </c>
      <c r="BM121" s="2">
        <f t="shared" si="78"/>
        <v>6243</v>
      </c>
      <c r="BP121" s="2">
        <f t="shared" si="79"/>
        <v>6243</v>
      </c>
    </row>
    <row r="122" spans="1:68" x14ac:dyDescent="0.25">
      <c r="A122" s="33" t="s">
        <v>152</v>
      </c>
      <c r="B122" s="23"/>
      <c r="C122" s="24"/>
      <c r="D122" s="24">
        <v>168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13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5"/>
      <c r="AD122" s="25">
        <f t="shared" si="74"/>
        <v>168</v>
      </c>
      <c r="AE122" s="41" t="s">
        <v>146</v>
      </c>
      <c r="AF122" s="27">
        <v>3080850</v>
      </c>
      <c r="AG122" s="17">
        <f t="shared" si="44"/>
        <v>0</v>
      </c>
      <c r="AH122" s="28">
        <f t="shared" si="45"/>
        <v>0</v>
      </c>
      <c r="AI122" s="17">
        <f t="shared" si="46"/>
        <v>0</v>
      </c>
      <c r="AJ122" s="28">
        <f t="shared" si="47"/>
        <v>0</v>
      </c>
      <c r="AK122" s="17">
        <f t="shared" si="55"/>
        <v>0</v>
      </c>
      <c r="AL122" s="28">
        <f t="shared" si="48"/>
        <v>0</v>
      </c>
      <c r="AM122" s="17">
        <f t="shared" si="65"/>
        <v>0</v>
      </c>
      <c r="AN122" s="28">
        <f t="shared" si="75"/>
        <v>0</v>
      </c>
      <c r="AO122" s="17">
        <f t="shared" si="68"/>
        <v>0</v>
      </c>
      <c r="AP122" s="28">
        <f t="shared" si="76"/>
        <v>0</v>
      </c>
      <c r="AQ122" s="17">
        <f t="shared" si="70"/>
        <v>0</v>
      </c>
      <c r="AR122" s="28">
        <f t="shared" si="77"/>
        <v>0</v>
      </c>
      <c r="AS122" s="17">
        <f t="shared" si="60"/>
        <v>0</v>
      </c>
      <c r="AT122" s="28">
        <f t="shared" si="61"/>
        <v>0</v>
      </c>
      <c r="AU122" s="17">
        <f t="shared" si="62"/>
        <v>0</v>
      </c>
      <c r="AV122" s="28">
        <f t="shared" si="63"/>
        <v>0</v>
      </c>
      <c r="AW122" s="17">
        <f t="shared" si="49"/>
        <v>168</v>
      </c>
      <c r="AX122" s="28">
        <f t="shared" si="50"/>
        <v>517582800</v>
      </c>
      <c r="AY122" s="17">
        <f t="shared" si="51"/>
        <v>0</v>
      </c>
      <c r="AZ122" s="28">
        <f t="shared" si="52"/>
        <v>0</v>
      </c>
      <c r="BA122" s="27">
        <f t="shared" si="56"/>
        <v>0</v>
      </c>
      <c r="BB122" s="27">
        <f t="shared" si="54"/>
        <v>0</v>
      </c>
      <c r="BC122" s="27">
        <f t="shared" si="57"/>
        <v>0</v>
      </c>
      <c r="BD122" s="27">
        <f t="shared" si="58"/>
        <v>0</v>
      </c>
      <c r="BE122" s="27">
        <f t="shared" si="59"/>
        <v>517582800</v>
      </c>
      <c r="BF122" s="29">
        <f t="shared" si="64"/>
        <v>0</v>
      </c>
      <c r="BH122" s="30">
        <f t="shared" si="53"/>
        <v>0</v>
      </c>
      <c r="BM122" s="2">
        <f t="shared" si="78"/>
        <v>168</v>
      </c>
      <c r="BP122" s="2">
        <f t="shared" si="79"/>
        <v>168</v>
      </c>
    </row>
    <row r="123" spans="1:68" x14ac:dyDescent="0.25">
      <c r="A123" s="33" t="s">
        <v>153</v>
      </c>
      <c r="B123" s="2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13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5"/>
      <c r="AD123" s="25"/>
      <c r="AE123" s="41" t="s">
        <v>146</v>
      </c>
      <c r="AF123" s="27"/>
      <c r="AG123" s="17">
        <f t="shared" si="44"/>
        <v>0</v>
      </c>
      <c r="AH123" s="28">
        <f t="shared" si="45"/>
        <v>0</v>
      </c>
      <c r="AI123" s="17">
        <f t="shared" si="46"/>
        <v>0</v>
      </c>
      <c r="AJ123" s="28">
        <f t="shared" si="47"/>
        <v>0</v>
      </c>
      <c r="AK123" s="17">
        <f t="shared" si="55"/>
        <v>0</v>
      </c>
      <c r="AL123" s="28">
        <f t="shared" si="48"/>
        <v>0</v>
      </c>
      <c r="AM123" s="17">
        <f t="shared" si="65"/>
        <v>0</v>
      </c>
      <c r="AN123" s="28"/>
      <c r="AO123" s="17">
        <f t="shared" si="68"/>
        <v>0</v>
      </c>
      <c r="AP123" s="28"/>
      <c r="AQ123" s="17">
        <f t="shared" si="70"/>
        <v>0</v>
      </c>
      <c r="AR123" s="28"/>
      <c r="AS123" s="17">
        <f t="shared" si="60"/>
        <v>0</v>
      </c>
      <c r="AT123" s="28">
        <f t="shared" si="61"/>
        <v>0</v>
      </c>
      <c r="AU123" s="17">
        <f t="shared" si="62"/>
        <v>0</v>
      </c>
      <c r="AV123" s="28">
        <f t="shared" si="63"/>
        <v>0</v>
      </c>
      <c r="AW123" s="17">
        <f t="shared" si="49"/>
        <v>0</v>
      </c>
      <c r="AX123" s="28">
        <f t="shared" si="50"/>
        <v>0</v>
      </c>
      <c r="AY123" s="17">
        <f t="shared" si="51"/>
        <v>0</v>
      </c>
      <c r="AZ123" s="28">
        <f t="shared" si="52"/>
        <v>0</v>
      </c>
      <c r="BA123" s="27">
        <f t="shared" si="56"/>
        <v>0</v>
      </c>
      <c r="BB123" s="27">
        <f t="shared" si="54"/>
        <v>0</v>
      </c>
      <c r="BC123" s="27">
        <f t="shared" si="57"/>
        <v>0</v>
      </c>
      <c r="BD123" s="27">
        <f t="shared" si="58"/>
        <v>0</v>
      </c>
      <c r="BE123" s="27">
        <f t="shared" si="59"/>
        <v>0</v>
      </c>
      <c r="BF123" s="29">
        <f t="shared" si="64"/>
        <v>0</v>
      </c>
      <c r="BH123" s="30">
        <f t="shared" si="53"/>
        <v>0</v>
      </c>
    </row>
    <row r="124" spans="1:68" x14ac:dyDescent="0.25">
      <c r="A124" s="33" t="s">
        <v>154</v>
      </c>
      <c r="B124" s="23"/>
      <c r="C124" s="24"/>
      <c r="D124" s="24">
        <v>2012</v>
      </c>
      <c r="E124" s="24"/>
      <c r="F124" s="24">
        <v>4336</v>
      </c>
      <c r="G124" s="24"/>
      <c r="H124" s="24"/>
      <c r="I124" s="24"/>
      <c r="J124" s="24"/>
      <c r="K124" s="24"/>
      <c r="L124" s="24"/>
      <c r="M124" s="24"/>
      <c r="N124" s="24"/>
      <c r="O124" s="13">
        <v>5530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5"/>
      <c r="AD124" s="37">
        <f t="shared" ref="AD124:AD167" si="80">SUM(B124:S124)</f>
        <v>11878</v>
      </c>
      <c r="AE124" s="41" t="s">
        <v>146</v>
      </c>
      <c r="AF124" s="27">
        <v>1830</v>
      </c>
      <c r="AG124" s="17">
        <f t="shared" si="44"/>
        <v>4336</v>
      </c>
      <c r="AH124" s="28">
        <f t="shared" si="45"/>
        <v>7934880</v>
      </c>
      <c r="AI124" s="17">
        <f t="shared" si="46"/>
        <v>0</v>
      </c>
      <c r="AJ124" s="28">
        <f t="shared" si="47"/>
        <v>0</v>
      </c>
      <c r="AK124" s="17">
        <f t="shared" si="55"/>
        <v>5530</v>
      </c>
      <c r="AL124" s="28">
        <f t="shared" si="48"/>
        <v>10119900</v>
      </c>
      <c r="AM124" s="17">
        <f t="shared" si="65"/>
        <v>0</v>
      </c>
      <c r="AN124" s="28">
        <f t="shared" ref="AN124:AN167" si="81">+AM124*AF124</f>
        <v>0</v>
      </c>
      <c r="AO124" s="17">
        <f t="shared" si="68"/>
        <v>0</v>
      </c>
      <c r="AP124" s="28">
        <f t="shared" ref="AP124:AP167" si="82">+AO124*AF124</f>
        <v>0</v>
      </c>
      <c r="AQ124" s="17">
        <f t="shared" si="70"/>
        <v>0</v>
      </c>
      <c r="AR124" s="28">
        <f t="shared" ref="AR124:AR167" si="83">+AQ124*AF124</f>
        <v>0</v>
      </c>
      <c r="AS124" s="17">
        <f t="shared" si="60"/>
        <v>0</v>
      </c>
      <c r="AT124" s="28">
        <f t="shared" si="61"/>
        <v>0</v>
      </c>
      <c r="AU124" s="17">
        <f t="shared" si="62"/>
        <v>0</v>
      </c>
      <c r="AV124" s="28">
        <f t="shared" si="63"/>
        <v>0</v>
      </c>
      <c r="AW124" s="17">
        <f t="shared" si="49"/>
        <v>2012</v>
      </c>
      <c r="AX124" s="28">
        <f t="shared" si="50"/>
        <v>3681960</v>
      </c>
      <c r="AY124" s="17">
        <f t="shared" si="51"/>
        <v>0</v>
      </c>
      <c r="AZ124" s="28">
        <f t="shared" si="52"/>
        <v>0</v>
      </c>
      <c r="BA124" s="27">
        <f t="shared" si="56"/>
        <v>7934880</v>
      </c>
      <c r="BB124" s="27">
        <f t="shared" si="54"/>
        <v>10119900</v>
      </c>
      <c r="BC124" s="27">
        <f t="shared" si="57"/>
        <v>0</v>
      </c>
      <c r="BD124" s="27">
        <f t="shared" si="58"/>
        <v>0</v>
      </c>
      <c r="BE124" s="27">
        <f t="shared" si="59"/>
        <v>3681960</v>
      </c>
      <c r="BF124" s="29">
        <f t="shared" si="64"/>
        <v>10516644</v>
      </c>
      <c r="BH124" s="30">
        <f t="shared" si="53"/>
        <v>5530</v>
      </c>
      <c r="BM124" s="2">
        <f t="shared" ref="BM124:BM167" si="84">SUM(B124:S124)</f>
        <v>11878</v>
      </c>
      <c r="BP124" s="2">
        <f t="shared" ref="BP124:BP167" si="85">SUM(B124:S124)</f>
        <v>11878</v>
      </c>
    </row>
    <row r="125" spans="1:68" hidden="1" x14ac:dyDescent="0.25">
      <c r="A125" s="33" t="s">
        <v>155</v>
      </c>
      <c r="B125" s="23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13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5"/>
      <c r="AD125" s="25">
        <f t="shared" si="80"/>
        <v>0</v>
      </c>
      <c r="AE125" s="41" t="s">
        <v>146</v>
      </c>
      <c r="AF125" s="42"/>
      <c r="AG125" s="17">
        <f t="shared" si="44"/>
        <v>0</v>
      </c>
      <c r="AH125" s="28">
        <f t="shared" si="45"/>
        <v>0</v>
      </c>
      <c r="AI125" s="17">
        <f t="shared" si="46"/>
        <v>0</v>
      </c>
      <c r="AJ125" s="28">
        <f t="shared" si="47"/>
        <v>0</v>
      </c>
      <c r="AK125" s="17">
        <f t="shared" si="55"/>
        <v>0</v>
      </c>
      <c r="AL125" s="28">
        <f t="shared" si="48"/>
        <v>0</v>
      </c>
      <c r="AM125" s="17">
        <f t="shared" si="65"/>
        <v>0</v>
      </c>
      <c r="AN125" s="28">
        <f t="shared" si="81"/>
        <v>0</v>
      </c>
      <c r="AO125" s="17">
        <f t="shared" si="68"/>
        <v>0</v>
      </c>
      <c r="AP125" s="28">
        <f t="shared" si="82"/>
        <v>0</v>
      </c>
      <c r="AQ125" s="17">
        <f t="shared" si="70"/>
        <v>0</v>
      </c>
      <c r="AR125" s="28">
        <f t="shared" si="83"/>
        <v>0</v>
      </c>
      <c r="AS125" s="17">
        <f t="shared" si="60"/>
        <v>0</v>
      </c>
      <c r="AT125" s="28">
        <f t="shared" si="61"/>
        <v>0</v>
      </c>
      <c r="AU125" s="17">
        <f t="shared" si="62"/>
        <v>0</v>
      </c>
      <c r="AV125" s="28">
        <f t="shared" si="63"/>
        <v>0</v>
      </c>
      <c r="AW125" s="17">
        <f t="shared" si="49"/>
        <v>0</v>
      </c>
      <c r="AX125" s="28">
        <f t="shared" si="50"/>
        <v>0</v>
      </c>
      <c r="AY125" s="17">
        <f t="shared" si="51"/>
        <v>0</v>
      </c>
      <c r="AZ125" s="28">
        <f t="shared" si="52"/>
        <v>0</v>
      </c>
      <c r="BA125" s="27">
        <f t="shared" si="56"/>
        <v>0</v>
      </c>
      <c r="BB125" s="27">
        <f t="shared" si="54"/>
        <v>0</v>
      </c>
      <c r="BC125" s="27">
        <f t="shared" si="57"/>
        <v>0</v>
      </c>
      <c r="BD125" s="27">
        <f t="shared" si="58"/>
        <v>0</v>
      </c>
      <c r="BE125" s="27">
        <f t="shared" si="59"/>
        <v>0</v>
      </c>
      <c r="BF125" s="29">
        <f t="shared" si="64"/>
        <v>0</v>
      </c>
      <c r="BH125" s="30">
        <f t="shared" si="53"/>
        <v>0</v>
      </c>
      <c r="BM125" s="2">
        <f t="shared" si="84"/>
        <v>0</v>
      </c>
      <c r="BP125" s="2">
        <f t="shared" si="85"/>
        <v>0</v>
      </c>
    </row>
    <row r="126" spans="1:68" x14ac:dyDescent="0.25">
      <c r="A126" s="33" t="s">
        <v>156</v>
      </c>
      <c r="B126" s="2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13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5"/>
      <c r="AD126" s="25">
        <f t="shared" si="80"/>
        <v>0</v>
      </c>
      <c r="AE126" s="41" t="s">
        <v>146</v>
      </c>
      <c r="AF126" s="27">
        <v>6679545</v>
      </c>
      <c r="AG126" s="17">
        <f t="shared" si="44"/>
        <v>0</v>
      </c>
      <c r="AH126" s="28">
        <f t="shared" si="45"/>
        <v>0</v>
      </c>
      <c r="AI126" s="17">
        <f t="shared" si="46"/>
        <v>0</v>
      </c>
      <c r="AJ126" s="28">
        <f t="shared" si="47"/>
        <v>0</v>
      </c>
      <c r="AK126" s="17">
        <f t="shared" si="55"/>
        <v>0</v>
      </c>
      <c r="AL126" s="28">
        <f t="shared" si="48"/>
        <v>0</v>
      </c>
      <c r="AM126" s="17">
        <f t="shared" si="65"/>
        <v>0</v>
      </c>
      <c r="AN126" s="28">
        <f t="shared" si="81"/>
        <v>0</v>
      </c>
      <c r="AO126" s="17">
        <f t="shared" si="68"/>
        <v>0</v>
      </c>
      <c r="AP126" s="28">
        <f t="shared" si="82"/>
        <v>0</v>
      </c>
      <c r="AQ126" s="17">
        <f t="shared" si="70"/>
        <v>0</v>
      </c>
      <c r="AR126" s="28">
        <f t="shared" si="83"/>
        <v>0</v>
      </c>
      <c r="AS126" s="17">
        <f t="shared" si="60"/>
        <v>0</v>
      </c>
      <c r="AT126" s="28">
        <f t="shared" si="61"/>
        <v>0</v>
      </c>
      <c r="AU126" s="17">
        <f t="shared" si="62"/>
        <v>0</v>
      </c>
      <c r="AV126" s="28">
        <f t="shared" si="63"/>
        <v>0</v>
      </c>
      <c r="AW126" s="17">
        <f t="shared" si="49"/>
        <v>0</v>
      </c>
      <c r="AX126" s="28">
        <f t="shared" si="50"/>
        <v>0</v>
      </c>
      <c r="AY126" s="17">
        <f t="shared" si="51"/>
        <v>0</v>
      </c>
      <c r="AZ126" s="28">
        <f t="shared" si="52"/>
        <v>0</v>
      </c>
      <c r="BA126" s="27">
        <f t="shared" si="56"/>
        <v>0</v>
      </c>
      <c r="BB126" s="27">
        <f t="shared" si="54"/>
        <v>0</v>
      </c>
      <c r="BC126" s="27">
        <f t="shared" si="57"/>
        <v>0</v>
      </c>
      <c r="BD126" s="27">
        <f t="shared" si="58"/>
        <v>0</v>
      </c>
      <c r="BE126" s="27">
        <f t="shared" si="59"/>
        <v>0</v>
      </c>
      <c r="BF126" s="29">
        <f t="shared" si="64"/>
        <v>0</v>
      </c>
      <c r="BH126" s="30">
        <f t="shared" si="53"/>
        <v>0</v>
      </c>
      <c r="BM126" s="2">
        <f t="shared" si="84"/>
        <v>0</v>
      </c>
      <c r="BP126" s="2">
        <f t="shared" si="85"/>
        <v>0</v>
      </c>
    </row>
    <row r="127" spans="1:68" ht="14.45" hidden="1" customHeight="1" x14ac:dyDescent="0.25">
      <c r="A127" s="33" t="s">
        <v>157</v>
      </c>
      <c r="B127" s="23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13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5"/>
      <c r="AD127" s="25">
        <f t="shared" si="80"/>
        <v>0</v>
      </c>
      <c r="AE127" s="41" t="s">
        <v>146</v>
      </c>
      <c r="AF127" s="27"/>
      <c r="AG127" s="17">
        <f t="shared" si="44"/>
        <v>0</v>
      </c>
      <c r="AH127" s="28">
        <f t="shared" si="45"/>
        <v>0</v>
      </c>
      <c r="AI127" s="17">
        <f t="shared" si="46"/>
        <v>0</v>
      </c>
      <c r="AJ127" s="28">
        <f t="shared" si="47"/>
        <v>0</v>
      </c>
      <c r="AK127" s="17">
        <f t="shared" si="55"/>
        <v>0</v>
      </c>
      <c r="AL127" s="28">
        <f t="shared" si="48"/>
        <v>0</v>
      </c>
      <c r="AM127" s="17">
        <f t="shared" si="65"/>
        <v>0</v>
      </c>
      <c r="AN127" s="28">
        <f t="shared" si="81"/>
        <v>0</v>
      </c>
      <c r="AO127" s="17">
        <f t="shared" si="68"/>
        <v>0</v>
      </c>
      <c r="AP127" s="28">
        <f t="shared" si="82"/>
        <v>0</v>
      </c>
      <c r="AQ127" s="17">
        <f t="shared" si="70"/>
        <v>0</v>
      </c>
      <c r="AR127" s="28">
        <f t="shared" si="83"/>
        <v>0</v>
      </c>
      <c r="AS127" s="17">
        <f t="shared" si="60"/>
        <v>0</v>
      </c>
      <c r="AT127" s="28">
        <f t="shared" si="61"/>
        <v>0</v>
      </c>
      <c r="AU127" s="17">
        <f t="shared" si="62"/>
        <v>0</v>
      </c>
      <c r="AV127" s="28">
        <f t="shared" si="63"/>
        <v>0</v>
      </c>
      <c r="AW127" s="17">
        <f t="shared" si="49"/>
        <v>0</v>
      </c>
      <c r="AX127" s="28">
        <f t="shared" si="50"/>
        <v>0</v>
      </c>
      <c r="AY127" s="17">
        <f t="shared" si="51"/>
        <v>0</v>
      </c>
      <c r="AZ127" s="28">
        <f t="shared" si="52"/>
        <v>0</v>
      </c>
      <c r="BA127" s="27">
        <f t="shared" si="56"/>
        <v>0</v>
      </c>
      <c r="BB127" s="27">
        <f t="shared" si="54"/>
        <v>0</v>
      </c>
      <c r="BC127" s="27">
        <f t="shared" si="57"/>
        <v>0</v>
      </c>
      <c r="BD127" s="27">
        <f t="shared" si="58"/>
        <v>0</v>
      </c>
      <c r="BE127" s="27">
        <f t="shared" si="59"/>
        <v>0</v>
      </c>
      <c r="BF127" s="29">
        <f t="shared" si="64"/>
        <v>0</v>
      </c>
      <c r="BH127" s="30">
        <f t="shared" si="53"/>
        <v>0</v>
      </c>
      <c r="BM127" s="2">
        <f t="shared" si="84"/>
        <v>0</v>
      </c>
      <c r="BP127" s="2">
        <f t="shared" si="85"/>
        <v>0</v>
      </c>
    </row>
    <row r="128" spans="1:68" ht="14.45" hidden="1" customHeight="1" x14ac:dyDescent="0.25">
      <c r="A128" s="33" t="s">
        <v>158</v>
      </c>
      <c r="B128" s="2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13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5"/>
      <c r="AD128" s="25">
        <f t="shared" si="80"/>
        <v>0</v>
      </c>
      <c r="AE128" s="41" t="s">
        <v>146</v>
      </c>
      <c r="AF128" s="27"/>
      <c r="AG128" s="17">
        <f t="shared" si="44"/>
        <v>0</v>
      </c>
      <c r="AH128" s="28">
        <f t="shared" si="45"/>
        <v>0</v>
      </c>
      <c r="AI128" s="17">
        <f t="shared" si="46"/>
        <v>0</v>
      </c>
      <c r="AJ128" s="28">
        <f t="shared" si="47"/>
        <v>0</v>
      </c>
      <c r="AK128" s="17">
        <f t="shared" si="55"/>
        <v>0</v>
      </c>
      <c r="AL128" s="28">
        <f t="shared" si="48"/>
        <v>0</v>
      </c>
      <c r="AM128" s="17">
        <f t="shared" si="65"/>
        <v>0</v>
      </c>
      <c r="AN128" s="28">
        <f t="shared" si="81"/>
        <v>0</v>
      </c>
      <c r="AO128" s="17">
        <f t="shared" si="68"/>
        <v>0</v>
      </c>
      <c r="AP128" s="28">
        <f t="shared" si="82"/>
        <v>0</v>
      </c>
      <c r="AQ128" s="17">
        <f t="shared" si="70"/>
        <v>0</v>
      </c>
      <c r="AR128" s="28">
        <f t="shared" si="83"/>
        <v>0</v>
      </c>
      <c r="AS128" s="17">
        <f t="shared" si="60"/>
        <v>0</v>
      </c>
      <c r="AT128" s="28">
        <f t="shared" si="61"/>
        <v>0</v>
      </c>
      <c r="AU128" s="17">
        <f t="shared" si="62"/>
        <v>0</v>
      </c>
      <c r="AV128" s="28">
        <f t="shared" si="63"/>
        <v>0</v>
      </c>
      <c r="AW128" s="17">
        <f t="shared" si="49"/>
        <v>0</v>
      </c>
      <c r="AX128" s="28">
        <f t="shared" si="50"/>
        <v>0</v>
      </c>
      <c r="AY128" s="17">
        <f t="shared" si="51"/>
        <v>0</v>
      </c>
      <c r="AZ128" s="28">
        <f t="shared" si="52"/>
        <v>0</v>
      </c>
      <c r="BA128" s="27">
        <f t="shared" si="56"/>
        <v>0</v>
      </c>
      <c r="BB128" s="27">
        <f t="shared" si="54"/>
        <v>0</v>
      </c>
      <c r="BC128" s="27">
        <f t="shared" si="57"/>
        <v>0</v>
      </c>
      <c r="BD128" s="27">
        <f t="shared" si="58"/>
        <v>0</v>
      </c>
      <c r="BE128" s="27">
        <f t="shared" si="59"/>
        <v>0</v>
      </c>
      <c r="BF128" s="29">
        <f t="shared" si="64"/>
        <v>0</v>
      </c>
      <c r="BH128" s="30">
        <f t="shared" si="53"/>
        <v>0</v>
      </c>
      <c r="BM128" s="2">
        <f t="shared" si="84"/>
        <v>0</v>
      </c>
      <c r="BP128" s="2">
        <f t="shared" si="85"/>
        <v>0</v>
      </c>
    </row>
    <row r="129" spans="1:68" ht="14.45" hidden="1" customHeight="1" x14ac:dyDescent="0.25">
      <c r="A129" s="33" t="s">
        <v>159</v>
      </c>
      <c r="B129" s="23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13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5"/>
      <c r="AD129" s="25">
        <f t="shared" si="80"/>
        <v>0</v>
      </c>
      <c r="AE129" s="41" t="s">
        <v>146</v>
      </c>
      <c r="AF129" s="27"/>
      <c r="AG129" s="17">
        <f t="shared" si="44"/>
        <v>0</v>
      </c>
      <c r="AH129" s="28">
        <f t="shared" si="45"/>
        <v>0</v>
      </c>
      <c r="AI129" s="17">
        <f t="shared" si="46"/>
        <v>0</v>
      </c>
      <c r="AJ129" s="28">
        <f t="shared" si="47"/>
        <v>0</v>
      </c>
      <c r="AK129" s="17">
        <f t="shared" si="55"/>
        <v>0</v>
      </c>
      <c r="AL129" s="28">
        <f t="shared" si="48"/>
        <v>0</v>
      </c>
      <c r="AM129" s="17">
        <f t="shared" si="65"/>
        <v>0</v>
      </c>
      <c r="AN129" s="28">
        <f t="shared" si="81"/>
        <v>0</v>
      </c>
      <c r="AO129" s="17">
        <f t="shared" si="68"/>
        <v>0</v>
      </c>
      <c r="AP129" s="28">
        <f t="shared" si="82"/>
        <v>0</v>
      </c>
      <c r="AQ129" s="17">
        <f t="shared" si="70"/>
        <v>0</v>
      </c>
      <c r="AR129" s="28">
        <f t="shared" si="83"/>
        <v>0</v>
      </c>
      <c r="AS129" s="17">
        <f t="shared" si="60"/>
        <v>0</v>
      </c>
      <c r="AT129" s="28">
        <f t="shared" si="61"/>
        <v>0</v>
      </c>
      <c r="AU129" s="17">
        <f t="shared" si="62"/>
        <v>0</v>
      </c>
      <c r="AV129" s="28">
        <f t="shared" si="63"/>
        <v>0</v>
      </c>
      <c r="AW129" s="17">
        <f t="shared" si="49"/>
        <v>0</v>
      </c>
      <c r="AX129" s="28">
        <f t="shared" si="50"/>
        <v>0</v>
      </c>
      <c r="AY129" s="17">
        <f t="shared" si="51"/>
        <v>0</v>
      </c>
      <c r="AZ129" s="28">
        <f t="shared" si="52"/>
        <v>0</v>
      </c>
      <c r="BA129" s="27">
        <f t="shared" si="56"/>
        <v>0</v>
      </c>
      <c r="BB129" s="27">
        <f t="shared" si="54"/>
        <v>0</v>
      </c>
      <c r="BC129" s="27">
        <f t="shared" si="57"/>
        <v>0</v>
      </c>
      <c r="BD129" s="27">
        <f t="shared" si="58"/>
        <v>0</v>
      </c>
      <c r="BE129" s="27">
        <f t="shared" si="59"/>
        <v>0</v>
      </c>
      <c r="BF129" s="29">
        <f t="shared" si="64"/>
        <v>0</v>
      </c>
      <c r="BH129" s="30">
        <f t="shared" si="53"/>
        <v>0</v>
      </c>
      <c r="BM129" s="2">
        <f t="shared" si="84"/>
        <v>0</v>
      </c>
      <c r="BP129" s="2">
        <f t="shared" si="85"/>
        <v>0</v>
      </c>
    </row>
    <row r="130" spans="1:68" ht="14.45" hidden="1" customHeight="1" x14ac:dyDescent="0.25">
      <c r="A130" s="33" t="s">
        <v>160</v>
      </c>
      <c r="B130" s="23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13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5"/>
      <c r="AD130" s="25">
        <f t="shared" si="80"/>
        <v>0</v>
      </c>
      <c r="AE130" s="41" t="s">
        <v>146</v>
      </c>
      <c r="AF130" s="27"/>
      <c r="AG130" s="17">
        <f t="shared" si="44"/>
        <v>0</v>
      </c>
      <c r="AH130" s="28">
        <f t="shared" si="45"/>
        <v>0</v>
      </c>
      <c r="AI130" s="17">
        <f t="shared" si="46"/>
        <v>0</v>
      </c>
      <c r="AJ130" s="28">
        <f t="shared" si="47"/>
        <v>0</v>
      </c>
      <c r="AK130" s="17">
        <f t="shared" si="55"/>
        <v>0</v>
      </c>
      <c r="AL130" s="28">
        <f t="shared" si="48"/>
        <v>0</v>
      </c>
      <c r="AM130" s="17">
        <f t="shared" si="65"/>
        <v>0</v>
      </c>
      <c r="AN130" s="28">
        <f t="shared" si="81"/>
        <v>0</v>
      </c>
      <c r="AO130" s="17">
        <f t="shared" si="68"/>
        <v>0</v>
      </c>
      <c r="AP130" s="28">
        <f t="shared" si="82"/>
        <v>0</v>
      </c>
      <c r="AQ130" s="17">
        <f t="shared" si="70"/>
        <v>0</v>
      </c>
      <c r="AR130" s="28">
        <f t="shared" si="83"/>
        <v>0</v>
      </c>
      <c r="AS130" s="17">
        <f t="shared" si="60"/>
        <v>0</v>
      </c>
      <c r="AT130" s="28">
        <f t="shared" si="61"/>
        <v>0</v>
      </c>
      <c r="AU130" s="17">
        <f t="shared" si="62"/>
        <v>0</v>
      </c>
      <c r="AV130" s="28">
        <f t="shared" si="63"/>
        <v>0</v>
      </c>
      <c r="AW130" s="17">
        <f t="shared" si="49"/>
        <v>0</v>
      </c>
      <c r="AX130" s="28">
        <f t="shared" si="50"/>
        <v>0</v>
      </c>
      <c r="AY130" s="17">
        <f t="shared" si="51"/>
        <v>0</v>
      </c>
      <c r="AZ130" s="28">
        <f t="shared" si="52"/>
        <v>0</v>
      </c>
      <c r="BA130" s="27">
        <f t="shared" si="56"/>
        <v>0</v>
      </c>
      <c r="BB130" s="27">
        <f t="shared" si="54"/>
        <v>0</v>
      </c>
      <c r="BC130" s="27">
        <f t="shared" si="57"/>
        <v>0</v>
      </c>
      <c r="BD130" s="27">
        <f t="shared" si="58"/>
        <v>0</v>
      </c>
      <c r="BE130" s="27">
        <f t="shared" si="59"/>
        <v>0</v>
      </c>
      <c r="BF130" s="29">
        <f t="shared" si="64"/>
        <v>0</v>
      </c>
      <c r="BH130" s="30">
        <f t="shared" si="53"/>
        <v>0</v>
      </c>
      <c r="BM130" s="2">
        <f t="shared" si="84"/>
        <v>0</v>
      </c>
      <c r="BP130" s="2">
        <f t="shared" si="85"/>
        <v>0</v>
      </c>
    </row>
    <row r="131" spans="1:68" ht="14.45" hidden="1" customHeight="1" x14ac:dyDescent="0.25">
      <c r="A131" s="33" t="s">
        <v>161</v>
      </c>
      <c r="B131" s="2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13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5"/>
      <c r="AD131" s="25">
        <f t="shared" si="80"/>
        <v>0</v>
      </c>
      <c r="AE131" s="41" t="s">
        <v>146</v>
      </c>
      <c r="AF131" s="27"/>
      <c r="AG131" s="17">
        <f t="shared" si="44"/>
        <v>0</v>
      </c>
      <c r="AH131" s="28">
        <f t="shared" si="45"/>
        <v>0</v>
      </c>
      <c r="AI131" s="17">
        <f t="shared" si="46"/>
        <v>0</v>
      </c>
      <c r="AJ131" s="28">
        <f t="shared" si="47"/>
        <v>0</v>
      </c>
      <c r="AK131" s="17">
        <f t="shared" si="55"/>
        <v>0</v>
      </c>
      <c r="AL131" s="28">
        <f t="shared" si="48"/>
        <v>0</v>
      </c>
      <c r="AM131" s="17">
        <f t="shared" si="65"/>
        <v>0</v>
      </c>
      <c r="AN131" s="28">
        <f t="shared" si="81"/>
        <v>0</v>
      </c>
      <c r="AO131" s="17">
        <f t="shared" si="68"/>
        <v>0</v>
      </c>
      <c r="AP131" s="28">
        <f t="shared" si="82"/>
        <v>0</v>
      </c>
      <c r="AQ131" s="17">
        <f t="shared" si="70"/>
        <v>0</v>
      </c>
      <c r="AR131" s="28">
        <f t="shared" si="83"/>
        <v>0</v>
      </c>
      <c r="AS131" s="17">
        <f t="shared" si="60"/>
        <v>0</v>
      </c>
      <c r="AT131" s="28">
        <f t="shared" si="61"/>
        <v>0</v>
      </c>
      <c r="AU131" s="17">
        <f t="shared" si="62"/>
        <v>0</v>
      </c>
      <c r="AV131" s="28">
        <f t="shared" si="63"/>
        <v>0</v>
      </c>
      <c r="AW131" s="17">
        <f t="shared" si="49"/>
        <v>0</v>
      </c>
      <c r="AX131" s="28">
        <f t="shared" si="50"/>
        <v>0</v>
      </c>
      <c r="AY131" s="17">
        <f t="shared" si="51"/>
        <v>0</v>
      </c>
      <c r="AZ131" s="28">
        <f t="shared" si="52"/>
        <v>0</v>
      </c>
      <c r="BA131" s="27">
        <f t="shared" si="56"/>
        <v>0</v>
      </c>
      <c r="BB131" s="27">
        <f t="shared" si="54"/>
        <v>0</v>
      </c>
      <c r="BC131" s="27">
        <f t="shared" si="57"/>
        <v>0</v>
      </c>
      <c r="BD131" s="27">
        <f t="shared" si="58"/>
        <v>0</v>
      </c>
      <c r="BE131" s="27">
        <f t="shared" si="59"/>
        <v>0</v>
      </c>
      <c r="BF131" s="29">
        <f t="shared" si="64"/>
        <v>0</v>
      </c>
      <c r="BH131" s="30">
        <f t="shared" si="53"/>
        <v>0</v>
      </c>
      <c r="BM131" s="2">
        <f t="shared" si="84"/>
        <v>0</v>
      </c>
      <c r="BP131" s="2">
        <f t="shared" si="85"/>
        <v>0</v>
      </c>
    </row>
    <row r="132" spans="1:68" ht="14.45" hidden="1" customHeight="1" x14ac:dyDescent="0.25">
      <c r="A132" s="33" t="s">
        <v>162</v>
      </c>
      <c r="B132" s="23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13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5"/>
      <c r="AD132" s="25">
        <f t="shared" si="80"/>
        <v>0</v>
      </c>
      <c r="AE132" s="41" t="s">
        <v>146</v>
      </c>
      <c r="AF132" s="27"/>
      <c r="AG132" s="17">
        <f t="shared" si="44"/>
        <v>0</v>
      </c>
      <c r="AH132" s="28">
        <f t="shared" si="45"/>
        <v>0</v>
      </c>
      <c r="AI132" s="17">
        <f t="shared" si="46"/>
        <v>0</v>
      </c>
      <c r="AJ132" s="28">
        <f t="shared" si="47"/>
        <v>0</v>
      </c>
      <c r="AK132" s="17">
        <f t="shared" si="55"/>
        <v>0</v>
      </c>
      <c r="AL132" s="28">
        <f t="shared" si="48"/>
        <v>0</v>
      </c>
      <c r="AM132" s="17">
        <f t="shared" si="65"/>
        <v>0</v>
      </c>
      <c r="AN132" s="28">
        <f t="shared" si="81"/>
        <v>0</v>
      </c>
      <c r="AO132" s="17">
        <f t="shared" si="68"/>
        <v>0</v>
      </c>
      <c r="AP132" s="28">
        <f t="shared" si="82"/>
        <v>0</v>
      </c>
      <c r="AQ132" s="17">
        <f t="shared" si="70"/>
        <v>0</v>
      </c>
      <c r="AR132" s="28">
        <f t="shared" si="83"/>
        <v>0</v>
      </c>
      <c r="AS132" s="17">
        <f t="shared" si="60"/>
        <v>0</v>
      </c>
      <c r="AT132" s="28">
        <f t="shared" si="61"/>
        <v>0</v>
      </c>
      <c r="AU132" s="17">
        <f t="shared" si="62"/>
        <v>0</v>
      </c>
      <c r="AV132" s="28">
        <f t="shared" si="63"/>
        <v>0</v>
      </c>
      <c r="AW132" s="17">
        <f t="shared" si="49"/>
        <v>0</v>
      </c>
      <c r="AX132" s="28">
        <f t="shared" si="50"/>
        <v>0</v>
      </c>
      <c r="AY132" s="17">
        <f t="shared" si="51"/>
        <v>0</v>
      </c>
      <c r="AZ132" s="28">
        <f t="shared" si="52"/>
        <v>0</v>
      </c>
      <c r="BA132" s="27">
        <f t="shared" si="56"/>
        <v>0</v>
      </c>
      <c r="BB132" s="27">
        <f t="shared" si="54"/>
        <v>0</v>
      </c>
      <c r="BC132" s="27">
        <f t="shared" si="57"/>
        <v>0</v>
      </c>
      <c r="BD132" s="27">
        <f t="shared" si="58"/>
        <v>0</v>
      </c>
      <c r="BE132" s="27">
        <f t="shared" si="59"/>
        <v>0</v>
      </c>
      <c r="BF132" s="29">
        <f t="shared" si="64"/>
        <v>0</v>
      </c>
      <c r="BH132" s="30">
        <f t="shared" si="53"/>
        <v>0</v>
      </c>
      <c r="BM132" s="2">
        <f t="shared" si="84"/>
        <v>0</v>
      </c>
      <c r="BP132" s="2">
        <f t="shared" si="85"/>
        <v>0</v>
      </c>
    </row>
    <row r="133" spans="1:68" ht="14.45" hidden="1" customHeight="1" x14ac:dyDescent="0.25">
      <c r="A133" s="33" t="s">
        <v>163</v>
      </c>
      <c r="B133" s="2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13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5"/>
      <c r="AD133" s="25">
        <f t="shared" si="80"/>
        <v>0</v>
      </c>
      <c r="AE133" s="41" t="s">
        <v>146</v>
      </c>
      <c r="AF133" s="27"/>
      <c r="AG133" s="17">
        <f t="shared" si="44"/>
        <v>0</v>
      </c>
      <c r="AH133" s="28">
        <f t="shared" si="45"/>
        <v>0</v>
      </c>
      <c r="AI133" s="17">
        <f t="shared" si="46"/>
        <v>0</v>
      </c>
      <c r="AJ133" s="28">
        <f t="shared" si="47"/>
        <v>0</v>
      </c>
      <c r="AK133" s="17">
        <f t="shared" si="55"/>
        <v>0</v>
      </c>
      <c r="AL133" s="28">
        <f t="shared" si="48"/>
        <v>0</v>
      </c>
      <c r="AM133" s="17">
        <f t="shared" si="65"/>
        <v>0</v>
      </c>
      <c r="AN133" s="28">
        <f t="shared" si="81"/>
        <v>0</v>
      </c>
      <c r="AO133" s="17">
        <f t="shared" si="68"/>
        <v>0</v>
      </c>
      <c r="AP133" s="28">
        <f t="shared" si="82"/>
        <v>0</v>
      </c>
      <c r="AQ133" s="17">
        <f t="shared" si="70"/>
        <v>0</v>
      </c>
      <c r="AR133" s="28">
        <f t="shared" si="83"/>
        <v>0</v>
      </c>
      <c r="AS133" s="17">
        <f t="shared" si="60"/>
        <v>0</v>
      </c>
      <c r="AT133" s="28">
        <f t="shared" si="61"/>
        <v>0</v>
      </c>
      <c r="AU133" s="17">
        <f t="shared" si="62"/>
        <v>0</v>
      </c>
      <c r="AV133" s="28">
        <f t="shared" si="63"/>
        <v>0</v>
      </c>
      <c r="AW133" s="17">
        <f t="shared" si="49"/>
        <v>0</v>
      </c>
      <c r="AX133" s="28">
        <f t="shared" si="50"/>
        <v>0</v>
      </c>
      <c r="AY133" s="17">
        <f t="shared" si="51"/>
        <v>0</v>
      </c>
      <c r="AZ133" s="28">
        <f t="shared" si="52"/>
        <v>0</v>
      </c>
      <c r="BA133" s="27">
        <f t="shared" si="56"/>
        <v>0</v>
      </c>
      <c r="BB133" s="27">
        <f t="shared" si="54"/>
        <v>0</v>
      </c>
      <c r="BC133" s="27">
        <f t="shared" si="57"/>
        <v>0</v>
      </c>
      <c r="BD133" s="27">
        <f t="shared" si="58"/>
        <v>0</v>
      </c>
      <c r="BE133" s="27">
        <f t="shared" si="59"/>
        <v>0</v>
      </c>
      <c r="BF133" s="29">
        <f t="shared" si="64"/>
        <v>0</v>
      </c>
      <c r="BH133" s="30">
        <f t="shared" si="53"/>
        <v>0</v>
      </c>
      <c r="BM133" s="2">
        <f t="shared" si="84"/>
        <v>0</v>
      </c>
      <c r="BP133" s="2">
        <f t="shared" si="85"/>
        <v>0</v>
      </c>
    </row>
    <row r="134" spans="1:68" ht="14.45" hidden="1" customHeight="1" x14ac:dyDescent="0.25">
      <c r="A134" s="33" t="s">
        <v>164</v>
      </c>
      <c r="B134" s="23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13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5"/>
      <c r="AD134" s="25">
        <f t="shared" si="80"/>
        <v>0</v>
      </c>
      <c r="AE134" s="41" t="s">
        <v>146</v>
      </c>
      <c r="AF134" s="27"/>
      <c r="AG134" s="17">
        <f t="shared" si="44"/>
        <v>0</v>
      </c>
      <c r="AH134" s="28">
        <f t="shared" si="45"/>
        <v>0</v>
      </c>
      <c r="AI134" s="17">
        <f t="shared" si="46"/>
        <v>0</v>
      </c>
      <c r="AJ134" s="28">
        <f t="shared" si="47"/>
        <v>0</v>
      </c>
      <c r="AK134" s="17">
        <f t="shared" si="55"/>
        <v>0</v>
      </c>
      <c r="AL134" s="28">
        <f t="shared" si="48"/>
        <v>0</v>
      </c>
      <c r="AM134" s="17">
        <f t="shared" si="65"/>
        <v>0</v>
      </c>
      <c r="AN134" s="28">
        <f t="shared" si="81"/>
        <v>0</v>
      </c>
      <c r="AO134" s="17">
        <f t="shared" si="68"/>
        <v>0</v>
      </c>
      <c r="AP134" s="28">
        <f t="shared" si="82"/>
        <v>0</v>
      </c>
      <c r="AQ134" s="17">
        <f t="shared" si="70"/>
        <v>0</v>
      </c>
      <c r="AR134" s="28">
        <f t="shared" si="83"/>
        <v>0</v>
      </c>
      <c r="AS134" s="17">
        <f t="shared" si="60"/>
        <v>0</v>
      </c>
      <c r="AT134" s="28">
        <f t="shared" si="61"/>
        <v>0</v>
      </c>
      <c r="AU134" s="17">
        <f t="shared" si="62"/>
        <v>0</v>
      </c>
      <c r="AV134" s="28">
        <f t="shared" si="63"/>
        <v>0</v>
      </c>
      <c r="AW134" s="17">
        <f t="shared" si="49"/>
        <v>0</v>
      </c>
      <c r="AX134" s="28">
        <f t="shared" si="50"/>
        <v>0</v>
      </c>
      <c r="AY134" s="17">
        <f t="shared" si="51"/>
        <v>0</v>
      </c>
      <c r="AZ134" s="28">
        <f t="shared" si="52"/>
        <v>0</v>
      </c>
      <c r="BA134" s="27">
        <f t="shared" si="56"/>
        <v>0</v>
      </c>
      <c r="BB134" s="27">
        <f t="shared" si="54"/>
        <v>0</v>
      </c>
      <c r="BC134" s="27">
        <f t="shared" si="57"/>
        <v>0</v>
      </c>
      <c r="BD134" s="27">
        <f t="shared" si="58"/>
        <v>0</v>
      </c>
      <c r="BE134" s="27">
        <f t="shared" si="59"/>
        <v>0</v>
      </c>
      <c r="BF134" s="29">
        <f t="shared" si="64"/>
        <v>0</v>
      </c>
      <c r="BH134" s="30">
        <f t="shared" si="53"/>
        <v>0</v>
      </c>
      <c r="BM134" s="2">
        <f t="shared" si="84"/>
        <v>0</v>
      </c>
      <c r="BP134" s="2">
        <f t="shared" si="85"/>
        <v>0</v>
      </c>
    </row>
    <row r="135" spans="1:68" ht="14.45" hidden="1" customHeight="1" x14ac:dyDescent="0.25">
      <c r="A135" s="33" t="s">
        <v>165</v>
      </c>
      <c r="B135" s="23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13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5"/>
      <c r="AD135" s="25">
        <f t="shared" si="80"/>
        <v>0</v>
      </c>
      <c r="AE135" s="41" t="s">
        <v>146</v>
      </c>
      <c r="AF135" s="27"/>
      <c r="AG135" s="17">
        <f t="shared" si="44"/>
        <v>0</v>
      </c>
      <c r="AH135" s="28">
        <f t="shared" si="45"/>
        <v>0</v>
      </c>
      <c r="AI135" s="17">
        <f t="shared" si="46"/>
        <v>0</v>
      </c>
      <c r="AJ135" s="28">
        <f t="shared" si="47"/>
        <v>0</v>
      </c>
      <c r="AK135" s="17">
        <f t="shared" si="55"/>
        <v>0</v>
      </c>
      <c r="AL135" s="28">
        <f t="shared" si="48"/>
        <v>0</v>
      </c>
      <c r="AM135" s="17">
        <f t="shared" si="65"/>
        <v>0</v>
      </c>
      <c r="AN135" s="28">
        <f t="shared" si="81"/>
        <v>0</v>
      </c>
      <c r="AO135" s="17">
        <f t="shared" si="68"/>
        <v>0</v>
      </c>
      <c r="AP135" s="28">
        <f t="shared" si="82"/>
        <v>0</v>
      </c>
      <c r="AQ135" s="17">
        <f t="shared" si="70"/>
        <v>0</v>
      </c>
      <c r="AR135" s="28">
        <f t="shared" si="83"/>
        <v>0</v>
      </c>
      <c r="AS135" s="17">
        <f t="shared" si="60"/>
        <v>0</v>
      </c>
      <c r="AT135" s="28">
        <f t="shared" si="61"/>
        <v>0</v>
      </c>
      <c r="AU135" s="17">
        <f t="shared" si="62"/>
        <v>0</v>
      </c>
      <c r="AV135" s="28">
        <f t="shared" si="63"/>
        <v>0</v>
      </c>
      <c r="AW135" s="17">
        <f t="shared" si="49"/>
        <v>0</v>
      </c>
      <c r="AX135" s="28">
        <f t="shared" si="50"/>
        <v>0</v>
      </c>
      <c r="AY135" s="17">
        <f t="shared" si="51"/>
        <v>0</v>
      </c>
      <c r="AZ135" s="28">
        <f t="shared" si="52"/>
        <v>0</v>
      </c>
      <c r="BA135" s="27">
        <f t="shared" si="56"/>
        <v>0</v>
      </c>
      <c r="BB135" s="27">
        <f t="shared" si="54"/>
        <v>0</v>
      </c>
      <c r="BC135" s="27">
        <f t="shared" si="57"/>
        <v>0</v>
      </c>
      <c r="BD135" s="27">
        <f t="shared" si="58"/>
        <v>0</v>
      </c>
      <c r="BE135" s="27">
        <f t="shared" si="59"/>
        <v>0</v>
      </c>
      <c r="BF135" s="29">
        <f t="shared" si="64"/>
        <v>0</v>
      </c>
      <c r="BH135" s="30">
        <f t="shared" si="53"/>
        <v>0</v>
      </c>
      <c r="BM135" s="2">
        <f t="shared" si="84"/>
        <v>0</v>
      </c>
      <c r="BP135" s="2">
        <f t="shared" si="85"/>
        <v>0</v>
      </c>
    </row>
    <row r="136" spans="1:68" ht="14.45" hidden="1" customHeight="1" x14ac:dyDescent="0.25">
      <c r="A136" s="33" t="s">
        <v>166</v>
      </c>
      <c r="B136" s="2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13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5"/>
      <c r="AD136" s="25">
        <f t="shared" si="80"/>
        <v>0</v>
      </c>
      <c r="AE136" s="41" t="s">
        <v>146</v>
      </c>
      <c r="AF136" s="27"/>
      <c r="AG136" s="17">
        <f t="shared" ref="AG136:AG199" si="86">SUM(F136:L136)-G136</f>
        <v>0</v>
      </c>
      <c r="AH136" s="28">
        <f t="shared" ref="AH136:AH199" si="87">+AG136*AF136</f>
        <v>0</v>
      </c>
      <c r="AI136" s="17">
        <f t="shared" ref="AI136:AI199" si="88">SUM(T136:Y136)-U136</f>
        <v>0</v>
      </c>
      <c r="AJ136" s="28">
        <f t="shared" ref="AJ136:AJ199" si="89">+AI136*AF136</f>
        <v>0</v>
      </c>
      <c r="AK136" s="17">
        <f t="shared" si="55"/>
        <v>0</v>
      </c>
      <c r="AL136" s="28">
        <f t="shared" ref="AL136:AL199" si="90">+AK136*AF136</f>
        <v>0</v>
      </c>
      <c r="AM136" s="17">
        <f t="shared" si="65"/>
        <v>0</v>
      </c>
      <c r="AN136" s="28">
        <f t="shared" si="81"/>
        <v>0</v>
      </c>
      <c r="AO136" s="17">
        <f t="shared" si="68"/>
        <v>0</v>
      </c>
      <c r="AP136" s="28">
        <f t="shared" si="82"/>
        <v>0</v>
      </c>
      <c r="AQ136" s="17">
        <f t="shared" si="70"/>
        <v>0</v>
      </c>
      <c r="AR136" s="28">
        <f t="shared" si="83"/>
        <v>0</v>
      </c>
      <c r="AS136" s="17">
        <f t="shared" si="60"/>
        <v>0</v>
      </c>
      <c r="AT136" s="28">
        <f t="shared" si="61"/>
        <v>0</v>
      </c>
      <c r="AU136" s="17">
        <f t="shared" si="62"/>
        <v>0</v>
      </c>
      <c r="AV136" s="28">
        <f t="shared" si="63"/>
        <v>0</v>
      </c>
      <c r="AW136" s="17">
        <f t="shared" ref="AW136:AW199" si="91">+D136</f>
        <v>0</v>
      </c>
      <c r="AX136" s="28">
        <f t="shared" ref="AX136:AX199" si="92">+AW136*AF136</f>
        <v>0</v>
      </c>
      <c r="AY136" s="17">
        <f t="shared" ref="AY136:AY199" si="93">+R136</f>
        <v>0</v>
      </c>
      <c r="AZ136" s="28">
        <f t="shared" ref="AZ136:AZ199" si="94">+AY136*AF136</f>
        <v>0</v>
      </c>
      <c r="BA136" s="27">
        <f t="shared" si="56"/>
        <v>0</v>
      </c>
      <c r="BB136" s="27">
        <f t="shared" si="54"/>
        <v>0</v>
      </c>
      <c r="BC136" s="27">
        <f t="shared" si="57"/>
        <v>0</v>
      </c>
      <c r="BD136" s="27">
        <f t="shared" si="58"/>
        <v>0</v>
      </c>
      <c r="BE136" s="27">
        <f t="shared" si="59"/>
        <v>0</v>
      </c>
      <c r="BF136" s="29">
        <f t="shared" si="64"/>
        <v>0</v>
      </c>
      <c r="BH136" s="30">
        <f t="shared" ref="BH136:BH199" si="95">+B136+C136+E136+G136+M136+N136+O136+(P136+Q136+S136+U136+Z136+AA136+AB136)</f>
        <v>0</v>
      </c>
      <c r="BM136" s="2">
        <f t="shared" si="84"/>
        <v>0</v>
      </c>
      <c r="BP136" s="2">
        <f t="shared" si="85"/>
        <v>0</v>
      </c>
    </row>
    <row r="137" spans="1:68" ht="14.45" hidden="1" customHeight="1" x14ac:dyDescent="0.25">
      <c r="A137" s="33" t="s">
        <v>167</v>
      </c>
      <c r="B137" s="2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13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5"/>
      <c r="AD137" s="25">
        <f t="shared" si="80"/>
        <v>0</v>
      </c>
      <c r="AE137" s="41" t="s">
        <v>146</v>
      </c>
      <c r="AF137" s="27"/>
      <c r="AG137" s="17">
        <f t="shared" si="86"/>
        <v>0</v>
      </c>
      <c r="AH137" s="28">
        <f t="shared" si="87"/>
        <v>0</v>
      </c>
      <c r="AI137" s="17">
        <f t="shared" si="88"/>
        <v>0</v>
      </c>
      <c r="AJ137" s="28">
        <f t="shared" si="89"/>
        <v>0</v>
      </c>
      <c r="AK137" s="17">
        <f t="shared" si="55"/>
        <v>0</v>
      </c>
      <c r="AL137" s="28">
        <f t="shared" si="90"/>
        <v>0</v>
      </c>
      <c r="AM137" s="17">
        <f t="shared" si="65"/>
        <v>0</v>
      </c>
      <c r="AN137" s="28">
        <f t="shared" si="81"/>
        <v>0</v>
      </c>
      <c r="AO137" s="17">
        <f t="shared" si="68"/>
        <v>0</v>
      </c>
      <c r="AP137" s="28">
        <f t="shared" si="82"/>
        <v>0</v>
      </c>
      <c r="AQ137" s="17">
        <f t="shared" si="70"/>
        <v>0</v>
      </c>
      <c r="AR137" s="28">
        <f t="shared" si="83"/>
        <v>0</v>
      </c>
      <c r="AS137" s="17">
        <f t="shared" si="60"/>
        <v>0</v>
      </c>
      <c r="AT137" s="28">
        <f t="shared" si="61"/>
        <v>0</v>
      </c>
      <c r="AU137" s="17">
        <f t="shared" si="62"/>
        <v>0</v>
      </c>
      <c r="AV137" s="28">
        <f t="shared" si="63"/>
        <v>0</v>
      </c>
      <c r="AW137" s="17">
        <f t="shared" si="91"/>
        <v>0</v>
      </c>
      <c r="AX137" s="28">
        <f t="shared" si="92"/>
        <v>0</v>
      </c>
      <c r="AY137" s="17">
        <f t="shared" si="93"/>
        <v>0</v>
      </c>
      <c r="AZ137" s="28">
        <f t="shared" si="94"/>
        <v>0</v>
      </c>
      <c r="BA137" s="27">
        <f t="shared" si="56"/>
        <v>0</v>
      </c>
      <c r="BB137" s="27">
        <f t="shared" ref="BB137:BB200" si="96">+AL137+AN137</f>
        <v>0</v>
      </c>
      <c r="BC137" s="27">
        <f t="shared" si="57"/>
        <v>0</v>
      </c>
      <c r="BD137" s="27">
        <f t="shared" si="58"/>
        <v>0</v>
      </c>
      <c r="BE137" s="27">
        <f t="shared" si="59"/>
        <v>0</v>
      </c>
      <c r="BF137" s="29">
        <f t="shared" si="64"/>
        <v>0</v>
      </c>
      <c r="BH137" s="30">
        <f t="shared" si="95"/>
        <v>0</v>
      </c>
      <c r="BM137" s="2">
        <f t="shared" si="84"/>
        <v>0</v>
      </c>
      <c r="BP137" s="2">
        <f t="shared" si="85"/>
        <v>0</v>
      </c>
    </row>
    <row r="138" spans="1:68" ht="14.45" hidden="1" customHeight="1" x14ac:dyDescent="0.25">
      <c r="A138" s="33" t="s">
        <v>168</v>
      </c>
      <c r="B138" s="23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13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5"/>
      <c r="AD138" s="25">
        <f t="shared" si="80"/>
        <v>0</v>
      </c>
      <c r="AE138" s="41" t="s">
        <v>146</v>
      </c>
      <c r="AF138" s="27"/>
      <c r="AG138" s="17">
        <f t="shared" si="86"/>
        <v>0</v>
      </c>
      <c r="AH138" s="28">
        <f t="shared" si="87"/>
        <v>0</v>
      </c>
      <c r="AI138" s="17">
        <f t="shared" si="88"/>
        <v>0</v>
      </c>
      <c r="AJ138" s="28">
        <f t="shared" si="89"/>
        <v>0</v>
      </c>
      <c r="AK138" s="17">
        <f t="shared" ref="AK138:AK201" si="97">+N138+O138+G138</f>
        <v>0</v>
      </c>
      <c r="AL138" s="28">
        <f t="shared" si="90"/>
        <v>0</v>
      </c>
      <c r="AM138" s="17">
        <f t="shared" si="65"/>
        <v>0</v>
      </c>
      <c r="AN138" s="28">
        <f t="shared" si="81"/>
        <v>0</v>
      </c>
      <c r="AO138" s="17">
        <f t="shared" si="68"/>
        <v>0</v>
      </c>
      <c r="AP138" s="28">
        <f t="shared" si="82"/>
        <v>0</v>
      </c>
      <c r="AQ138" s="17">
        <f t="shared" si="70"/>
        <v>0</v>
      </c>
      <c r="AR138" s="28">
        <f t="shared" si="83"/>
        <v>0</v>
      </c>
      <c r="AS138" s="17">
        <f t="shared" si="60"/>
        <v>0</v>
      </c>
      <c r="AT138" s="28">
        <f t="shared" si="61"/>
        <v>0</v>
      </c>
      <c r="AU138" s="17">
        <f t="shared" si="62"/>
        <v>0</v>
      </c>
      <c r="AV138" s="28">
        <f t="shared" si="63"/>
        <v>0</v>
      </c>
      <c r="AW138" s="17">
        <f t="shared" si="91"/>
        <v>0</v>
      </c>
      <c r="AX138" s="28">
        <f t="shared" si="92"/>
        <v>0</v>
      </c>
      <c r="AY138" s="17">
        <f t="shared" si="93"/>
        <v>0</v>
      </c>
      <c r="AZ138" s="28">
        <f t="shared" si="94"/>
        <v>0</v>
      </c>
      <c r="BA138" s="27">
        <f t="shared" si="56"/>
        <v>0</v>
      </c>
      <c r="BB138" s="27">
        <f t="shared" si="96"/>
        <v>0</v>
      </c>
      <c r="BC138" s="27">
        <f t="shared" ref="BC138:BC201" si="98">+AP138+AR138</f>
        <v>0</v>
      </c>
      <c r="BD138" s="27">
        <f t="shared" ref="BD138:BD201" si="99">+AT138+AV138</f>
        <v>0</v>
      </c>
      <c r="BE138" s="27">
        <f t="shared" ref="BE138:BE201" si="100">+AX138+AZ138</f>
        <v>0</v>
      </c>
      <c r="BF138" s="29">
        <f t="shared" si="64"/>
        <v>0</v>
      </c>
      <c r="BH138" s="30">
        <f t="shared" si="95"/>
        <v>0</v>
      </c>
      <c r="BM138" s="2">
        <f t="shared" si="84"/>
        <v>0</v>
      </c>
      <c r="BP138" s="2">
        <f t="shared" si="85"/>
        <v>0</v>
      </c>
    </row>
    <row r="139" spans="1:68" ht="14.45" hidden="1" customHeight="1" x14ac:dyDescent="0.25">
      <c r="A139" s="33" t="s">
        <v>169</v>
      </c>
      <c r="B139" s="23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13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5"/>
      <c r="AD139" s="25">
        <f t="shared" si="80"/>
        <v>0</v>
      </c>
      <c r="AE139" s="41" t="s">
        <v>146</v>
      </c>
      <c r="AF139" s="27"/>
      <c r="AG139" s="17">
        <f t="shared" si="86"/>
        <v>0</v>
      </c>
      <c r="AH139" s="28">
        <f t="shared" si="87"/>
        <v>0</v>
      </c>
      <c r="AI139" s="17">
        <f t="shared" si="88"/>
        <v>0</v>
      </c>
      <c r="AJ139" s="28">
        <f t="shared" si="89"/>
        <v>0</v>
      </c>
      <c r="AK139" s="17">
        <f t="shared" si="97"/>
        <v>0</v>
      </c>
      <c r="AL139" s="28">
        <f t="shared" si="90"/>
        <v>0</v>
      </c>
      <c r="AM139" s="17">
        <f t="shared" si="65"/>
        <v>0</v>
      </c>
      <c r="AN139" s="28">
        <f t="shared" si="81"/>
        <v>0</v>
      </c>
      <c r="AO139" s="17">
        <f t="shared" si="68"/>
        <v>0</v>
      </c>
      <c r="AP139" s="28">
        <f t="shared" si="82"/>
        <v>0</v>
      </c>
      <c r="AQ139" s="17">
        <f t="shared" si="70"/>
        <v>0</v>
      </c>
      <c r="AR139" s="28">
        <f t="shared" si="83"/>
        <v>0</v>
      </c>
      <c r="AS139" s="17">
        <f t="shared" ref="AS139:AS202" si="101">+C139</f>
        <v>0</v>
      </c>
      <c r="AT139" s="28">
        <f t="shared" ref="AT139:AT202" si="102">+AS139*AF139</f>
        <v>0</v>
      </c>
      <c r="AU139" s="17">
        <f t="shared" ref="AU139:AU202" si="103">+Q139</f>
        <v>0</v>
      </c>
      <c r="AV139" s="28">
        <f t="shared" ref="AV139:AV202" si="104">+AU139*AF139</f>
        <v>0</v>
      </c>
      <c r="AW139" s="17">
        <f t="shared" si="91"/>
        <v>0</v>
      </c>
      <c r="AX139" s="28">
        <f t="shared" si="92"/>
        <v>0</v>
      </c>
      <c r="AY139" s="17">
        <f t="shared" si="93"/>
        <v>0</v>
      </c>
      <c r="AZ139" s="28">
        <f t="shared" si="94"/>
        <v>0</v>
      </c>
      <c r="BA139" s="27">
        <f t="shared" si="56"/>
        <v>0</v>
      </c>
      <c r="BB139" s="27">
        <f t="shared" si="96"/>
        <v>0</v>
      </c>
      <c r="BC139" s="27">
        <f t="shared" si="98"/>
        <v>0</v>
      </c>
      <c r="BD139" s="27">
        <f t="shared" si="99"/>
        <v>0</v>
      </c>
      <c r="BE139" s="27">
        <f t="shared" si="100"/>
        <v>0</v>
      </c>
      <c r="BF139" s="29">
        <f t="shared" si="64"/>
        <v>0</v>
      </c>
      <c r="BH139" s="30">
        <f t="shared" si="95"/>
        <v>0</v>
      </c>
      <c r="BM139" s="2">
        <f t="shared" si="84"/>
        <v>0</v>
      </c>
      <c r="BP139" s="2">
        <f t="shared" si="85"/>
        <v>0</v>
      </c>
    </row>
    <row r="140" spans="1:68" ht="14.45" hidden="1" customHeight="1" x14ac:dyDescent="0.25">
      <c r="A140" s="33" t="s">
        <v>170</v>
      </c>
      <c r="B140" s="2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13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5"/>
      <c r="AD140" s="25">
        <f t="shared" si="80"/>
        <v>0</v>
      </c>
      <c r="AE140" s="41" t="s">
        <v>146</v>
      </c>
      <c r="AF140" s="27"/>
      <c r="AG140" s="17">
        <f t="shared" si="86"/>
        <v>0</v>
      </c>
      <c r="AH140" s="28">
        <f t="shared" si="87"/>
        <v>0</v>
      </c>
      <c r="AI140" s="17">
        <f t="shared" si="88"/>
        <v>0</v>
      </c>
      <c r="AJ140" s="28">
        <f t="shared" si="89"/>
        <v>0</v>
      </c>
      <c r="AK140" s="17">
        <f t="shared" si="97"/>
        <v>0</v>
      </c>
      <c r="AL140" s="28">
        <f t="shared" si="90"/>
        <v>0</v>
      </c>
      <c r="AM140" s="17">
        <f t="shared" ref="AM140:AM203" si="105">+AA140+AB140+U140</f>
        <v>0</v>
      </c>
      <c r="AN140" s="28">
        <f t="shared" si="81"/>
        <v>0</v>
      </c>
      <c r="AO140" s="17">
        <f t="shared" si="68"/>
        <v>0</v>
      </c>
      <c r="AP140" s="28">
        <f t="shared" si="82"/>
        <v>0</v>
      </c>
      <c r="AQ140" s="17">
        <f t="shared" si="70"/>
        <v>0</v>
      </c>
      <c r="AR140" s="28">
        <f t="shared" si="83"/>
        <v>0</v>
      </c>
      <c r="AS140" s="17">
        <f t="shared" si="101"/>
        <v>0</v>
      </c>
      <c r="AT140" s="28">
        <f t="shared" si="102"/>
        <v>0</v>
      </c>
      <c r="AU140" s="17">
        <f t="shared" si="103"/>
        <v>0</v>
      </c>
      <c r="AV140" s="28">
        <f t="shared" si="104"/>
        <v>0</v>
      </c>
      <c r="AW140" s="17">
        <f t="shared" si="91"/>
        <v>0</v>
      </c>
      <c r="AX140" s="28">
        <f t="shared" si="92"/>
        <v>0</v>
      </c>
      <c r="AY140" s="17">
        <f t="shared" si="93"/>
        <v>0</v>
      </c>
      <c r="AZ140" s="28">
        <f t="shared" si="94"/>
        <v>0</v>
      </c>
      <c r="BA140" s="27">
        <f t="shared" ref="BA140:BA210" si="106">+AH140+AJ140</f>
        <v>0</v>
      </c>
      <c r="BB140" s="27">
        <f t="shared" si="96"/>
        <v>0</v>
      </c>
      <c r="BC140" s="27">
        <f t="shared" si="98"/>
        <v>0</v>
      </c>
      <c r="BD140" s="27">
        <f t="shared" si="99"/>
        <v>0</v>
      </c>
      <c r="BE140" s="27">
        <f t="shared" si="100"/>
        <v>0</v>
      </c>
      <c r="BF140" s="29">
        <f t="shared" si="64"/>
        <v>0</v>
      </c>
      <c r="BH140" s="30">
        <f t="shared" si="95"/>
        <v>0</v>
      </c>
      <c r="BM140" s="2">
        <f t="shared" si="84"/>
        <v>0</v>
      </c>
      <c r="BP140" s="2">
        <f t="shared" si="85"/>
        <v>0</v>
      </c>
    </row>
    <row r="141" spans="1:68" ht="14.45" hidden="1" customHeight="1" x14ac:dyDescent="0.25">
      <c r="A141" s="33" t="s">
        <v>171</v>
      </c>
      <c r="B141" s="23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13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5"/>
      <c r="AD141" s="25">
        <f t="shared" si="80"/>
        <v>0</v>
      </c>
      <c r="AE141" s="41" t="s">
        <v>146</v>
      </c>
      <c r="AF141" s="27"/>
      <c r="AG141" s="17">
        <f t="shared" si="86"/>
        <v>0</v>
      </c>
      <c r="AH141" s="28">
        <f t="shared" si="87"/>
        <v>0</v>
      </c>
      <c r="AI141" s="17">
        <f t="shared" si="88"/>
        <v>0</v>
      </c>
      <c r="AJ141" s="28">
        <f t="shared" si="89"/>
        <v>0</v>
      </c>
      <c r="AK141" s="17">
        <f t="shared" si="97"/>
        <v>0</v>
      </c>
      <c r="AL141" s="28">
        <f t="shared" si="90"/>
        <v>0</v>
      </c>
      <c r="AM141" s="17">
        <f t="shared" si="105"/>
        <v>0</v>
      </c>
      <c r="AN141" s="28">
        <f t="shared" si="81"/>
        <v>0</v>
      </c>
      <c r="AO141" s="17">
        <f t="shared" si="68"/>
        <v>0</v>
      </c>
      <c r="AP141" s="28">
        <f t="shared" si="82"/>
        <v>0</v>
      </c>
      <c r="AQ141" s="17">
        <f t="shared" si="70"/>
        <v>0</v>
      </c>
      <c r="AR141" s="28">
        <f t="shared" si="83"/>
        <v>0</v>
      </c>
      <c r="AS141" s="17">
        <f t="shared" si="101"/>
        <v>0</v>
      </c>
      <c r="AT141" s="28">
        <f t="shared" si="102"/>
        <v>0</v>
      </c>
      <c r="AU141" s="17">
        <f t="shared" si="103"/>
        <v>0</v>
      </c>
      <c r="AV141" s="28">
        <f t="shared" si="104"/>
        <v>0</v>
      </c>
      <c r="AW141" s="17">
        <f t="shared" si="91"/>
        <v>0</v>
      </c>
      <c r="AX141" s="28">
        <f t="shared" si="92"/>
        <v>0</v>
      </c>
      <c r="AY141" s="17">
        <f t="shared" si="93"/>
        <v>0</v>
      </c>
      <c r="AZ141" s="28">
        <f t="shared" si="94"/>
        <v>0</v>
      </c>
      <c r="BA141" s="27">
        <f t="shared" si="106"/>
        <v>0</v>
      </c>
      <c r="BB141" s="27">
        <f t="shared" si="96"/>
        <v>0</v>
      </c>
      <c r="BC141" s="27">
        <f t="shared" si="98"/>
        <v>0</v>
      </c>
      <c r="BD141" s="27">
        <f t="shared" si="99"/>
        <v>0</v>
      </c>
      <c r="BE141" s="27">
        <f t="shared" si="100"/>
        <v>0</v>
      </c>
      <c r="BF141" s="29">
        <f t="shared" ref="BF141:BF211" si="107">+BB141+BA141*5%+BD141*30%</f>
        <v>0</v>
      </c>
      <c r="BH141" s="30">
        <f t="shared" si="95"/>
        <v>0</v>
      </c>
      <c r="BM141" s="2">
        <f t="shared" si="84"/>
        <v>0</v>
      </c>
      <c r="BP141" s="2">
        <f t="shared" si="85"/>
        <v>0</v>
      </c>
    </row>
    <row r="142" spans="1:68" ht="14.45" hidden="1" customHeight="1" x14ac:dyDescent="0.25">
      <c r="A142" s="33" t="s">
        <v>172</v>
      </c>
      <c r="B142" s="23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13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5"/>
      <c r="AD142" s="25">
        <f t="shared" si="80"/>
        <v>0</v>
      </c>
      <c r="AE142" s="41" t="s">
        <v>146</v>
      </c>
      <c r="AF142" s="27"/>
      <c r="AG142" s="17">
        <f t="shared" si="86"/>
        <v>0</v>
      </c>
      <c r="AH142" s="28">
        <f t="shared" si="87"/>
        <v>0</v>
      </c>
      <c r="AI142" s="17">
        <f t="shared" si="88"/>
        <v>0</v>
      </c>
      <c r="AJ142" s="28">
        <f t="shared" si="89"/>
        <v>0</v>
      </c>
      <c r="AK142" s="17">
        <f t="shared" si="97"/>
        <v>0</v>
      </c>
      <c r="AL142" s="28">
        <f t="shared" si="90"/>
        <v>0</v>
      </c>
      <c r="AM142" s="17">
        <f t="shared" si="105"/>
        <v>0</v>
      </c>
      <c r="AN142" s="28">
        <f t="shared" si="81"/>
        <v>0</v>
      </c>
      <c r="AO142" s="17">
        <f t="shared" si="68"/>
        <v>0</v>
      </c>
      <c r="AP142" s="28">
        <f t="shared" si="82"/>
        <v>0</v>
      </c>
      <c r="AQ142" s="17">
        <f t="shared" si="70"/>
        <v>0</v>
      </c>
      <c r="AR142" s="28">
        <f t="shared" si="83"/>
        <v>0</v>
      </c>
      <c r="AS142" s="17">
        <f t="shared" si="101"/>
        <v>0</v>
      </c>
      <c r="AT142" s="28">
        <f t="shared" si="102"/>
        <v>0</v>
      </c>
      <c r="AU142" s="17">
        <f t="shared" si="103"/>
        <v>0</v>
      </c>
      <c r="AV142" s="28">
        <f t="shared" si="104"/>
        <v>0</v>
      </c>
      <c r="AW142" s="17">
        <f t="shared" si="91"/>
        <v>0</v>
      </c>
      <c r="AX142" s="28">
        <f t="shared" si="92"/>
        <v>0</v>
      </c>
      <c r="AY142" s="17">
        <f t="shared" si="93"/>
        <v>0</v>
      </c>
      <c r="AZ142" s="28">
        <f t="shared" si="94"/>
        <v>0</v>
      </c>
      <c r="BA142" s="27">
        <f t="shared" si="106"/>
        <v>0</v>
      </c>
      <c r="BB142" s="27">
        <f t="shared" si="96"/>
        <v>0</v>
      </c>
      <c r="BC142" s="27">
        <f t="shared" si="98"/>
        <v>0</v>
      </c>
      <c r="BD142" s="27">
        <f t="shared" si="99"/>
        <v>0</v>
      </c>
      <c r="BE142" s="27">
        <f t="shared" si="100"/>
        <v>0</v>
      </c>
      <c r="BF142" s="29">
        <f t="shared" si="107"/>
        <v>0</v>
      </c>
      <c r="BH142" s="30">
        <f t="shared" si="95"/>
        <v>0</v>
      </c>
      <c r="BM142" s="2">
        <f t="shared" si="84"/>
        <v>0</v>
      </c>
      <c r="BP142" s="2">
        <f t="shared" si="85"/>
        <v>0</v>
      </c>
    </row>
    <row r="143" spans="1:68" ht="14.45" hidden="1" customHeight="1" x14ac:dyDescent="0.25">
      <c r="A143" s="33" t="s">
        <v>173</v>
      </c>
      <c r="B143" s="23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13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5"/>
      <c r="AD143" s="25">
        <f t="shared" si="80"/>
        <v>0</v>
      </c>
      <c r="AE143" s="41" t="s">
        <v>146</v>
      </c>
      <c r="AF143" s="27"/>
      <c r="AG143" s="17">
        <f t="shared" si="86"/>
        <v>0</v>
      </c>
      <c r="AH143" s="28">
        <f t="shared" si="87"/>
        <v>0</v>
      </c>
      <c r="AI143" s="17">
        <f t="shared" si="88"/>
        <v>0</v>
      </c>
      <c r="AJ143" s="28">
        <f t="shared" si="89"/>
        <v>0</v>
      </c>
      <c r="AK143" s="17">
        <f t="shared" si="97"/>
        <v>0</v>
      </c>
      <c r="AL143" s="28">
        <f t="shared" si="90"/>
        <v>0</v>
      </c>
      <c r="AM143" s="17">
        <f t="shared" si="105"/>
        <v>0</v>
      </c>
      <c r="AN143" s="28">
        <f t="shared" si="81"/>
        <v>0</v>
      </c>
      <c r="AO143" s="17">
        <f t="shared" si="68"/>
        <v>0</v>
      </c>
      <c r="AP143" s="28">
        <f t="shared" si="82"/>
        <v>0</v>
      </c>
      <c r="AQ143" s="17">
        <f t="shared" si="70"/>
        <v>0</v>
      </c>
      <c r="AR143" s="28">
        <f t="shared" si="83"/>
        <v>0</v>
      </c>
      <c r="AS143" s="17">
        <f t="shared" si="101"/>
        <v>0</v>
      </c>
      <c r="AT143" s="28">
        <f t="shared" si="102"/>
        <v>0</v>
      </c>
      <c r="AU143" s="17">
        <f t="shared" si="103"/>
        <v>0</v>
      </c>
      <c r="AV143" s="28">
        <f t="shared" si="104"/>
        <v>0</v>
      </c>
      <c r="AW143" s="17">
        <f t="shared" si="91"/>
        <v>0</v>
      </c>
      <c r="AX143" s="28">
        <f t="shared" si="92"/>
        <v>0</v>
      </c>
      <c r="AY143" s="17">
        <f t="shared" si="93"/>
        <v>0</v>
      </c>
      <c r="AZ143" s="28">
        <f t="shared" si="94"/>
        <v>0</v>
      </c>
      <c r="BA143" s="27">
        <f t="shared" si="106"/>
        <v>0</v>
      </c>
      <c r="BB143" s="27">
        <f t="shared" si="96"/>
        <v>0</v>
      </c>
      <c r="BC143" s="27">
        <f t="shared" si="98"/>
        <v>0</v>
      </c>
      <c r="BD143" s="27">
        <f t="shared" si="99"/>
        <v>0</v>
      </c>
      <c r="BE143" s="27">
        <f t="shared" si="100"/>
        <v>0</v>
      </c>
      <c r="BF143" s="29">
        <f t="shared" si="107"/>
        <v>0</v>
      </c>
      <c r="BH143" s="30">
        <f t="shared" si="95"/>
        <v>0</v>
      </c>
      <c r="BM143" s="2">
        <f t="shared" si="84"/>
        <v>0</v>
      </c>
      <c r="BP143" s="2">
        <f t="shared" si="85"/>
        <v>0</v>
      </c>
    </row>
    <row r="144" spans="1:68" ht="14.45" hidden="1" customHeight="1" x14ac:dyDescent="0.25">
      <c r="A144" s="33" t="s">
        <v>174</v>
      </c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13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5"/>
      <c r="AD144" s="25">
        <f t="shared" si="80"/>
        <v>0</v>
      </c>
      <c r="AE144" s="41" t="s">
        <v>146</v>
      </c>
      <c r="AF144" s="27"/>
      <c r="AG144" s="17">
        <f t="shared" si="86"/>
        <v>0</v>
      </c>
      <c r="AH144" s="28">
        <f t="shared" si="87"/>
        <v>0</v>
      </c>
      <c r="AI144" s="17">
        <f t="shared" si="88"/>
        <v>0</v>
      </c>
      <c r="AJ144" s="28">
        <f t="shared" si="89"/>
        <v>0</v>
      </c>
      <c r="AK144" s="17">
        <f t="shared" si="97"/>
        <v>0</v>
      </c>
      <c r="AL144" s="28">
        <f t="shared" si="90"/>
        <v>0</v>
      </c>
      <c r="AM144" s="17">
        <f t="shared" si="105"/>
        <v>0</v>
      </c>
      <c r="AN144" s="28">
        <f t="shared" si="81"/>
        <v>0</v>
      </c>
      <c r="AO144" s="17">
        <f t="shared" si="68"/>
        <v>0</v>
      </c>
      <c r="AP144" s="28">
        <f t="shared" si="82"/>
        <v>0</v>
      </c>
      <c r="AQ144" s="17">
        <f t="shared" si="70"/>
        <v>0</v>
      </c>
      <c r="AR144" s="28">
        <f t="shared" si="83"/>
        <v>0</v>
      </c>
      <c r="AS144" s="17">
        <f t="shared" si="101"/>
        <v>0</v>
      </c>
      <c r="AT144" s="28">
        <f t="shared" si="102"/>
        <v>0</v>
      </c>
      <c r="AU144" s="17">
        <f t="shared" si="103"/>
        <v>0</v>
      </c>
      <c r="AV144" s="28">
        <f t="shared" si="104"/>
        <v>0</v>
      </c>
      <c r="AW144" s="17">
        <f t="shared" si="91"/>
        <v>0</v>
      </c>
      <c r="AX144" s="28">
        <f t="shared" si="92"/>
        <v>0</v>
      </c>
      <c r="AY144" s="17">
        <f t="shared" si="93"/>
        <v>0</v>
      </c>
      <c r="AZ144" s="28">
        <f t="shared" si="94"/>
        <v>0</v>
      </c>
      <c r="BA144" s="27">
        <f t="shared" si="106"/>
        <v>0</v>
      </c>
      <c r="BB144" s="27">
        <f t="shared" si="96"/>
        <v>0</v>
      </c>
      <c r="BC144" s="27">
        <f t="shared" si="98"/>
        <v>0</v>
      </c>
      <c r="BD144" s="27">
        <f t="shared" si="99"/>
        <v>0</v>
      </c>
      <c r="BE144" s="27">
        <f t="shared" si="100"/>
        <v>0</v>
      </c>
      <c r="BF144" s="29">
        <f t="shared" si="107"/>
        <v>0</v>
      </c>
      <c r="BH144" s="30">
        <f t="shared" si="95"/>
        <v>0</v>
      </c>
      <c r="BM144" s="2">
        <f t="shared" si="84"/>
        <v>0</v>
      </c>
      <c r="BP144" s="2">
        <f t="shared" si="85"/>
        <v>0</v>
      </c>
    </row>
    <row r="145" spans="1:68" ht="14.45" hidden="1" customHeight="1" x14ac:dyDescent="0.25">
      <c r="A145" s="33" t="s">
        <v>175</v>
      </c>
      <c r="B145" s="2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13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5"/>
      <c r="AD145" s="25">
        <f t="shared" si="80"/>
        <v>0</v>
      </c>
      <c r="AE145" s="41" t="s">
        <v>146</v>
      </c>
      <c r="AF145" s="27"/>
      <c r="AG145" s="17">
        <f t="shared" si="86"/>
        <v>0</v>
      </c>
      <c r="AH145" s="28">
        <f t="shared" si="87"/>
        <v>0</v>
      </c>
      <c r="AI145" s="17">
        <f t="shared" si="88"/>
        <v>0</v>
      </c>
      <c r="AJ145" s="28">
        <f t="shared" si="89"/>
        <v>0</v>
      </c>
      <c r="AK145" s="17">
        <f t="shared" si="97"/>
        <v>0</v>
      </c>
      <c r="AL145" s="28">
        <f t="shared" si="90"/>
        <v>0</v>
      </c>
      <c r="AM145" s="17">
        <f t="shared" si="105"/>
        <v>0</v>
      </c>
      <c r="AN145" s="28">
        <f t="shared" si="81"/>
        <v>0</v>
      </c>
      <c r="AO145" s="17">
        <f t="shared" si="68"/>
        <v>0</v>
      </c>
      <c r="AP145" s="28">
        <f t="shared" si="82"/>
        <v>0</v>
      </c>
      <c r="AQ145" s="17">
        <f t="shared" si="70"/>
        <v>0</v>
      </c>
      <c r="AR145" s="28">
        <f t="shared" si="83"/>
        <v>0</v>
      </c>
      <c r="AS145" s="17">
        <f t="shared" si="101"/>
        <v>0</v>
      </c>
      <c r="AT145" s="28">
        <f t="shared" si="102"/>
        <v>0</v>
      </c>
      <c r="AU145" s="17">
        <f t="shared" si="103"/>
        <v>0</v>
      </c>
      <c r="AV145" s="28">
        <f t="shared" si="104"/>
        <v>0</v>
      </c>
      <c r="AW145" s="17">
        <f t="shared" si="91"/>
        <v>0</v>
      </c>
      <c r="AX145" s="28">
        <f t="shared" si="92"/>
        <v>0</v>
      </c>
      <c r="AY145" s="17">
        <f t="shared" si="93"/>
        <v>0</v>
      </c>
      <c r="AZ145" s="28">
        <f t="shared" si="94"/>
        <v>0</v>
      </c>
      <c r="BA145" s="27">
        <f t="shared" si="106"/>
        <v>0</v>
      </c>
      <c r="BB145" s="27">
        <f t="shared" si="96"/>
        <v>0</v>
      </c>
      <c r="BC145" s="27">
        <f t="shared" si="98"/>
        <v>0</v>
      </c>
      <c r="BD145" s="27">
        <f t="shared" si="99"/>
        <v>0</v>
      </c>
      <c r="BE145" s="27">
        <f t="shared" si="100"/>
        <v>0</v>
      </c>
      <c r="BF145" s="29">
        <f t="shared" si="107"/>
        <v>0</v>
      </c>
      <c r="BH145" s="30">
        <f t="shared" si="95"/>
        <v>0</v>
      </c>
      <c r="BM145" s="2">
        <f t="shared" si="84"/>
        <v>0</v>
      </c>
      <c r="BP145" s="2">
        <f t="shared" si="85"/>
        <v>0</v>
      </c>
    </row>
    <row r="146" spans="1:68" ht="14.45" hidden="1" customHeight="1" x14ac:dyDescent="0.25">
      <c r="A146" s="33" t="s">
        <v>176</v>
      </c>
      <c r="B146" s="2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13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5"/>
      <c r="AD146" s="25">
        <f t="shared" si="80"/>
        <v>0</v>
      </c>
      <c r="AE146" s="41" t="s">
        <v>146</v>
      </c>
      <c r="AF146" s="27"/>
      <c r="AG146" s="17">
        <f t="shared" si="86"/>
        <v>0</v>
      </c>
      <c r="AH146" s="28">
        <f t="shared" si="87"/>
        <v>0</v>
      </c>
      <c r="AI146" s="17">
        <f t="shared" si="88"/>
        <v>0</v>
      </c>
      <c r="AJ146" s="28">
        <f t="shared" si="89"/>
        <v>0</v>
      </c>
      <c r="AK146" s="17">
        <f t="shared" si="97"/>
        <v>0</v>
      </c>
      <c r="AL146" s="28">
        <f t="shared" si="90"/>
        <v>0</v>
      </c>
      <c r="AM146" s="17">
        <f t="shared" si="105"/>
        <v>0</v>
      </c>
      <c r="AN146" s="28">
        <f t="shared" si="81"/>
        <v>0</v>
      </c>
      <c r="AO146" s="17">
        <f t="shared" si="68"/>
        <v>0</v>
      </c>
      <c r="AP146" s="28">
        <f t="shared" si="82"/>
        <v>0</v>
      </c>
      <c r="AQ146" s="17">
        <f t="shared" si="70"/>
        <v>0</v>
      </c>
      <c r="AR146" s="28">
        <f t="shared" si="83"/>
        <v>0</v>
      </c>
      <c r="AS146" s="17">
        <f t="shared" si="101"/>
        <v>0</v>
      </c>
      <c r="AT146" s="28">
        <f t="shared" si="102"/>
        <v>0</v>
      </c>
      <c r="AU146" s="17">
        <f t="shared" si="103"/>
        <v>0</v>
      </c>
      <c r="AV146" s="28">
        <f t="shared" si="104"/>
        <v>0</v>
      </c>
      <c r="AW146" s="17">
        <f t="shared" si="91"/>
        <v>0</v>
      </c>
      <c r="AX146" s="28">
        <f t="shared" si="92"/>
        <v>0</v>
      </c>
      <c r="AY146" s="17">
        <f t="shared" si="93"/>
        <v>0</v>
      </c>
      <c r="AZ146" s="28">
        <f t="shared" si="94"/>
        <v>0</v>
      </c>
      <c r="BA146" s="27">
        <f t="shared" si="106"/>
        <v>0</v>
      </c>
      <c r="BB146" s="27">
        <f t="shared" si="96"/>
        <v>0</v>
      </c>
      <c r="BC146" s="27">
        <f t="shared" si="98"/>
        <v>0</v>
      </c>
      <c r="BD146" s="27">
        <f t="shared" si="99"/>
        <v>0</v>
      </c>
      <c r="BE146" s="27">
        <f t="shared" si="100"/>
        <v>0</v>
      </c>
      <c r="BF146" s="29">
        <f t="shared" si="107"/>
        <v>0</v>
      </c>
      <c r="BH146" s="30">
        <f t="shared" si="95"/>
        <v>0</v>
      </c>
      <c r="BM146" s="2">
        <f t="shared" si="84"/>
        <v>0</v>
      </c>
      <c r="BP146" s="2">
        <f t="shared" si="85"/>
        <v>0</v>
      </c>
    </row>
    <row r="147" spans="1:68" ht="14.45" hidden="1" customHeight="1" x14ac:dyDescent="0.25">
      <c r="A147" s="33" t="s">
        <v>177</v>
      </c>
      <c r="B147" s="23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13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5"/>
      <c r="AD147" s="25">
        <f t="shared" si="80"/>
        <v>0</v>
      </c>
      <c r="AE147" s="41" t="s">
        <v>146</v>
      </c>
      <c r="AF147" s="27"/>
      <c r="AG147" s="17">
        <f t="shared" si="86"/>
        <v>0</v>
      </c>
      <c r="AH147" s="28">
        <f t="shared" si="87"/>
        <v>0</v>
      </c>
      <c r="AI147" s="17">
        <f t="shared" si="88"/>
        <v>0</v>
      </c>
      <c r="AJ147" s="28">
        <f t="shared" si="89"/>
        <v>0</v>
      </c>
      <c r="AK147" s="17">
        <f t="shared" si="97"/>
        <v>0</v>
      </c>
      <c r="AL147" s="28">
        <f t="shared" si="90"/>
        <v>0</v>
      </c>
      <c r="AM147" s="17">
        <f t="shared" si="105"/>
        <v>0</v>
      </c>
      <c r="AN147" s="28">
        <f t="shared" si="81"/>
        <v>0</v>
      </c>
      <c r="AO147" s="17">
        <f t="shared" si="68"/>
        <v>0</v>
      </c>
      <c r="AP147" s="28">
        <f t="shared" si="82"/>
        <v>0</v>
      </c>
      <c r="AQ147" s="17">
        <f t="shared" si="70"/>
        <v>0</v>
      </c>
      <c r="AR147" s="28">
        <f t="shared" si="83"/>
        <v>0</v>
      </c>
      <c r="AS147" s="17">
        <f t="shared" si="101"/>
        <v>0</v>
      </c>
      <c r="AT147" s="28">
        <f t="shared" si="102"/>
        <v>0</v>
      </c>
      <c r="AU147" s="17">
        <f t="shared" si="103"/>
        <v>0</v>
      </c>
      <c r="AV147" s="28">
        <f t="shared" si="104"/>
        <v>0</v>
      </c>
      <c r="AW147" s="17">
        <f t="shared" si="91"/>
        <v>0</v>
      </c>
      <c r="AX147" s="28">
        <f t="shared" si="92"/>
        <v>0</v>
      </c>
      <c r="AY147" s="17">
        <f t="shared" si="93"/>
        <v>0</v>
      </c>
      <c r="AZ147" s="28">
        <f t="shared" si="94"/>
        <v>0</v>
      </c>
      <c r="BA147" s="27">
        <f t="shared" si="106"/>
        <v>0</v>
      </c>
      <c r="BB147" s="27">
        <f t="shared" si="96"/>
        <v>0</v>
      </c>
      <c r="BC147" s="27">
        <f t="shared" si="98"/>
        <v>0</v>
      </c>
      <c r="BD147" s="27">
        <f t="shared" si="99"/>
        <v>0</v>
      </c>
      <c r="BE147" s="27">
        <f t="shared" si="100"/>
        <v>0</v>
      </c>
      <c r="BF147" s="29">
        <f t="shared" si="107"/>
        <v>0</v>
      </c>
      <c r="BH147" s="30">
        <f t="shared" si="95"/>
        <v>0</v>
      </c>
      <c r="BM147" s="2">
        <f t="shared" si="84"/>
        <v>0</v>
      </c>
      <c r="BP147" s="2">
        <f t="shared" si="85"/>
        <v>0</v>
      </c>
    </row>
    <row r="148" spans="1:68" ht="14.45" hidden="1" customHeight="1" x14ac:dyDescent="0.25">
      <c r="A148" s="33" t="s">
        <v>178</v>
      </c>
      <c r="B148" s="2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13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5"/>
      <c r="AD148" s="25">
        <f t="shared" si="80"/>
        <v>0</v>
      </c>
      <c r="AE148" s="41" t="s">
        <v>146</v>
      </c>
      <c r="AF148" s="27"/>
      <c r="AG148" s="17">
        <f t="shared" si="86"/>
        <v>0</v>
      </c>
      <c r="AH148" s="28">
        <f t="shared" si="87"/>
        <v>0</v>
      </c>
      <c r="AI148" s="17">
        <f t="shared" si="88"/>
        <v>0</v>
      </c>
      <c r="AJ148" s="28">
        <f t="shared" si="89"/>
        <v>0</v>
      </c>
      <c r="AK148" s="17">
        <f t="shared" si="97"/>
        <v>0</v>
      </c>
      <c r="AL148" s="28">
        <f t="shared" si="90"/>
        <v>0</v>
      </c>
      <c r="AM148" s="17">
        <f t="shared" si="105"/>
        <v>0</v>
      </c>
      <c r="AN148" s="28">
        <f t="shared" si="81"/>
        <v>0</v>
      </c>
      <c r="AO148" s="17">
        <f t="shared" si="68"/>
        <v>0</v>
      </c>
      <c r="AP148" s="28">
        <f t="shared" si="82"/>
        <v>0</v>
      </c>
      <c r="AQ148" s="17">
        <f t="shared" si="70"/>
        <v>0</v>
      </c>
      <c r="AR148" s="28">
        <f t="shared" si="83"/>
        <v>0</v>
      </c>
      <c r="AS148" s="17">
        <f t="shared" si="101"/>
        <v>0</v>
      </c>
      <c r="AT148" s="28">
        <f t="shared" si="102"/>
        <v>0</v>
      </c>
      <c r="AU148" s="17">
        <f t="shared" si="103"/>
        <v>0</v>
      </c>
      <c r="AV148" s="28">
        <f t="shared" si="104"/>
        <v>0</v>
      </c>
      <c r="AW148" s="17">
        <f t="shared" si="91"/>
        <v>0</v>
      </c>
      <c r="AX148" s="28">
        <f t="shared" si="92"/>
        <v>0</v>
      </c>
      <c r="AY148" s="17">
        <f t="shared" si="93"/>
        <v>0</v>
      </c>
      <c r="AZ148" s="28">
        <f t="shared" si="94"/>
        <v>0</v>
      </c>
      <c r="BA148" s="27">
        <f t="shared" si="106"/>
        <v>0</v>
      </c>
      <c r="BB148" s="27">
        <f t="shared" si="96"/>
        <v>0</v>
      </c>
      <c r="BC148" s="27">
        <f t="shared" si="98"/>
        <v>0</v>
      </c>
      <c r="BD148" s="27">
        <f t="shared" si="99"/>
        <v>0</v>
      </c>
      <c r="BE148" s="27">
        <f t="shared" si="100"/>
        <v>0</v>
      </c>
      <c r="BF148" s="29">
        <f t="shared" si="107"/>
        <v>0</v>
      </c>
      <c r="BH148" s="30">
        <f t="shared" si="95"/>
        <v>0</v>
      </c>
      <c r="BM148" s="2">
        <f t="shared" si="84"/>
        <v>0</v>
      </c>
      <c r="BP148" s="2">
        <f t="shared" si="85"/>
        <v>0</v>
      </c>
    </row>
    <row r="149" spans="1:68" ht="14.45" hidden="1" customHeight="1" x14ac:dyDescent="0.25">
      <c r="A149" s="33" t="s">
        <v>179</v>
      </c>
      <c r="B149" s="2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13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5"/>
      <c r="AD149" s="25">
        <f t="shared" si="80"/>
        <v>0</v>
      </c>
      <c r="AE149" s="41" t="s">
        <v>146</v>
      </c>
      <c r="AF149" s="27"/>
      <c r="AG149" s="17">
        <f t="shared" si="86"/>
        <v>0</v>
      </c>
      <c r="AH149" s="28">
        <f t="shared" si="87"/>
        <v>0</v>
      </c>
      <c r="AI149" s="17">
        <f t="shared" si="88"/>
        <v>0</v>
      </c>
      <c r="AJ149" s="28">
        <f t="shared" si="89"/>
        <v>0</v>
      </c>
      <c r="AK149" s="17">
        <f t="shared" si="97"/>
        <v>0</v>
      </c>
      <c r="AL149" s="28">
        <f t="shared" si="90"/>
        <v>0</v>
      </c>
      <c r="AM149" s="17">
        <f t="shared" si="105"/>
        <v>0</v>
      </c>
      <c r="AN149" s="28">
        <f t="shared" si="81"/>
        <v>0</v>
      </c>
      <c r="AO149" s="17">
        <f t="shared" si="68"/>
        <v>0</v>
      </c>
      <c r="AP149" s="28">
        <f t="shared" si="82"/>
        <v>0</v>
      </c>
      <c r="AQ149" s="17">
        <f t="shared" si="70"/>
        <v>0</v>
      </c>
      <c r="AR149" s="28">
        <f t="shared" si="83"/>
        <v>0</v>
      </c>
      <c r="AS149" s="17">
        <f t="shared" si="101"/>
        <v>0</v>
      </c>
      <c r="AT149" s="28">
        <f t="shared" si="102"/>
        <v>0</v>
      </c>
      <c r="AU149" s="17">
        <f t="shared" si="103"/>
        <v>0</v>
      </c>
      <c r="AV149" s="28">
        <f t="shared" si="104"/>
        <v>0</v>
      </c>
      <c r="AW149" s="17">
        <f t="shared" si="91"/>
        <v>0</v>
      </c>
      <c r="AX149" s="28">
        <f t="shared" si="92"/>
        <v>0</v>
      </c>
      <c r="AY149" s="17">
        <f t="shared" si="93"/>
        <v>0</v>
      </c>
      <c r="AZ149" s="28">
        <f t="shared" si="94"/>
        <v>0</v>
      </c>
      <c r="BA149" s="27">
        <f t="shared" si="106"/>
        <v>0</v>
      </c>
      <c r="BB149" s="27">
        <f t="shared" si="96"/>
        <v>0</v>
      </c>
      <c r="BC149" s="27">
        <f t="shared" si="98"/>
        <v>0</v>
      </c>
      <c r="BD149" s="27">
        <f t="shared" si="99"/>
        <v>0</v>
      </c>
      <c r="BE149" s="27">
        <f t="shared" si="100"/>
        <v>0</v>
      </c>
      <c r="BF149" s="29">
        <f t="shared" si="107"/>
        <v>0</v>
      </c>
      <c r="BH149" s="30">
        <f t="shared" si="95"/>
        <v>0</v>
      </c>
      <c r="BM149" s="2">
        <f t="shared" si="84"/>
        <v>0</v>
      </c>
      <c r="BP149" s="2">
        <f t="shared" si="85"/>
        <v>0</v>
      </c>
    </row>
    <row r="150" spans="1:68" ht="14.45" hidden="1" customHeight="1" x14ac:dyDescent="0.25">
      <c r="A150" s="33" t="s">
        <v>180</v>
      </c>
      <c r="B150" s="23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13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5"/>
      <c r="AD150" s="25">
        <f t="shared" si="80"/>
        <v>0</v>
      </c>
      <c r="AE150" s="41" t="s">
        <v>146</v>
      </c>
      <c r="AF150" s="27"/>
      <c r="AG150" s="17">
        <f t="shared" si="86"/>
        <v>0</v>
      </c>
      <c r="AH150" s="28">
        <f t="shared" si="87"/>
        <v>0</v>
      </c>
      <c r="AI150" s="17">
        <f t="shared" si="88"/>
        <v>0</v>
      </c>
      <c r="AJ150" s="28">
        <f t="shared" si="89"/>
        <v>0</v>
      </c>
      <c r="AK150" s="17">
        <f t="shared" si="97"/>
        <v>0</v>
      </c>
      <c r="AL150" s="28">
        <f t="shared" si="90"/>
        <v>0</v>
      </c>
      <c r="AM150" s="17">
        <f t="shared" si="105"/>
        <v>0</v>
      </c>
      <c r="AN150" s="28">
        <f t="shared" si="81"/>
        <v>0</v>
      </c>
      <c r="AO150" s="17">
        <f t="shared" si="68"/>
        <v>0</v>
      </c>
      <c r="AP150" s="28">
        <f t="shared" si="82"/>
        <v>0</v>
      </c>
      <c r="AQ150" s="17">
        <f t="shared" si="70"/>
        <v>0</v>
      </c>
      <c r="AR150" s="28">
        <f t="shared" si="83"/>
        <v>0</v>
      </c>
      <c r="AS150" s="17">
        <f t="shared" si="101"/>
        <v>0</v>
      </c>
      <c r="AT150" s="28">
        <f t="shared" si="102"/>
        <v>0</v>
      </c>
      <c r="AU150" s="17">
        <f t="shared" si="103"/>
        <v>0</v>
      </c>
      <c r="AV150" s="28">
        <f t="shared" si="104"/>
        <v>0</v>
      </c>
      <c r="AW150" s="17">
        <f t="shared" si="91"/>
        <v>0</v>
      </c>
      <c r="AX150" s="28">
        <f t="shared" si="92"/>
        <v>0</v>
      </c>
      <c r="AY150" s="17">
        <f t="shared" si="93"/>
        <v>0</v>
      </c>
      <c r="AZ150" s="28">
        <f t="shared" si="94"/>
        <v>0</v>
      </c>
      <c r="BA150" s="27">
        <f t="shared" si="106"/>
        <v>0</v>
      </c>
      <c r="BB150" s="27">
        <f t="shared" si="96"/>
        <v>0</v>
      </c>
      <c r="BC150" s="27">
        <f t="shared" si="98"/>
        <v>0</v>
      </c>
      <c r="BD150" s="27">
        <f t="shared" si="99"/>
        <v>0</v>
      </c>
      <c r="BE150" s="27">
        <f t="shared" si="100"/>
        <v>0</v>
      </c>
      <c r="BF150" s="29">
        <f t="shared" si="107"/>
        <v>0</v>
      </c>
      <c r="BH150" s="30">
        <f t="shared" si="95"/>
        <v>0</v>
      </c>
      <c r="BM150" s="2">
        <f t="shared" si="84"/>
        <v>0</v>
      </c>
      <c r="BP150" s="2">
        <f t="shared" si="85"/>
        <v>0</v>
      </c>
    </row>
    <row r="151" spans="1:68" ht="14.45" hidden="1" customHeight="1" x14ac:dyDescent="0.25">
      <c r="A151" s="33" t="s">
        <v>181</v>
      </c>
      <c r="B151" s="23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13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5"/>
      <c r="AD151" s="25">
        <f t="shared" si="80"/>
        <v>0</v>
      </c>
      <c r="AE151" s="41" t="s">
        <v>146</v>
      </c>
      <c r="AF151" s="27"/>
      <c r="AG151" s="17">
        <f t="shared" si="86"/>
        <v>0</v>
      </c>
      <c r="AH151" s="28">
        <f t="shared" si="87"/>
        <v>0</v>
      </c>
      <c r="AI151" s="17">
        <f t="shared" si="88"/>
        <v>0</v>
      </c>
      <c r="AJ151" s="28">
        <f t="shared" si="89"/>
        <v>0</v>
      </c>
      <c r="AK151" s="17">
        <f t="shared" si="97"/>
        <v>0</v>
      </c>
      <c r="AL151" s="28">
        <f t="shared" si="90"/>
        <v>0</v>
      </c>
      <c r="AM151" s="17">
        <f t="shared" si="105"/>
        <v>0</v>
      </c>
      <c r="AN151" s="28">
        <f t="shared" si="81"/>
        <v>0</v>
      </c>
      <c r="AO151" s="17">
        <f t="shared" si="68"/>
        <v>0</v>
      </c>
      <c r="AP151" s="28">
        <f t="shared" si="82"/>
        <v>0</v>
      </c>
      <c r="AQ151" s="17">
        <f t="shared" si="70"/>
        <v>0</v>
      </c>
      <c r="AR151" s="28">
        <f t="shared" si="83"/>
        <v>0</v>
      </c>
      <c r="AS151" s="17">
        <f t="shared" si="101"/>
        <v>0</v>
      </c>
      <c r="AT151" s="28">
        <f t="shared" si="102"/>
        <v>0</v>
      </c>
      <c r="AU151" s="17">
        <f t="shared" si="103"/>
        <v>0</v>
      </c>
      <c r="AV151" s="28">
        <f t="shared" si="104"/>
        <v>0</v>
      </c>
      <c r="AW151" s="17">
        <f t="shared" si="91"/>
        <v>0</v>
      </c>
      <c r="AX151" s="28">
        <f t="shared" si="92"/>
        <v>0</v>
      </c>
      <c r="AY151" s="17">
        <f t="shared" si="93"/>
        <v>0</v>
      </c>
      <c r="AZ151" s="28">
        <f t="shared" si="94"/>
        <v>0</v>
      </c>
      <c r="BA151" s="27">
        <f t="shared" si="106"/>
        <v>0</v>
      </c>
      <c r="BB151" s="27">
        <f t="shared" si="96"/>
        <v>0</v>
      </c>
      <c r="BC151" s="27">
        <f t="shared" si="98"/>
        <v>0</v>
      </c>
      <c r="BD151" s="27">
        <f t="shared" si="99"/>
        <v>0</v>
      </c>
      <c r="BE151" s="27">
        <f t="shared" si="100"/>
        <v>0</v>
      </c>
      <c r="BF151" s="29">
        <f t="shared" si="107"/>
        <v>0</v>
      </c>
      <c r="BH151" s="30">
        <f t="shared" si="95"/>
        <v>0</v>
      </c>
      <c r="BM151" s="2">
        <f t="shared" si="84"/>
        <v>0</v>
      </c>
      <c r="BP151" s="2">
        <f t="shared" si="85"/>
        <v>0</v>
      </c>
    </row>
    <row r="152" spans="1:68" ht="14.45" hidden="1" customHeight="1" x14ac:dyDescent="0.25">
      <c r="A152" s="33" t="s">
        <v>182</v>
      </c>
      <c r="B152" s="23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13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5"/>
      <c r="AD152" s="25">
        <f t="shared" si="80"/>
        <v>0</v>
      </c>
      <c r="AE152" s="41" t="s">
        <v>146</v>
      </c>
      <c r="AF152" s="27"/>
      <c r="AG152" s="17">
        <f t="shared" si="86"/>
        <v>0</v>
      </c>
      <c r="AH152" s="28">
        <f t="shared" si="87"/>
        <v>0</v>
      </c>
      <c r="AI152" s="17">
        <f t="shared" si="88"/>
        <v>0</v>
      </c>
      <c r="AJ152" s="28">
        <f t="shared" si="89"/>
        <v>0</v>
      </c>
      <c r="AK152" s="17">
        <f t="shared" si="97"/>
        <v>0</v>
      </c>
      <c r="AL152" s="28">
        <f t="shared" si="90"/>
        <v>0</v>
      </c>
      <c r="AM152" s="17">
        <f t="shared" si="105"/>
        <v>0</v>
      </c>
      <c r="AN152" s="28">
        <f t="shared" si="81"/>
        <v>0</v>
      </c>
      <c r="AO152" s="17">
        <f t="shared" si="68"/>
        <v>0</v>
      </c>
      <c r="AP152" s="28">
        <f t="shared" si="82"/>
        <v>0</v>
      </c>
      <c r="AQ152" s="17">
        <f t="shared" si="70"/>
        <v>0</v>
      </c>
      <c r="AR152" s="28">
        <f t="shared" si="83"/>
        <v>0</v>
      </c>
      <c r="AS152" s="17">
        <f t="shared" si="101"/>
        <v>0</v>
      </c>
      <c r="AT152" s="28">
        <f t="shared" si="102"/>
        <v>0</v>
      </c>
      <c r="AU152" s="17">
        <f t="shared" si="103"/>
        <v>0</v>
      </c>
      <c r="AV152" s="28">
        <f t="shared" si="104"/>
        <v>0</v>
      </c>
      <c r="AW152" s="17">
        <f t="shared" si="91"/>
        <v>0</v>
      </c>
      <c r="AX152" s="28">
        <f t="shared" si="92"/>
        <v>0</v>
      </c>
      <c r="AY152" s="17">
        <f t="shared" si="93"/>
        <v>0</v>
      </c>
      <c r="AZ152" s="28">
        <f t="shared" si="94"/>
        <v>0</v>
      </c>
      <c r="BA152" s="27">
        <f t="shared" si="106"/>
        <v>0</v>
      </c>
      <c r="BB152" s="27">
        <f t="shared" si="96"/>
        <v>0</v>
      </c>
      <c r="BC152" s="27">
        <f t="shared" si="98"/>
        <v>0</v>
      </c>
      <c r="BD152" s="27">
        <f t="shared" si="99"/>
        <v>0</v>
      </c>
      <c r="BE152" s="27">
        <f t="shared" si="100"/>
        <v>0</v>
      </c>
      <c r="BF152" s="29">
        <f t="shared" si="107"/>
        <v>0</v>
      </c>
      <c r="BH152" s="30">
        <f t="shared" si="95"/>
        <v>0</v>
      </c>
      <c r="BM152" s="2">
        <f t="shared" si="84"/>
        <v>0</v>
      </c>
      <c r="BP152" s="2">
        <f t="shared" si="85"/>
        <v>0</v>
      </c>
    </row>
    <row r="153" spans="1:68" ht="14.45" hidden="1" customHeight="1" x14ac:dyDescent="0.25">
      <c r="A153" s="33" t="s">
        <v>183</v>
      </c>
      <c r="B153" s="23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13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5"/>
      <c r="AD153" s="25">
        <f t="shared" si="80"/>
        <v>0</v>
      </c>
      <c r="AE153" s="41" t="s">
        <v>146</v>
      </c>
      <c r="AF153" s="27"/>
      <c r="AG153" s="17">
        <f t="shared" si="86"/>
        <v>0</v>
      </c>
      <c r="AH153" s="28">
        <f t="shared" si="87"/>
        <v>0</v>
      </c>
      <c r="AI153" s="17">
        <f t="shared" si="88"/>
        <v>0</v>
      </c>
      <c r="AJ153" s="28">
        <f t="shared" si="89"/>
        <v>0</v>
      </c>
      <c r="AK153" s="17">
        <f t="shared" si="97"/>
        <v>0</v>
      </c>
      <c r="AL153" s="28">
        <f t="shared" si="90"/>
        <v>0</v>
      </c>
      <c r="AM153" s="17">
        <f t="shared" si="105"/>
        <v>0</v>
      </c>
      <c r="AN153" s="28">
        <f t="shared" si="81"/>
        <v>0</v>
      </c>
      <c r="AO153" s="17">
        <f t="shared" si="68"/>
        <v>0</v>
      </c>
      <c r="AP153" s="28">
        <f t="shared" si="82"/>
        <v>0</v>
      </c>
      <c r="AQ153" s="17">
        <f t="shared" si="70"/>
        <v>0</v>
      </c>
      <c r="AR153" s="28">
        <f t="shared" si="83"/>
        <v>0</v>
      </c>
      <c r="AS153" s="17">
        <f t="shared" si="101"/>
        <v>0</v>
      </c>
      <c r="AT153" s="28">
        <f t="shared" si="102"/>
        <v>0</v>
      </c>
      <c r="AU153" s="17">
        <f t="shared" si="103"/>
        <v>0</v>
      </c>
      <c r="AV153" s="28">
        <f t="shared" si="104"/>
        <v>0</v>
      </c>
      <c r="AW153" s="17">
        <f t="shared" si="91"/>
        <v>0</v>
      </c>
      <c r="AX153" s="28">
        <f t="shared" si="92"/>
        <v>0</v>
      </c>
      <c r="AY153" s="17">
        <f t="shared" si="93"/>
        <v>0</v>
      </c>
      <c r="AZ153" s="28">
        <f t="shared" si="94"/>
        <v>0</v>
      </c>
      <c r="BA153" s="27">
        <f t="shared" si="106"/>
        <v>0</v>
      </c>
      <c r="BB153" s="27">
        <f t="shared" si="96"/>
        <v>0</v>
      </c>
      <c r="BC153" s="27">
        <f t="shared" si="98"/>
        <v>0</v>
      </c>
      <c r="BD153" s="27">
        <f t="shared" si="99"/>
        <v>0</v>
      </c>
      <c r="BE153" s="27">
        <f t="shared" si="100"/>
        <v>0</v>
      </c>
      <c r="BF153" s="29">
        <f t="shared" si="107"/>
        <v>0</v>
      </c>
      <c r="BH153" s="30">
        <f t="shared" si="95"/>
        <v>0</v>
      </c>
      <c r="BM153" s="2">
        <f t="shared" si="84"/>
        <v>0</v>
      </c>
      <c r="BP153" s="2">
        <f t="shared" si="85"/>
        <v>0</v>
      </c>
    </row>
    <row r="154" spans="1:68" ht="14.45" hidden="1" customHeight="1" x14ac:dyDescent="0.25">
      <c r="A154" s="33" t="s">
        <v>177</v>
      </c>
      <c r="B154" s="2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13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5"/>
      <c r="AD154" s="25">
        <f t="shared" si="80"/>
        <v>0</v>
      </c>
      <c r="AE154" s="41" t="s">
        <v>146</v>
      </c>
      <c r="AF154" s="27"/>
      <c r="AG154" s="17">
        <f t="shared" si="86"/>
        <v>0</v>
      </c>
      <c r="AH154" s="28">
        <f t="shared" si="87"/>
        <v>0</v>
      </c>
      <c r="AI154" s="17">
        <f t="shared" si="88"/>
        <v>0</v>
      </c>
      <c r="AJ154" s="28">
        <f t="shared" si="89"/>
        <v>0</v>
      </c>
      <c r="AK154" s="17">
        <f t="shared" si="97"/>
        <v>0</v>
      </c>
      <c r="AL154" s="28">
        <f t="shared" si="90"/>
        <v>0</v>
      </c>
      <c r="AM154" s="17">
        <f t="shared" si="105"/>
        <v>0</v>
      </c>
      <c r="AN154" s="28">
        <f t="shared" si="81"/>
        <v>0</v>
      </c>
      <c r="AO154" s="17">
        <f t="shared" si="68"/>
        <v>0</v>
      </c>
      <c r="AP154" s="28">
        <f t="shared" si="82"/>
        <v>0</v>
      </c>
      <c r="AQ154" s="17">
        <f t="shared" si="70"/>
        <v>0</v>
      </c>
      <c r="AR154" s="28">
        <f t="shared" si="83"/>
        <v>0</v>
      </c>
      <c r="AS154" s="17">
        <f t="shared" si="101"/>
        <v>0</v>
      </c>
      <c r="AT154" s="28">
        <f t="shared" si="102"/>
        <v>0</v>
      </c>
      <c r="AU154" s="17">
        <f t="shared" si="103"/>
        <v>0</v>
      </c>
      <c r="AV154" s="28">
        <f t="shared" si="104"/>
        <v>0</v>
      </c>
      <c r="AW154" s="17">
        <f t="shared" si="91"/>
        <v>0</v>
      </c>
      <c r="AX154" s="28">
        <f t="shared" si="92"/>
        <v>0</v>
      </c>
      <c r="AY154" s="17">
        <f t="shared" si="93"/>
        <v>0</v>
      </c>
      <c r="AZ154" s="28">
        <f t="shared" si="94"/>
        <v>0</v>
      </c>
      <c r="BA154" s="27">
        <f t="shared" si="106"/>
        <v>0</v>
      </c>
      <c r="BB154" s="27">
        <f t="shared" si="96"/>
        <v>0</v>
      </c>
      <c r="BC154" s="27">
        <f t="shared" si="98"/>
        <v>0</v>
      </c>
      <c r="BD154" s="27">
        <f t="shared" si="99"/>
        <v>0</v>
      </c>
      <c r="BE154" s="27">
        <f t="shared" si="100"/>
        <v>0</v>
      </c>
      <c r="BF154" s="29">
        <f t="shared" si="107"/>
        <v>0</v>
      </c>
      <c r="BH154" s="30">
        <f t="shared" si="95"/>
        <v>0</v>
      </c>
      <c r="BM154" s="2">
        <f t="shared" si="84"/>
        <v>0</v>
      </c>
      <c r="BP154" s="2">
        <f t="shared" si="85"/>
        <v>0</v>
      </c>
    </row>
    <row r="155" spans="1:68" ht="14.45" hidden="1" customHeight="1" x14ac:dyDescent="0.25">
      <c r="A155" s="33" t="s">
        <v>184</v>
      </c>
      <c r="B155" s="2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13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5"/>
      <c r="AD155" s="25">
        <f t="shared" si="80"/>
        <v>0</v>
      </c>
      <c r="AE155" s="41" t="s">
        <v>146</v>
      </c>
      <c r="AF155" s="27"/>
      <c r="AG155" s="17">
        <f t="shared" si="86"/>
        <v>0</v>
      </c>
      <c r="AH155" s="28">
        <f t="shared" si="87"/>
        <v>0</v>
      </c>
      <c r="AI155" s="17">
        <f t="shared" si="88"/>
        <v>0</v>
      </c>
      <c r="AJ155" s="28">
        <f t="shared" si="89"/>
        <v>0</v>
      </c>
      <c r="AK155" s="17">
        <f t="shared" si="97"/>
        <v>0</v>
      </c>
      <c r="AL155" s="28">
        <f t="shared" si="90"/>
        <v>0</v>
      </c>
      <c r="AM155" s="17">
        <f t="shared" si="105"/>
        <v>0</v>
      </c>
      <c r="AN155" s="28">
        <f t="shared" si="81"/>
        <v>0</v>
      </c>
      <c r="AO155" s="17">
        <f t="shared" ref="AO155:AO168" si="108">+B155</f>
        <v>0</v>
      </c>
      <c r="AP155" s="28">
        <f t="shared" si="82"/>
        <v>0</v>
      </c>
      <c r="AQ155" s="17">
        <f t="shared" ref="AQ155:AQ168" si="109">+P155</f>
        <v>0</v>
      </c>
      <c r="AR155" s="28">
        <f t="shared" si="83"/>
        <v>0</v>
      </c>
      <c r="AS155" s="17">
        <f t="shared" si="101"/>
        <v>0</v>
      </c>
      <c r="AT155" s="28">
        <f t="shared" si="102"/>
        <v>0</v>
      </c>
      <c r="AU155" s="17">
        <f t="shared" si="103"/>
        <v>0</v>
      </c>
      <c r="AV155" s="28">
        <f t="shared" si="104"/>
        <v>0</v>
      </c>
      <c r="AW155" s="17">
        <f t="shared" si="91"/>
        <v>0</v>
      </c>
      <c r="AX155" s="28">
        <f t="shared" si="92"/>
        <v>0</v>
      </c>
      <c r="AY155" s="17">
        <f t="shared" si="93"/>
        <v>0</v>
      </c>
      <c r="AZ155" s="28">
        <f t="shared" si="94"/>
        <v>0</v>
      </c>
      <c r="BA155" s="27">
        <f t="shared" si="106"/>
        <v>0</v>
      </c>
      <c r="BB155" s="27">
        <f t="shared" si="96"/>
        <v>0</v>
      </c>
      <c r="BC155" s="27">
        <f t="shared" si="98"/>
        <v>0</v>
      </c>
      <c r="BD155" s="27">
        <f t="shared" si="99"/>
        <v>0</v>
      </c>
      <c r="BE155" s="27">
        <f t="shared" si="100"/>
        <v>0</v>
      </c>
      <c r="BF155" s="29">
        <f t="shared" si="107"/>
        <v>0</v>
      </c>
      <c r="BH155" s="30">
        <f t="shared" si="95"/>
        <v>0</v>
      </c>
      <c r="BM155" s="2">
        <f t="shared" si="84"/>
        <v>0</v>
      </c>
      <c r="BP155" s="2">
        <f t="shared" si="85"/>
        <v>0</v>
      </c>
    </row>
    <row r="156" spans="1:68" ht="14.45" hidden="1" customHeight="1" x14ac:dyDescent="0.25">
      <c r="A156" s="33" t="s">
        <v>185</v>
      </c>
      <c r="B156" s="23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13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5"/>
      <c r="AD156" s="25">
        <f t="shared" si="80"/>
        <v>0</v>
      </c>
      <c r="AE156" s="41" t="s">
        <v>146</v>
      </c>
      <c r="AF156" s="43"/>
      <c r="AG156" s="17">
        <f t="shared" si="86"/>
        <v>0</v>
      </c>
      <c r="AH156" s="28">
        <f t="shared" si="87"/>
        <v>0</v>
      </c>
      <c r="AI156" s="17">
        <f t="shared" si="88"/>
        <v>0</v>
      </c>
      <c r="AJ156" s="28">
        <f t="shared" si="89"/>
        <v>0</v>
      </c>
      <c r="AK156" s="17">
        <f t="shared" si="97"/>
        <v>0</v>
      </c>
      <c r="AL156" s="28">
        <f t="shared" si="90"/>
        <v>0</v>
      </c>
      <c r="AM156" s="17">
        <f t="shared" si="105"/>
        <v>0</v>
      </c>
      <c r="AN156" s="28">
        <f t="shared" si="81"/>
        <v>0</v>
      </c>
      <c r="AO156" s="17">
        <f t="shared" si="108"/>
        <v>0</v>
      </c>
      <c r="AP156" s="28">
        <f t="shared" si="82"/>
        <v>0</v>
      </c>
      <c r="AQ156" s="17">
        <f t="shared" si="109"/>
        <v>0</v>
      </c>
      <c r="AR156" s="28">
        <f t="shared" si="83"/>
        <v>0</v>
      </c>
      <c r="AS156" s="17">
        <f t="shared" si="101"/>
        <v>0</v>
      </c>
      <c r="AT156" s="28">
        <f t="shared" si="102"/>
        <v>0</v>
      </c>
      <c r="AU156" s="17">
        <f t="shared" si="103"/>
        <v>0</v>
      </c>
      <c r="AV156" s="28">
        <f t="shared" si="104"/>
        <v>0</v>
      </c>
      <c r="AW156" s="17">
        <f t="shared" si="91"/>
        <v>0</v>
      </c>
      <c r="AX156" s="28">
        <f t="shared" si="92"/>
        <v>0</v>
      </c>
      <c r="AY156" s="17">
        <f t="shared" si="93"/>
        <v>0</v>
      </c>
      <c r="AZ156" s="28">
        <f t="shared" si="94"/>
        <v>0</v>
      </c>
      <c r="BA156" s="27">
        <f t="shared" si="106"/>
        <v>0</v>
      </c>
      <c r="BB156" s="27">
        <f t="shared" si="96"/>
        <v>0</v>
      </c>
      <c r="BC156" s="27">
        <f t="shared" si="98"/>
        <v>0</v>
      </c>
      <c r="BD156" s="27">
        <f t="shared" si="99"/>
        <v>0</v>
      </c>
      <c r="BE156" s="27">
        <f t="shared" si="100"/>
        <v>0</v>
      </c>
      <c r="BF156" s="29">
        <f t="shared" si="107"/>
        <v>0</v>
      </c>
      <c r="BH156" s="30">
        <f t="shared" si="95"/>
        <v>0</v>
      </c>
      <c r="BM156" s="2">
        <f t="shared" si="84"/>
        <v>0</v>
      </c>
      <c r="BP156" s="2">
        <f t="shared" si="85"/>
        <v>0</v>
      </c>
    </row>
    <row r="157" spans="1:68" ht="14.45" hidden="1" customHeight="1" x14ac:dyDescent="0.25">
      <c r="A157" s="33" t="s">
        <v>186</v>
      </c>
      <c r="B157" s="23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13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5"/>
      <c r="AD157" s="25">
        <f t="shared" si="80"/>
        <v>0</v>
      </c>
      <c r="AE157" s="41" t="s">
        <v>146</v>
      </c>
      <c r="AF157" s="27"/>
      <c r="AG157" s="17">
        <f t="shared" si="86"/>
        <v>0</v>
      </c>
      <c r="AH157" s="28">
        <f t="shared" si="87"/>
        <v>0</v>
      </c>
      <c r="AI157" s="17">
        <f t="shared" si="88"/>
        <v>0</v>
      </c>
      <c r="AJ157" s="28">
        <f t="shared" si="89"/>
        <v>0</v>
      </c>
      <c r="AK157" s="17">
        <f t="shared" si="97"/>
        <v>0</v>
      </c>
      <c r="AL157" s="28">
        <f t="shared" si="90"/>
        <v>0</v>
      </c>
      <c r="AM157" s="17">
        <f t="shared" si="105"/>
        <v>0</v>
      </c>
      <c r="AN157" s="28">
        <f t="shared" si="81"/>
        <v>0</v>
      </c>
      <c r="AO157" s="17">
        <f t="shared" si="108"/>
        <v>0</v>
      </c>
      <c r="AP157" s="28">
        <f t="shared" si="82"/>
        <v>0</v>
      </c>
      <c r="AQ157" s="17">
        <f t="shared" si="109"/>
        <v>0</v>
      </c>
      <c r="AR157" s="28">
        <f t="shared" si="83"/>
        <v>0</v>
      </c>
      <c r="AS157" s="17">
        <f t="shared" si="101"/>
        <v>0</v>
      </c>
      <c r="AT157" s="28">
        <f t="shared" si="102"/>
        <v>0</v>
      </c>
      <c r="AU157" s="17">
        <f t="shared" si="103"/>
        <v>0</v>
      </c>
      <c r="AV157" s="28">
        <f t="shared" si="104"/>
        <v>0</v>
      </c>
      <c r="AW157" s="17">
        <f t="shared" si="91"/>
        <v>0</v>
      </c>
      <c r="AX157" s="28">
        <f t="shared" si="92"/>
        <v>0</v>
      </c>
      <c r="AY157" s="17">
        <f t="shared" si="93"/>
        <v>0</v>
      </c>
      <c r="AZ157" s="28">
        <f t="shared" si="94"/>
        <v>0</v>
      </c>
      <c r="BA157" s="27">
        <f t="shared" si="106"/>
        <v>0</v>
      </c>
      <c r="BB157" s="27">
        <f t="shared" si="96"/>
        <v>0</v>
      </c>
      <c r="BC157" s="27">
        <f t="shared" si="98"/>
        <v>0</v>
      </c>
      <c r="BD157" s="27">
        <f t="shared" si="99"/>
        <v>0</v>
      </c>
      <c r="BE157" s="27">
        <f t="shared" si="100"/>
        <v>0</v>
      </c>
      <c r="BF157" s="29">
        <f t="shared" si="107"/>
        <v>0</v>
      </c>
      <c r="BH157" s="30">
        <f t="shared" si="95"/>
        <v>0</v>
      </c>
      <c r="BM157" s="2">
        <f t="shared" si="84"/>
        <v>0</v>
      </c>
      <c r="BP157" s="2">
        <f t="shared" si="85"/>
        <v>0</v>
      </c>
    </row>
    <row r="158" spans="1:68" ht="14.45" hidden="1" customHeight="1" x14ac:dyDescent="0.25">
      <c r="A158" s="33" t="s">
        <v>187</v>
      </c>
      <c r="B158" s="23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13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5"/>
      <c r="AD158" s="25">
        <f t="shared" si="80"/>
        <v>0</v>
      </c>
      <c r="AE158" s="41" t="s">
        <v>146</v>
      </c>
      <c r="AF158" s="27"/>
      <c r="AG158" s="17">
        <f t="shared" si="86"/>
        <v>0</v>
      </c>
      <c r="AH158" s="28">
        <f t="shared" si="87"/>
        <v>0</v>
      </c>
      <c r="AI158" s="17">
        <f t="shared" si="88"/>
        <v>0</v>
      </c>
      <c r="AJ158" s="28">
        <f t="shared" si="89"/>
        <v>0</v>
      </c>
      <c r="AK158" s="17">
        <f t="shared" si="97"/>
        <v>0</v>
      </c>
      <c r="AL158" s="28">
        <f t="shared" si="90"/>
        <v>0</v>
      </c>
      <c r="AM158" s="17">
        <f t="shared" si="105"/>
        <v>0</v>
      </c>
      <c r="AN158" s="28">
        <f t="shared" si="81"/>
        <v>0</v>
      </c>
      <c r="AO158" s="17">
        <f t="shared" si="108"/>
        <v>0</v>
      </c>
      <c r="AP158" s="28">
        <f t="shared" si="82"/>
        <v>0</v>
      </c>
      <c r="AQ158" s="17">
        <f t="shared" si="109"/>
        <v>0</v>
      </c>
      <c r="AR158" s="28">
        <f t="shared" si="83"/>
        <v>0</v>
      </c>
      <c r="AS158" s="17">
        <f t="shared" si="101"/>
        <v>0</v>
      </c>
      <c r="AT158" s="28">
        <f t="shared" si="102"/>
        <v>0</v>
      </c>
      <c r="AU158" s="17">
        <f t="shared" si="103"/>
        <v>0</v>
      </c>
      <c r="AV158" s="28">
        <f t="shared" si="104"/>
        <v>0</v>
      </c>
      <c r="AW158" s="17">
        <f t="shared" si="91"/>
        <v>0</v>
      </c>
      <c r="AX158" s="28">
        <f t="shared" si="92"/>
        <v>0</v>
      </c>
      <c r="AY158" s="17">
        <f t="shared" si="93"/>
        <v>0</v>
      </c>
      <c r="AZ158" s="28">
        <f t="shared" si="94"/>
        <v>0</v>
      </c>
      <c r="BA158" s="27">
        <f t="shared" si="106"/>
        <v>0</v>
      </c>
      <c r="BB158" s="27">
        <f t="shared" si="96"/>
        <v>0</v>
      </c>
      <c r="BC158" s="27">
        <f t="shared" si="98"/>
        <v>0</v>
      </c>
      <c r="BD158" s="27">
        <f t="shared" si="99"/>
        <v>0</v>
      </c>
      <c r="BE158" s="27">
        <f t="shared" si="100"/>
        <v>0</v>
      </c>
      <c r="BF158" s="29">
        <f t="shared" si="107"/>
        <v>0</v>
      </c>
      <c r="BH158" s="30">
        <f t="shared" si="95"/>
        <v>0</v>
      </c>
      <c r="BM158" s="2">
        <f t="shared" si="84"/>
        <v>0</v>
      </c>
      <c r="BP158" s="2">
        <f t="shared" si="85"/>
        <v>0</v>
      </c>
    </row>
    <row r="159" spans="1:68" ht="14.45" hidden="1" customHeight="1" x14ac:dyDescent="0.25">
      <c r="A159" s="33" t="s">
        <v>188</v>
      </c>
      <c r="B159" s="23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13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5"/>
      <c r="AD159" s="25">
        <f t="shared" si="80"/>
        <v>0</v>
      </c>
      <c r="AE159" s="41" t="s">
        <v>146</v>
      </c>
      <c r="AF159" s="27"/>
      <c r="AG159" s="17">
        <f t="shared" si="86"/>
        <v>0</v>
      </c>
      <c r="AH159" s="28">
        <f t="shared" si="87"/>
        <v>0</v>
      </c>
      <c r="AI159" s="17">
        <f t="shared" si="88"/>
        <v>0</v>
      </c>
      <c r="AJ159" s="28">
        <f t="shared" si="89"/>
        <v>0</v>
      </c>
      <c r="AK159" s="17">
        <f t="shared" si="97"/>
        <v>0</v>
      </c>
      <c r="AL159" s="28">
        <f t="shared" si="90"/>
        <v>0</v>
      </c>
      <c r="AM159" s="17">
        <f t="shared" si="105"/>
        <v>0</v>
      </c>
      <c r="AN159" s="28">
        <f t="shared" si="81"/>
        <v>0</v>
      </c>
      <c r="AO159" s="17">
        <f t="shared" si="108"/>
        <v>0</v>
      </c>
      <c r="AP159" s="28">
        <f t="shared" si="82"/>
        <v>0</v>
      </c>
      <c r="AQ159" s="17">
        <f t="shared" si="109"/>
        <v>0</v>
      </c>
      <c r="AR159" s="28">
        <f t="shared" si="83"/>
        <v>0</v>
      </c>
      <c r="AS159" s="17">
        <f t="shared" si="101"/>
        <v>0</v>
      </c>
      <c r="AT159" s="28">
        <f t="shared" si="102"/>
        <v>0</v>
      </c>
      <c r="AU159" s="17">
        <f t="shared" si="103"/>
        <v>0</v>
      </c>
      <c r="AV159" s="28">
        <f t="shared" si="104"/>
        <v>0</v>
      </c>
      <c r="AW159" s="17">
        <f t="shared" si="91"/>
        <v>0</v>
      </c>
      <c r="AX159" s="28">
        <f t="shared" si="92"/>
        <v>0</v>
      </c>
      <c r="AY159" s="17">
        <f t="shared" si="93"/>
        <v>0</v>
      </c>
      <c r="AZ159" s="28">
        <f t="shared" si="94"/>
        <v>0</v>
      </c>
      <c r="BA159" s="27">
        <f t="shared" si="106"/>
        <v>0</v>
      </c>
      <c r="BB159" s="27">
        <f t="shared" si="96"/>
        <v>0</v>
      </c>
      <c r="BC159" s="27">
        <f t="shared" si="98"/>
        <v>0</v>
      </c>
      <c r="BD159" s="27">
        <f t="shared" si="99"/>
        <v>0</v>
      </c>
      <c r="BE159" s="27">
        <f t="shared" si="100"/>
        <v>0</v>
      </c>
      <c r="BF159" s="29">
        <f t="shared" si="107"/>
        <v>0</v>
      </c>
      <c r="BH159" s="30">
        <f t="shared" si="95"/>
        <v>0</v>
      </c>
      <c r="BM159" s="2">
        <f t="shared" si="84"/>
        <v>0</v>
      </c>
      <c r="BP159" s="2">
        <f t="shared" si="85"/>
        <v>0</v>
      </c>
    </row>
    <row r="160" spans="1:68" ht="14.45" hidden="1" customHeight="1" x14ac:dyDescent="0.25">
      <c r="A160" s="33" t="s">
        <v>189</v>
      </c>
      <c r="B160" s="23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13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5"/>
      <c r="AD160" s="25">
        <f t="shared" si="80"/>
        <v>0</v>
      </c>
      <c r="AE160" s="41" t="s">
        <v>146</v>
      </c>
      <c r="AF160" s="27"/>
      <c r="AG160" s="17">
        <f t="shared" si="86"/>
        <v>0</v>
      </c>
      <c r="AH160" s="28">
        <f t="shared" si="87"/>
        <v>0</v>
      </c>
      <c r="AI160" s="17">
        <f t="shared" si="88"/>
        <v>0</v>
      </c>
      <c r="AJ160" s="28">
        <f t="shared" si="89"/>
        <v>0</v>
      </c>
      <c r="AK160" s="17">
        <f t="shared" si="97"/>
        <v>0</v>
      </c>
      <c r="AL160" s="28">
        <f t="shared" si="90"/>
        <v>0</v>
      </c>
      <c r="AM160" s="17">
        <f t="shared" si="105"/>
        <v>0</v>
      </c>
      <c r="AN160" s="28">
        <f t="shared" si="81"/>
        <v>0</v>
      </c>
      <c r="AO160" s="17">
        <f t="shared" si="108"/>
        <v>0</v>
      </c>
      <c r="AP160" s="28">
        <f t="shared" si="82"/>
        <v>0</v>
      </c>
      <c r="AQ160" s="17">
        <f t="shared" si="109"/>
        <v>0</v>
      </c>
      <c r="AR160" s="28">
        <f t="shared" si="83"/>
        <v>0</v>
      </c>
      <c r="AS160" s="17">
        <f t="shared" si="101"/>
        <v>0</v>
      </c>
      <c r="AT160" s="28">
        <f t="shared" si="102"/>
        <v>0</v>
      </c>
      <c r="AU160" s="17">
        <f t="shared" si="103"/>
        <v>0</v>
      </c>
      <c r="AV160" s="28">
        <f t="shared" si="104"/>
        <v>0</v>
      </c>
      <c r="AW160" s="17">
        <f t="shared" si="91"/>
        <v>0</v>
      </c>
      <c r="AX160" s="28">
        <f t="shared" si="92"/>
        <v>0</v>
      </c>
      <c r="AY160" s="17">
        <f t="shared" si="93"/>
        <v>0</v>
      </c>
      <c r="AZ160" s="28">
        <f t="shared" si="94"/>
        <v>0</v>
      </c>
      <c r="BA160" s="27">
        <f t="shared" si="106"/>
        <v>0</v>
      </c>
      <c r="BB160" s="27">
        <f t="shared" si="96"/>
        <v>0</v>
      </c>
      <c r="BC160" s="27">
        <f t="shared" si="98"/>
        <v>0</v>
      </c>
      <c r="BD160" s="27">
        <f t="shared" si="99"/>
        <v>0</v>
      </c>
      <c r="BE160" s="27">
        <f t="shared" si="100"/>
        <v>0</v>
      </c>
      <c r="BF160" s="29">
        <f t="shared" si="107"/>
        <v>0</v>
      </c>
      <c r="BH160" s="30">
        <f t="shared" si="95"/>
        <v>0</v>
      </c>
      <c r="BM160" s="2">
        <f t="shared" si="84"/>
        <v>0</v>
      </c>
      <c r="BP160" s="2">
        <f t="shared" si="85"/>
        <v>0</v>
      </c>
    </row>
    <row r="161" spans="1:68" ht="14.45" hidden="1" customHeight="1" x14ac:dyDescent="0.25">
      <c r="A161" s="33" t="s">
        <v>190</v>
      </c>
      <c r="B161" s="23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13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5"/>
      <c r="AD161" s="25">
        <f t="shared" si="80"/>
        <v>0</v>
      </c>
      <c r="AE161" s="41" t="s">
        <v>146</v>
      </c>
      <c r="AF161" s="27"/>
      <c r="AG161" s="17">
        <f t="shared" si="86"/>
        <v>0</v>
      </c>
      <c r="AH161" s="28">
        <f t="shared" si="87"/>
        <v>0</v>
      </c>
      <c r="AI161" s="17">
        <f t="shared" si="88"/>
        <v>0</v>
      </c>
      <c r="AJ161" s="28">
        <f t="shared" si="89"/>
        <v>0</v>
      </c>
      <c r="AK161" s="17">
        <f t="shared" si="97"/>
        <v>0</v>
      </c>
      <c r="AL161" s="28">
        <f t="shared" si="90"/>
        <v>0</v>
      </c>
      <c r="AM161" s="17">
        <f t="shared" si="105"/>
        <v>0</v>
      </c>
      <c r="AN161" s="28">
        <f t="shared" si="81"/>
        <v>0</v>
      </c>
      <c r="AO161" s="17">
        <f t="shared" si="108"/>
        <v>0</v>
      </c>
      <c r="AP161" s="28">
        <f t="shared" si="82"/>
        <v>0</v>
      </c>
      <c r="AQ161" s="17">
        <f t="shared" si="109"/>
        <v>0</v>
      </c>
      <c r="AR161" s="28">
        <f t="shared" si="83"/>
        <v>0</v>
      </c>
      <c r="AS161" s="17">
        <f t="shared" si="101"/>
        <v>0</v>
      </c>
      <c r="AT161" s="28">
        <f t="shared" si="102"/>
        <v>0</v>
      </c>
      <c r="AU161" s="17">
        <f t="shared" si="103"/>
        <v>0</v>
      </c>
      <c r="AV161" s="28">
        <f t="shared" si="104"/>
        <v>0</v>
      </c>
      <c r="AW161" s="17">
        <f t="shared" si="91"/>
        <v>0</v>
      </c>
      <c r="AX161" s="28">
        <f t="shared" si="92"/>
        <v>0</v>
      </c>
      <c r="AY161" s="17">
        <f t="shared" si="93"/>
        <v>0</v>
      </c>
      <c r="AZ161" s="28">
        <f t="shared" si="94"/>
        <v>0</v>
      </c>
      <c r="BA161" s="27">
        <f t="shared" si="106"/>
        <v>0</v>
      </c>
      <c r="BB161" s="27">
        <f t="shared" si="96"/>
        <v>0</v>
      </c>
      <c r="BC161" s="27">
        <f t="shared" si="98"/>
        <v>0</v>
      </c>
      <c r="BD161" s="27">
        <f t="shared" si="99"/>
        <v>0</v>
      </c>
      <c r="BE161" s="27">
        <f t="shared" si="100"/>
        <v>0</v>
      </c>
      <c r="BF161" s="29">
        <f t="shared" si="107"/>
        <v>0</v>
      </c>
      <c r="BH161" s="30">
        <f t="shared" si="95"/>
        <v>0</v>
      </c>
      <c r="BM161" s="2">
        <f t="shared" si="84"/>
        <v>0</v>
      </c>
      <c r="BP161" s="2">
        <f t="shared" si="85"/>
        <v>0</v>
      </c>
    </row>
    <row r="162" spans="1:68" ht="14.45" hidden="1" customHeight="1" x14ac:dyDescent="0.25">
      <c r="A162" s="33" t="s">
        <v>191</v>
      </c>
      <c r="B162" s="23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13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5"/>
      <c r="AD162" s="25">
        <f t="shared" si="80"/>
        <v>0</v>
      </c>
      <c r="AE162" s="41" t="s">
        <v>146</v>
      </c>
      <c r="AF162" s="27"/>
      <c r="AG162" s="17">
        <f t="shared" si="86"/>
        <v>0</v>
      </c>
      <c r="AH162" s="28">
        <f t="shared" si="87"/>
        <v>0</v>
      </c>
      <c r="AI162" s="17">
        <f t="shared" si="88"/>
        <v>0</v>
      </c>
      <c r="AJ162" s="28">
        <f t="shared" si="89"/>
        <v>0</v>
      </c>
      <c r="AK162" s="17">
        <f t="shared" si="97"/>
        <v>0</v>
      </c>
      <c r="AL162" s="28">
        <f t="shared" si="90"/>
        <v>0</v>
      </c>
      <c r="AM162" s="17">
        <f t="shared" si="105"/>
        <v>0</v>
      </c>
      <c r="AN162" s="28">
        <f t="shared" si="81"/>
        <v>0</v>
      </c>
      <c r="AO162" s="17">
        <f t="shared" si="108"/>
        <v>0</v>
      </c>
      <c r="AP162" s="28">
        <f t="shared" si="82"/>
        <v>0</v>
      </c>
      <c r="AQ162" s="17">
        <f t="shared" si="109"/>
        <v>0</v>
      </c>
      <c r="AR162" s="28">
        <f t="shared" si="83"/>
        <v>0</v>
      </c>
      <c r="AS162" s="17">
        <f t="shared" si="101"/>
        <v>0</v>
      </c>
      <c r="AT162" s="28">
        <f t="shared" si="102"/>
        <v>0</v>
      </c>
      <c r="AU162" s="17">
        <f t="shared" si="103"/>
        <v>0</v>
      </c>
      <c r="AV162" s="28">
        <f t="shared" si="104"/>
        <v>0</v>
      </c>
      <c r="AW162" s="17">
        <f t="shared" si="91"/>
        <v>0</v>
      </c>
      <c r="AX162" s="28">
        <f t="shared" si="92"/>
        <v>0</v>
      </c>
      <c r="AY162" s="17">
        <f t="shared" si="93"/>
        <v>0</v>
      </c>
      <c r="AZ162" s="28">
        <f t="shared" si="94"/>
        <v>0</v>
      </c>
      <c r="BA162" s="27">
        <f t="shared" si="106"/>
        <v>0</v>
      </c>
      <c r="BB162" s="27">
        <f t="shared" si="96"/>
        <v>0</v>
      </c>
      <c r="BC162" s="27">
        <f t="shared" si="98"/>
        <v>0</v>
      </c>
      <c r="BD162" s="27">
        <f t="shared" si="99"/>
        <v>0</v>
      </c>
      <c r="BE162" s="27">
        <f t="shared" si="100"/>
        <v>0</v>
      </c>
      <c r="BF162" s="29">
        <f t="shared" si="107"/>
        <v>0</v>
      </c>
      <c r="BH162" s="30">
        <f t="shared" si="95"/>
        <v>0</v>
      </c>
      <c r="BM162" s="2">
        <f t="shared" si="84"/>
        <v>0</v>
      </c>
      <c r="BP162" s="2">
        <f t="shared" si="85"/>
        <v>0</v>
      </c>
    </row>
    <row r="163" spans="1:68" ht="14.45" hidden="1" customHeight="1" x14ac:dyDescent="0.25">
      <c r="A163" s="33" t="s">
        <v>192</v>
      </c>
      <c r="B163" s="2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13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5"/>
      <c r="AD163" s="25">
        <f t="shared" si="80"/>
        <v>0</v>
      </c>
      <c r="AE163" s="41" t="s">
        <v>146</v>
      </c>
      <c r="AF163" s="27"/>
      <c r="AG163" s="17">
        <f t="shared" si="86"/>
        <v>0</v>
      </c>
      <c r="AH163" s="28">
        <f t="shared" si="87"/>
        <v>0</v>
      </c>
      <c r="AI163" s="17">
        <f t="shared" si="88"/>
        <v>0</v>
      </c>
      <c r="AJ163" s="28">
        <f t="shared" si="89"/>
        <v>0</v>
      </c>
      <c r="AK163" s="17">
        <f t="shared" si="97"/>
        <v>0</v>
      </c>
      <c r="AL163" s="28">
        <f t="shared" si="90"/>
        <v>0</v>
      </c>
      <c r="AM163" s="17">
        <f t="shared" si="105"/>
        <v>0</v>
      </c>
      <c r="AN163" s="28">
        <f t="shared" si="81"/>
        <v>0</v>
      </c>
      <c r="AO163" s="17">
        <f t="shared" si="108"/>
        <v>0</v>
      </c>
      <c r="AP163" s="28">
        <f t="shared" si="82"/>
        <v>0</v>
      </c>
      <c r="AQ163" s="17">
        <f t="shared" si="109"/>
        <v>0</v>
      </c>
      <c r="AR163" s="28">
        <f t="shared" si="83"/>
        <v>0</v>
      </c>
      <c r="AS163" s="17">
        <f t="shared" si="101"/>
        <v>0</v>
      </c>
      <c r="AT163" s="28">
        <f t="shared" si="102"/>
        <v>0</v>
      </c>
      <c r="AU163" s="17">
        <f t="shared" si="103"/>
        <v>0</v>
      </c>
      <c r="AV163" s="28">
        <f t="shared" si="104"/>
        <v>0</v>
      </c>
      <c r="AW163" s="17">
        <f t="shared" si="91"/>
        <v>0</v>
      </c>
      <c r="AX163" s="28">
        <f t="shared" si="92"/>
        <v>0</v>
      </c>
      <c r="AY163" s="17">
        <f t="shared" si="93"/>
        <v>0</v>
      </c>
      <c r="AZ163" s="28">
        <f t="shared" si="94"/>
        <v>0</v>
      </c>
      <c r="BA163" s="27">
        <f t="shared" si="106"/>
        <v>0</v>
      </c>
      <c r="BB163" s="27">
        <f t="shared" si="96"/>
        <v>0</v>
      </c>
      <c r="BC163" s="27">
        <f t="shared" si="98"/>
        <v>0</v>
      </c>
      <c r="BD163" s="27">
        <f t="shared" si="99"/>
        <v>0</v>
      </c>
      <c r="BE163" s="27">
        <f t="shared" si="100"/>
        <v>0</v>
      </c>
      <c r="BF163" s="29">
        <f t="shared" si="107"/>
        <v>0</v>
      </c>
      <c r="BH163" s="30">
        <f t="shared" si="95"/>
        <v>0</v>
      </c>
      <c r="BM163" s="2">
        <f t="shared" si="84"/>
        <v>0</v>
      </c>
      <c r="BP163" s="2">
        <f t="shared" si="85"/>
        <v>0</v>
      </c>
    </row>
    <row r="164" spans="1:68" ht="14.45" hidden="1" customHeight="1" x14ac:dyDescent="0.25">
      <c r="A164" s="33" t="s">
        <v>193</v>
      </c>
      <c r="B164" s="2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13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5"/>
      <c r="AD164" s="25">
        <f t="shared" si="80"/>
        <v>0</v>
      </c>
      <c r="AE164" s="41" t="s">
        <v>146</v>
      </c>
      <c r="AF164" s="27"/>
      <c r="AG164" s="17">
        <f t="shared" si="86"/>
        <v>0</v>
      </c>
      <c r="AH164" s="28">
        <f t="shared" si="87"/>
        <v>0</v>
      </c>
      <c r="AI164" s="17">
        <f t="shared" si="88"/>
        <v>0</v>
      </c>
      <c r="AJ164" s="28">
        <f t="shared" si="89"/>
        <v>0</v>
      </c>
      <c r="AK164" s="17">
        <f t="shared" si="97"/>
        <v>0</v>
      </c>
      <c r="AL164" s="28">
        <f t="shared" si="90"/>
        <v>0</v>
      </c>
      <c r="AM164" s="17">
        <f t="shared" si="105"/>
        <v>0</v>
      </c>
      <c r="AN164" s="28">
        <f t="shared" si="81"/>
        <v>0</v>
      </c>
      <c r="AO164" s="17">
        <f t="shared" si="108"/>
        <v>0</v>
      </c>
      <c r="AP164" s="28">
        <f t="shared" si="82"/>
        <v>0</v>
      </c>
      <c r="AQ164" s="17">
        <f t="shared" si="109"/>
        <v>0</v>
      </c>
      <c r="AR164" s="28">
        <f t="shared" si="83"/>
        <v>0</v>
      </c>
      <c r="AS164" s="17">
        <f t="shared" si="101"/>
        <v>0</v>
      </c>
      <c r="AT164" s="28">
        <f t="shared" si="102"/>
        <v>0</v>
      </c>
      <c r="AU164" s="17">
        <f t="shared" si="103"/>
        <v>0</v>
      </c>
      <c r="AV164" s="28">
        <f t="shared" si="104"/>
        <v>0</v>
      </c>
      <c r="AW164" s="17">
        <f t="shared" si="91"/>
        <v>0</v>
      </c>
      <c r="AX164" s="28">
        <f t="shared" si="92"/>
        <v>0</v>
      </c>
      <c r="AY164" s="17">
        <f t="shared" si="93"/>
        <v>0</v>
      </c>
      <c r="AZ164" s="28">
        <f t="shared" si="94"/>
        <v>0</v>
      </c>
      <c r="BA164" s="27">
        <f t="shared" si="106"/>
        <v>0</v>
      </c>
      <c r="BB164" s="27">
        <f t="shared" si="96"/>
        <v>0</v>
      </c>
      <c r="BC164" s="27">
        <f t="shared" si="98"/>
        <v>0</v>
      </c>
      <c r="BD164" s="27">
        <f t="shared" si="99"/>
        <v>0</v>
      </c>
      <c r="BE164" s="27">
        <f t="shared" si="100"/>
        <v>0</v>
      </c>
      <c r="BF164" s="29">
        <f t="shared" si="107"/>
        <v>0</v>
      </c>
      <c r="BH164" s="30">
        <f t="shared" si="95"/>
        <v>0</v>
      </c>
      <c r="BM164" s="2">
        <f t="shared" si="84"/>
        <v>0</v>
      </c>
      <c r="BP164" s="2">
        <f t="shared" si="85"/>
        <v>0</v>
      </c>
    </row>
    <row r="165" spans="1:68" ht="14.45" hidden="1" customHeight="1" x14ac:dyDescent="0.25">
      <c r="A165" s="33" t="s">
        <v>194</v>
      </c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13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5"/>
      <c r="AD165" s="25">
        <f t="shared" si="80"/>
        <v>0</v>
      </c>
      <c r="AE165" s="41" t="s">
        <v>146</v>
      </c>
      <c r="AF165" s="27"/>
      <c r="AG165" s="17">
        <f t="shared" si="86"/>
        <v>0</v>
      </c>
      <c r="AH165" s="28">
        <f t="shared" si="87"/>
        <v>0</v>
      </c>
      <c r="AI165" s="17">
        <f t="shared" si="88"/>
        <v>0</v>
      </c>
      <c r="AJ165" s="28">
        <f t="shared" si="89"/>
        <v>0</v>
      </c>
      <c r="AK165" s="17">
        <f t="shared" si="97"/>
        <v>0</v>
      </c>
      <c r="AL165" s="28">
        <f t="shared" si="90"/>
        <v>0</v>
      </c>
      <c r="AM165" s="17">
        <f t="shared" si="105"/>
        <v>0</v>
      </c>
      <c r="AN165" s="28">
        <f t="shared" si="81"/>
        <v>0</v>
      </c>
      <c r="AO165" s="17">
        <f t="shared" si="108"/>
        <v>0</v>
      </c>
      <c r="AP165" s="28">
        <f t="shared" si="82"/>
        <v>0</v>
      </c>
      <c r="AQ165" s="17">
        <f t="shared" si="109"/>
        <v>0</v>
      </c>
      <c r="AR165" s="28">
        <f t="shared" si="83"/>
        <v>0</v>
      </c>
      <c r="AS165" s="17">
        <f t="shared" si="101"/>
        <v>0</v>
      </c>
      <c r="AT165" s="28">
        <f t="shared" si="102"/>
        <v>0</v>
      </c>
      <c r="AU165" s="17">
        <f t="shared" si="103"/>
        <v>0</v>
      </c>
      <c r="AV165" s="28">
        <f t="shared" si="104"/>
        <v>0</v>
      </c>
      <c r="AW165" s="17">
        <f t="shared" si="91"/>
        <v>0</v>
      </c>
      <c r="AX165" s="28">
        <f t="shared" si="92"/>
        <v>0</v>
      </c>
      <c r="AY165" s="17">
        <f t="shared" si="93"/>
        <v>0</v>
      </c>
      <c r="AZ165" s="28">
        <f t="shared" si="94"/>
        <v>0</v>
      </c>
      <c r="BA165" s="27">
        <f t="shared" si="106"/>
        <v>0</v>
      </c>
      <c r="BB165" s="27">
        <f t="shared" si="96"/>
        <v>0</v>
      </c>
      <c r="BC165" s="27">
        <f t="shared" si="98"/>
        <v>0</v>
      </c>
      <c r="BD165" s="27">
        <f t="shared" si="99"/>
        <v>0</v>
      </c>
      <c r="BE165" s="27">
        <f t="shared" si="100"/>
        <v>0</v>
      </c>
      <c r="BF165" s="29">
        <f t="shared" si="107"/>
        <v>0</v>
      </c>
      <c r="BH165" s="30">
        <f t="shared" si="95"/>
        <v>0</v>
      </c>
      <c r="BM165" s="2">
        <f t="shared" si="84"/>
        <v>0</v>
      </c>
      <c r="BP165" s="2">
        <f t="shared" si="85"/>
        <v>0</v>
      </c>
    </row>
    <row r="166" spans="1:68" ht="14.45" hidden="1" customHeight="1" x14ac:dyDescent="0.25">
      <c r="A166" s="33" t="s">
        <v>195</v>
      </c>
      <c r="B166" s="23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13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5"/>
      <c r="AD166" s="25">
        <f t="shared" si="80"/>
        <v>0</v>
      </c>
      <c r="AE166" s="41" t="s">
        <v>146</v>
      </c>
      <c r="AF166" s="27"/>
      <c r="AG166" s="17">
        <f t="shared" si="86"/>
        <v>0</v>
      </c>
      <c r="AH166" s="28">
        <f t="shared" si="87"/>
        <v>0</v>
      </c>
      <c r="AI166" s="17">
        <f t="shared" si="88"/>
        <v>0</v>
      </c>
      <c r="AJ166" s="28">
        <f t="shared" si="89"/>
        <v>0</v>
      </c>
      <c r="AK166" s="17">
        <f t="shared" si="97"/>
        <v>0</v>
      </c>
      <c r="AL166" s="28">
        <f t="shared" si="90"/>
        <v>0</v>
      </c>
      <c r="AM166" s="17">
        <f t="shared" si="105"/>
        <v>0</v>
      </c>
      <c r="AN166" s="28">
        <f t="shared" si="81"/>
        <v>0</v>
      </c>
      <c r="AO166" s="17">
        <f t="shared" si="108"/>
        <v>0</v>
      </c>
      <c r="AP166" s="28">
        <f t="shared" si="82"/>
        <v>0</v>
      </c>
      <c r="AQ166" s="17">
        <f t="shared" si="109"/>
        <v>0</v>
      </c>
      <c r="AR166" s="28">
        <f t="shared" si="83"/>
        <v>0</v>
      </c>
      <c r="AS166" s="17">
        <f t="shared" si="101"/>
        <v>0</v>
      </c>
      <c r="AT166" s="28">
        <f t="shared" si="102"/>
        <v>0</v>
      </c>
      <c r="AU166" s="17">
        <f t="shared" si="103"/>
        <v>0</v>
      </c>
      <c r="AV166" s="28">
        <f t="shared" si="104"/>
        <v>0</v>
      </c>
      <c r="AW166" s="17">
        <f t="shared" si="91"/>
        <v>0</v>
      </c>
      <c r="AX166" s="28">
        <f t="shared" si="92"/>
        <v>0</v>
      </c>
      <c r="AY166" s="17">
        <f t="shared" si="93"/>
        <v>0</v>
      </c>
      <c r="AZ166" s="28">
        <f t="shared" si="94"/>
        <v>0</v>
      </c>
      <c r="BA166" s="27">
        <f t="shared" si="106"/>
        <v>0</v>
      </c>
      <c r="BB166" s="27">
        <f t="shared" si="96"/>
        <v>0</v>
      </c>
      <c r="BC166" s="27">
        <f t="shared" si="98"/>
        <v>0</v>
      </c>
      <c r="BD166" s="27">
        <f t="shared" si="99"/>
        <v>0</v>
      </c>
      <c r="BE166" s="27">
        <f t="shared" si="100"/>
        <v>0</v>
      </c>
      <c r="BF166" s="29">
        <f t="shared" si="107"/>
        <v>0</v>
      </c>
      <c r="BH166" s="30">
        <f t="shared" si="95"/>
        <v>0</v>
      </c>
      <c r="BM166" s="2">
        <f t="shared" si="84"/>
        <v>0</v>
      </c>
      <c r="BP166" s="2">
        <f t="shared" si="85"/>
        <v>0</v>
      </c>
    </row>
    <row r="167" spans="1:68" ht="14.45" hidden="1" customHeight="1" x14ac:dyDescent="0.25">
      <c r="A167" s="33" t="s">
        <v>196</v>
      </c>
      <c r="B167" s="2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13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5"/>
      <c r="AD167" s="25">
        <f t="shared" si="80"/>
        <v>0</v>
      </c>
      <c r="AE167" s="41" t="s">
        <v>146</v>
      </c>
      <c r="AF167" s="27"/>
      <c r="AG167" s="17">
        <f t="shared" si="86"/>
        <v>0</v>
      </c>
      <c r="AH167" s="28">
        <f t="shared" si="87"/>
        <v>0</v>
      </c>
      <c r="AI167" s="17">
        <f t="shared" si="88"/>
        <v>0</v>
      </c>
      <c r="AJ167" s="28">
        <f t="shared" si="89"/>
        <v>0</v>
      </c>
      <c r="AK167" s="17">
        <f t="shared" si="97"/>
        <v>0</v>
      </c>
      <c r="AL167" s="28">
        <f t="shared" si="90"/>
        <v>0</v>
      </c>
      <c r="AM167" s="17">
        <f t="shared" si="105"/>
        <v>0</v>
      </c>
      <c r="AN167" s="28">
        <f t="shared" si="81"/>
        <v>0</v>
      </c>
      <c r="AO167" s="17">
        <f t="shared" si="108"/>
        <v>0</v>
      </c>
      <c r="AP167" s="28">
        <f t="shared" si="82"/>
        <v>0</v>
      </c>
      <c r="AQ167" s="17">
        <f t="shared" si="109"/>
        <v>0</v>
      </c>
      <c r="AR167" s="28">
        <f t="shared" si="83"/>
        <v>0</v>
      </c>
      <c r="AS167" s="17">
        <f t="shared" si="101"/>
        <v>0</v>
      </c>
      <c r="AT167" s="28">
        <f t="shared" si="102"/>
        <v>0</v>
      </c>
      <c r="AU167" s="17">
        <f t="shared" si="103"/>
        <v>0</v>
      </c>
      <c r="AV167" s="28">
        <f t="shared" si="104"/>
        <v>0</v>
      </c>
      <c r="AW167" s="17">
        <f t="shared" si="91"/>
        <v>0</v>
      </c>
      <c r="AX167" s="28">
        <f t="shared" si="92"/>
        <v>0</v>
      </c>
      <c r="AY167" s="17">
        <f t="shared" si="93"/>
        <v>0</v>
      </c>
      <c r="AZ167" s="28">
        <f t="shared" si="94"/>
        <v>0</v>
      </c>
      <c r="BA167" s="27">
        <f t="shared" si="106"/>
        <v>0</v>
      </c>
      <c r="BB167" s="27">
        <f t="shared" si="96"/>
        <v>0</v>
      </c>
      <c r="BC167" s="27">
        <f t="shared" si="98"/>
        <v>0</v>
      </c>
      <c r="BD167" s="27">
        <f t="shared" si="99"/>
        <v>0</v>
      </c>
      <c r="BE167" s="27">
        <f t="shared" si="100"/>
        <v>0</v>
      </c>
      <c r="BF167" s="29">
        <f t="shared" si="107"/>
        <v>0</v>
      </c>
      <c r="BH167" s="30">
        <f t="shared" si="95"/>
        <v>0</v>
      </c>
      <c r="BM167" s="2">
        <f t="shared" si="84"/>
        <v>0</v>
      </c>
      <c r="BP167" s="2">
        <f t="shared" si="85"/>
        <v>0</v>
      </c>
    </row>
    <row r="168" spans="1:68" ht="14.45" customHeight="1" x14ac:dyDescent="0.25">
      <c r="A168" s="33" t="s">
        <v>197</v>
      </c>
      <c r="B168" s="23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13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5"/>
      <c r="AD168" s="25"/>
      <c r="AE168" s="41" t="s">
        <v>146</v>
      </c>
      <c r="AF168" s="27"/>
      <c r="AG168" s="17">
        <f t="shared" si="86"/>
        <v>0</v>
      </c>
      <c r="AH168" s="28">
        <f t="shared" si="87"/>
        <v>0</v>
      </c>
      <c r="AI168" s="17">
        <f t="shared" si="88"/>
        <v>0</v>
      </c>
      <c r="AJ168" s="28">
        <f t="shared" si="89"/>
        <v>0</v>
      </c>
      <c r="AK168" s="17">
        <f t="shared" si="97"/>
        <v>0</v>
      </c>
      <c r="AL168" s="28">
        <f t="shared" si="90"/>
        <v>0</v>
      </c>
      <c r="AM168" s="17">
        <f t="shared" si="105"/>
        <v>0</v>
      </c>
      <c r="AN168" s="28"/>
      <c r="AO168" s="17">
        <f t="shared" si="108"/>
        <v>0</v>
      </c>
      <c r="AP168" s="28"/>
      <c r="AQ168" s="17">
        <f t="shared" si="109"/>
        <v>0</v>
      </c>
      <c r="AR168" s="28"/>
      <c r="AS168" s="17">
        <f t="shared" si="101"/>
        <v>0</v>
      </c>
      <c r="AT168" s="28">
        <f t="shared" si="102"/>
        <v>0</v>
      </c>
      <c r="AU168" s="17">
        <f t="shared" si="103"/>
        <v>0</v>
      </c>
      <c r="AV168" s="28">
        <f t="shared" si="104"/>
        <v>0</v>
      </c>
      <c r="AW168" s="17">
        <f t="shared" si="91"/>
        <v>0</v>
      </c>
      <c r="AX168" s="28">
        <f t="shared" si="92"/>
        <v>0</v>
      </c>
      <c r="AY168" s="17">
        <f t="shared" si="93"/>
        <v>0</v>
      </c>
      <c r="AZ168" s="28">
        <f t="shared" si="94"/>
        <v>0</v>
      </c>
      <c r="BA168" s="27">
        <f t="shared" si="106"/>
        <v>0</v>
      </c>
      <c r="BB168" s="27">
        <f t="shared" si="96"/>
        <v>0</v>
      </c>
      <c r="BC168" s="27">
        <f t="shared" si="98"/>
        <v>0</v>
      </c>
      <c r="BD168" s="27">
        <f t="shared" si="99"/>
        <v>0</v>
      </c>
      <c r="BE168" s="27">
        <f t="shared" si="100"/>
        <v>0</v>
      </c>
      <c r="BF168" s="29">
        <f t="shared" si="107"/>
        <v>0</v>
      </c>
      <c r="BH168" s="30">
        <f t="shared" si="95"/>
        <v>0</v>
      </c>
    </row>
    <row r="169" spans="1:68" ht="14.45" customHeight="1" x14ac:dyDescent="0.25">
      <c r="A169" s="33" t="s">
        <v>198</v>
      </c>
      <c r="B169" s="23"/>
      <c r="C169" s="24"/>
      <c r="D169" s="24">
        <v>0.75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13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5"/>
      <c r="AD169" s="25"/>
      <c r="AE169" s="41" t="s">
        <v>146</v>
      </c>
      <c r="AF169" s="27">
        <v>3900</v>
      </c>
      <c r="AG169" s="17">
        <f t="shared" si="86"/>
        <v>0</v>
      </c>
      <c r="AH169" s="28">
        <f t="shared" si="87"/>
        <v>0</v>
      </c>
      <c r="AI169" s="17">
        <f t="shared" si="88"/>
        <v>0</v>
      </c>
      <c r="AJ169" s="28">
        <f t="shared" si="89"/>
        <v>0</v>
      </c>
      <c r="AK169" s="17">
        <f t="shared" si="97"/>
        <v>0</v>
      </c>
      <c r="AL169" s="28">
        <f t="shared" si="90"/>
        <v>0</v>
      </c>
      <c r="AM169" s="17">
        <f t="shared" si="105"/>
        <v>0</v>
      </c>
      <c r="AN169" s="28"/>
      <c r="AO169" s="17"/>
      <c r="AP169" s="28"/>
      <c r="AQ169" s="17"/>
      <c r="AR169" s="28"/>
      <c r="AS169" s="17">
        <f t="shared" si="101"/>
        <v>0</v>
      </c>
      <c r="AT169" s="28">
        <f t="shared" si="102"/>
        <v>0</v>
      </c>
      <c r="AU169" s="17">
        <f t="shared" si="103"/>
        <v>0</v>
      </c>
      <c r="AV169" s="28">
        <f t="shared" si="104"/>
        <v>0</v>
      </c>
      <c r="AW169" s="17">
        <f t="shared" si="91"/>
        <v>0.75</v>
      </c>
      <c r="AX169" s="28">
        <f t="shared" si="92"/>
        <v>2925</v>
      </c>
      <c r="AY169" s="17">
        <f t="shared" si="93"/>
        <v>0</v>
      </c>
      <c r="AZ169" s="28">
        <f t="shared" si="94"/>
        <v>0</v>
      </c>
      <c r="BA169" s="27"/>
      <c r="BB169" s="27">
        <f t="shared" si="96"/>
        <v>0</v>
      </c>
      <c r="BC169" s="27">
        <f t="shared" si="98"/>
        <v>0</v>
      </c>
      <c r="BD169" s="27">
        <f t="shared" si="99"/>
        <v>0</v>
      </c>
      <c r="BE169" s="27">
        <f t="shared" si="100"/>
        <v>2925</v>
      </c>
      <c r="BF169" s="29"/>
      <c r="BH169" s="30">
        <f t="shared" si="95"/>
        <v>0</v>
      </c>
    </row>
    <row r="170" spans="1:68" ht="14.45" customHeight="1" x14ac:dyDescent="0.25">
      <c r="A170" s="33" t="s">
        <v>199</v>
      </c>
      <c r="B170" s="2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13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5"/>
      <c r="AD170" s="25"/>
      <c r="AE170" s="41" t="s">
        <v>146</v>
      </c>
      <c r="AF170" s="27">
        <v>3900</v>
      </c>
      <c r="AG170" s="17">
        <f t="shared" si="86"/>
        <v>0</v>
      </c>
      <c r="AH170" s="28">
        <f t="shared" si="87"/>
        <v>0</v>
      </c>
      <c r="AI170" s="17">
        <f t="shared" si="88"/>
        <v>0</v>
      </c>
      <c r="AJ170" s="28">
        <f t="shared" si="89"/>
        <v>0</v>
      </c>
      <c r="AK170" s="17">
        <f t="shared" si="97"/>
        <v>0</v>
      </c>
      <c r="AL170" s="28">
        <f t="shared" si="90"/>
        <v>0</v>
      </c>
      <c r="AM170" s="17">
        <f t="shared" si="105"/>
        <v>0</v>
      </c>
      <c r="AN170" s="28"/>
      <c r="AO170" s="17"/>
      <c r="AP170" s="28"/>
      <c r="AQ170" s="17"/>
      <c r="AR170" s="28"/>
      <c r="AS170" s="17">
        <f t="shared" si="101"/>
        <v>0</v>
      </c>
      <c r="AT170" s="28">
        <f t="shared" si="102"/>
        <v>0</v>
      </c>
      <c r="AU170" s="17">
        <f t="shared" si="103"/>
        <v>0</v>
      </c>
      <c r="AV170" s="28">
        <f t="shared" si="104"/>
        <v>0</v>
      </c>
      <c r="AW170" s="17">
        <f t="shared" si="91"/>
        <v>0</v>
      </c>
      <c r="AX170" s="28">
        <f t="shared" si="92"/>
        <v>0</v>
      </c>
      <c r="AY170" s="17">
        <f t="shared" si="93"/>
        <v>0</v>
      </c>
      <c r="AZ170" s="28">
        <f t="shared" si="94"/>
        <v>0</v>
      </c>
      <c r="BA170" s="27"/>
      <c r="BB170" s="27">
        <f t="shared" si="96"/>
        <v>0</v>
      </c>
      <c r="BC170" s="27">
        <f t="shared" si="98"/>
        <v>0</v>
      </c>
      <c r="BD170" s="27">
        <f t="shared" si="99"/>
        <v>0</v>
      </c>
      <c r="BE170" s="27">
        <f t="shared" si="100"/>
        <v>0</v>
      </c>
      <c r="BF170" s="29"/>
      <c r="BH170" s="30">
        <f t="shared" si="95"/>
        <v>0</v>
      </c>
    </row>
    <row r="171" spans="1:68" ht="14.45" customHeight="1" x14ac:dyDescent="0.25">
      <c r="A171" s="33" t="s">
        <v>200</v>
      </c>
      <c r="B171" s="23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13"/>
      <c r="P171" s="24"/>
      <c r="Q171" s="24">
        <v>0.1</v>
      </c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5"/>
      <c r="AD171" s="25"/>
      <c r="AE171" s="41" t="s">
        <v>146</v>
      </c>
      <c r="AF171" s="27"/>
      <c r="AG171" s="17">
        <f t="shared" si="86"/>
        <v>0</v>
      </c>
      <c r="AH171" s="28">
        <f t="shared" si="87"/>
        <v>0</v>
      </c>
      <c r="AI171" s="17">
        <f t="shared" si="88"/>
        <v>0</v>
      </c>
      <c r="AJ171" s="28">
        <f t="shared" si="89"/>
        <v>0</v>
      </c>
      <c r="AK171" s="17">
        <f t="shared" si="97"/>
        <v>0</v>
      </c>
      <c r="AL171" s="28">
        <f t="shared" si="90"/>
        <v>0</v>
      </c>
      <c r="AM171" s="17">
        <f t="shared" si="105"/>
        <v>0</v>
      </c>
      <c r="AN171" s="28"/>
      <c r="AO171" s="17"/>
      <c r="AP171" s="28"/>
      <c r="AQ171" s="17"/>
      <c r="AR171" s="28"/>
      <c r="AS171" s="17">
        <f t="shared" si="101"/>
        <v>0</v>
      </c>
      <c r="AT171" s="28">
        <f t="shared" si="102"/>
        <v>0</v>
      </c>
      <c r="AU171" s="17">
        <f t="shared" si="103"/>
        <v>0.1</v>
      </c>
      <c r="AV171" s="28">
        <f t="shared" si="104"/>
        <v>0</v>
      </c>
      <c r="AW171" s="17">
        <f t="shared" si="91"/>
        <v>0</v>
      </c>
      <c r="AX171" s="28">
        <f t="shared" si="92"/>
        <v>0</v>
      </c>
      <c r="AY171" s="17">
        <f t="shared" si="93"/>
        <v>0</v>
      </c>
      <c r="AZ171" s="28">
        <f t="shared" si="94"/>
        <v>0</v>
      </c>
      <c r="BA171" s="27"/>
      <c r="BB171" s="27">
        <f t="shared" si="96"/>
        <v>0</v>
      </c>
      <c r="BC171" s="27">
        <f t="shared" si="98"/>
        <v>0</v>
      </c>
      <c r="BD171" s="27">
        <f t="shared" si="99"/>
        <v>0</v>
      </c>
      <c r="BE171" s="27">
        <f t="shared" si="100"/>
        <v>0</v>
      </c>
      <c r="BF171" s="29"/>
      <c r="BH171" s="30">
        <f t="shared" si="95"/>
        <v>0.1</v>
      </c>
    </row>
    <row r="172" spans="1:68" ht="14.45" customHeight="1" x14ac:dyDescent="0.25">
      <c r="A172" s="33" t="s">
        <v>201</v>
      </c>
      <c r="B172" s="23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13"/>
      <c r="P172" s="24"/>
      <c r="Q172" s="24">
        <v>0.1</v>
      </c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5"/>
      <c r="AD172" s="25"/>
      <c r="AE172" s="41" t="s">
        <v>146</v>
      </c>
      <c r="AF172" s="27"/>
      <c r="AG172" s="17">
        <f t="shared" si="86"/>
        <v>0</v>
      </c>
      <c r="AH172" s="28">
        <f t="shared" si="87"/>
        <v>0</v>
      </c>
      <c r="AI172" s="17">
        <f t="shared" si="88"/>
        <v>0</v>
      </c>
      <c r="AJ172" s="28">
        <f t="shared" si="89"/>
        <v>0</v>
      </c>
      <c r="AK172" s="17">
        <f t="shared" si="97"/>
        <v>0</v>
      </c>
      <c r="AL172" s="28">
        <f t="shared" si="90"/>
        <v>0</v>
      </c>
      <c r="AM172" s="17">
        <f t="shared" si="105"/>
        <v>0</v>
      </c>
      <c r="AN172" s="28"/>
      <c r="AO172" s="17"/>
      <c r="AP172" s="28"/>
      <c r="AQ172" s="17"/>
      <c r="AR172" s="28"/>
      <c r="AS172" s="17">
        <f t="shared" si="101"/>
        <v>0</v>
      </c>
      <c r="AT172" s="28">
        <f t="shared" si="102"/>
        <v>0</v>
      </c>
      <c r="AU172" s="17">
        <f t="shared" si="103"/>
        <v>0.1</v>
      </c>
      <c r="AV172" s="28">
        <f t="shared" si="104"/>
        <v>0</v>
      </c>
      <c r="AW172" s="17">
        <f t="shared" si="91"/>
        <v>0</v>
      </c>
      <c r="AX172" s="28">
        <f t="shared" si="92"/>
        <v>0</v>
      </c>
      <c r="AY172" s="17">
        <f t="shared" si="93"/>
        <v>0</v>
      </c>
      <c r="AZ172" s="28">
        <f t="shared" si="94"/>
        <v>0</v>
      </c>
      <c r="BA172" s="27"/>
      <c r="BB172" s="27">
        <f t="shared" si="96"/>
        <v>0</v>
      </c>
      <c r="BC172" s="27">
        <f t="shared" si="98"/>
        <v>0</v>
      </c>
      <c r="BD172" s="27">
        <f t="shared" si="99"/>
        <v>0</v>
      </c>
      <c r="BE172" s="27">
        <f t="shared" si="100"/>
        <v>0</v>
      </c>
      <c r="BF172" s="29"/>
      <c r="BH172" s="30">
        <f t="shared" si="95"/>
        <v>0.1</v>
      </c>
    </row>
    <row r="173" spans="1:68" ht="14.45" customHeight="1" x14ac:dyDescent="0.25">
      <c r="A173" s="33" t="s">
        <v>202</v>
      </c>
      <c r="B173" s="2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13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5"/>
      <c r="AD173" s="25"/>
      <c r="AE173" s="41" t="s">
        <v>146</v>
      </c>
      <c r="AF173" s="27"/>
      <c r="AG173" s="17">
        <f t="shared" si="86"/>
        <v>0</v>
      </c>
      <c r="AH173" s="28">
        <f t="shared" si="87"/>
        <v>0</v>
      </c>
      <c r="AI173" s="17">
        <f t="shared" si="88"/>
        <v>0</v>
      </c>
      <c r="AJ173" s="28">
        <f t="shared" si="89"/>
        <v>0</v>
      </c>
      <c r="AK173" s="17">
        <f t="shared" si="97"/>
        <v>0</v>
      </c>
      <c r="AL173" s="28">
        <f t="shared" si="90"/>
        <v>0</v>
      </c>
      <c r="AM173" s="17">
        <f t="shared" si="105"/>
        <v>0</v>
      </c>
      <c r="AN173" s="28"/>
      <c r="AO173" s="17"/>
      <c r="AP173" s="28"/>
      <c r="AQ173" s="17"/>
      <c r="AR173" s="28"/>
      <c r="AS173" s="17">
        <f t="shared" si="101"/>
        <v>0</v>
      </c>
      <c r="AT173" s="28">
        <f t="shared" si="102"/>
        <v>0</v>
      </c>
      <c r="AU173" s="17">
        <f t="shared" si="103"/>
        <v>0</v>
      </c>
      <c r="AV173" s="28">
        <f t="shared" si="104"/>
        <v>0</v>
      </c>
      <c r="AW173" s="17">
        <f t="shared" si="91"/>
        <v>0</v>
      </c>
      <c r="AX173" s="28">
        <f t="shared" si="92"/>
        <v>0</v>
      </c>
      <c r="AY173" s="17">
        <f t="shared" si="93"/>
        <v>0</v>
      </c>
      <c r="AZ173" s="28">
        <f t="shared" si="94"/>
        <v>0</v>
      </c>
      <c r="BA173" s="27"/>
      <c r="BB173" s="27">
        <f t="shared" si="96"/>
        <v>0</v>
      </c>
      <c r="BC173" s="27">
        <f t="shared" si="98"/>
        <v>0</v>
      </c>
      <c r="BD173" s="27">
        <f t="shared" si="99"/>
        <v>0</v>
      </c>
      <c r="BE173" s="27">
        <f t="shared" si="100"/>
        <v>0</v>
      </c>
      <c r="BF173" s="29"/>
      <c r="BH173" s="30">
        <f t="shared" si="95"/>
        <v>0</v>
      </c>
    </row>
    <row r="174" spans="1:68" ht="14.45" customHeight="1" x14ac:dyDescent="0.25">
      <c r="A174" s="33" t="s">
        <v>203</v>
      </c>
      <c r="B174" s="23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13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5"/>
      <c r="AD174" s="25"/>
      <c r="AE174" s="40" t="s">
        <v>42</v>
      </c>
      <c r="AF174" s="34">
        <v>1003</v>
      </c>
      <c r="AG174" s="17">
        <f t="shared" si="86"/>
        <v>0</v>
      </c>
      <c r="AH174" s="28">
        <f t="shared" si="87"/>
        <v>0</v>
      </c>
      <c r="AI174" s="17">
        <f t="shared" si="88"/>
        <v>0</v>
      </c>
      <c r="AJ174" s="28">
        <f t="shared" si="89"/>
        <v>0</v>
      </c>
      <c r="AK174" s="17">
        <f t="shared" si="97"/>
        <v>0</v>
      </c>
      <c r="AL174" s="28">
        <f t="shared" si="90"/>
        <v>0</v>
      </c>
      <c r="AM174" s="17">
        <f t="shared" si="105"/>
        <v>0</v>
      </c>
      <c r="AN174" s="28">
        <f>+AM174*AF174</f>
        <v>0</v>
      </c>
      <c r="AO174" s="17">
        <f>+B174</f>
        <v>0</v>
      </c>
      <c r="AP174" s="28"/>
      <c r="AQ174" s="17">
        <f>+P174</f>
        <v>0</v>
      </c>
      <c r="AR174" s="28"/>
      <c r="AS174" s="17">
        <f t="shared" si="101"/>
        <v>0</v>
      </c>
      <c r="AT174" s="28">
        <f t="shared" si="102"/>
        <v>0</v>
      </c>
      <c r="AU174" s="17">
        <f t="shared" si="103"/>
        <v>0</v>
      </c>
      <c r="AV174" s="28">
        <f t="shared" si="104"/>
        <v>0</v>
      </c>
      <c r="AW174" s="17">
        <f t="shared" si="91"/>
        <v>0</v>
      </c>
      <c r="AX174" s="28">
        <f t="shared" si="92"/>
        <v>0</v>
      </c>
      <c r="AY174" s="17">
        <f t="shared" si="93"/>
        <v>0</v>
      </c>
      <c r="AZ174" s="28">
        <f t="shared" si="94"/>
        <v>0</v>
      </c>
      <c r="BA174" s="27">
        <f t="shared" si="106"/>
        <v>0</v>
      </c>
      <c r="BB174" s="27">
        <f t="shared" si="96"/>
        <v>0</v>
      </c>
      <c r="BC174" s="27">
        <f t="shared" si="98"/>
        <v>0</v>
      </c>
      <c r="BD174" s="27">
        <f t="shared" si="99"/>
        <v>0</v>
      </c>
      <c r="BE174" s="27">
        <f t="shared" si="100"/>
        <v>0</v>
      </c>
      <c r="BF174" s="29">
        <f t="shared" si="107"/>
        <v>0</v>
      </c>
      <c r="BH174" s="30">
        <f t="shared" si="95"/>
        <v>0</v>
      </c>
    </row>
    <row r="175" spans="1:68" ht="14.45" customHeight="1" x14ac:dyDescent="0.25">
      <c r="A175" s="33" t="s">
        <v>204</v>
      </c>
      <c r="B175" s="23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>
        <v>40</v>
      </c>
      <c r="N175" s="24"/>
      <c r="O175" s="13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5"/>
      <c r="AD175" s="25"/>
      <c r="AE175" s="40" t="s">
        <v>42</v>
      </c>
      <c r="AF175" s="34"/>
      <c r="AG175" s="17">
        <f t="shared" si="86"/>
        <v>0</v>
      </c>
      <c r="AH175" s="28">
        <f t="shared" si="87"/>
        <v>0</v>
      </c>
      <c r="AI175" s="17">
        <f t="shared" si="88"/>
        <v>0</v>
      </c>
      <c r="AJ175" s="28">
        <f t="shared" si="89"/>
        <v>0</v>
      </c>
      <c r="AK175" s="17">
        <f t="shared" si="97"/>
        <v>0</v>
      </c>
      <c r="AL175" s="28">
        <f t="shared" si="90"/>
        <v>0</v>
      </c>
      <c r="AM175" s="17">
        <f t="shared" si="105"/>
        <v>0</v>
      </c>
      <c r="AN175" s="28"/>
      <c r="AO175" s="17"/>
      <c r="AP175" s="28"/>
      <c r="AQ175" s="17"/>
      <c r="AR175" s="28"/>
      <c r="AS175" s="17">
        <f t="shared" si="101"/>
        <v>0</v>
      </c>
      <c r="AT175" s="28">
        <f t="shared" si="102"/>
        <v>0</v>
      </c>
      <c r="AU175" s="17">
        <f t="shared" si="103"/>
        <v>0</v>
      </c>
      <c r="AV175" s="28">
        <f t="shared" si="104"/>
        <v>0</v>
      </c>
      <c r="AW175" s="17">
        <f t="shared" si="91"/>
        <v>0</v>
      </c>
      <c r="AX175" s="28">
        <f t="shared" si="92"/>
        <v>0</v>
      </c>
      <c r="AY175" s="17">
        <f t="shared" si="93"/>
        <v>0</v>
      </c>
      <c r="AZ175" s="28">
        <f t="shared" si="94"/>
        <v>0</v>
      </c>
      <c r="BA175" s="27"/>
      <c r="BB175" s="27">
        <f t="shared" si="96"/>
        <v>0</v>
      </c>
      <c r="BC175" s="27">
        <f t="shared" si="98"/>
        <v>0</v>
      </c>
      <c r="BD175" s="27">
        <f t="shared" si="99"/>
        <v>0</v>
      </c>
      <c r="BE175" s="27">
        <f t="shared" si="100"/>
        <v>0</v>
      </c>
      <c r="BF175" s="29"/>
      <c r="BH175" s="30">
        <f t="shared" si="95"/>
        <v>40</v>
      </c>
    </row>
    <row r="176" spans="1:68" ht="14.45" customHeight="1" x14ac:dyDescent="0.25">
      <c r="A176" s="33" t="s">
        <v>205</v>
      </c>
      <c r="B176" s="23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>
        <v>27</v>
      </c>
      <c r="N176" s="24"/>
      <c r="O176" s="13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5"/>
      <c r="AD176" s="25"/>
      <c r="AE176" s="40" t="s">
        <v>42</v>
      </c>
      <c r="AF176" s="34"/>
      <c r="AG176" s="17">
        <f t="shared" si="86"/>
        <v>0</v>
      </c>
      <c r="AH176" s="28">
        <f t="shared" si="87"/>
        <v>0</v>
      </c>
      <c r="AI176" s="17">
        <f t="shared" si="88"/>
        <v>0</v>
      </c>
      <c r="AJ176" s="28">
        <f t="shared" si="89"/>
        <v>0</v>
      </c>
      <c r="AK176" s="17">
        <f t="shared" si="97"/>
        <v>0</v>
      </c>
      <c r="AL176" s="28">
        <f t="shared" si="90"/>
        <v>0</v>
      </c>
      <c r="AM176" s="17">
        <f t="shared" si="105"/>
        <v>0</v>
      </c>
      <c r="AN176" s="28"/>
      <c r="AO176" s="17"/>
      <c r="AP176" s="28"/>
      <c r="AQ176" s="17"/>
      <c r="AR176" s="28"/>
      <c r="AS176" s="17">
        <f t="shared" si="101"/>
        <v>0</v>
      </c>
      <c r="AT176" s="28">
        <f t="shared" si="102"/>
        <v>0</v>
      </c>
      <c r="AU176" s="17">
        <f t="shared" si="103"/>
        <v>0</v>
      </c>
      <c r="AV176" s="28">
        <f t="shared" si="104"/>
        <v>0</v>
      </c>
      <c r="AW176" s="17">
        <f t="shared" si="91"/>
        <v>0</v>
      </c>
      <c r="AX176" s="28">
        <f t="shared" si="92"/>
        <v>0</v>
      </c>
      <c r="AY176" s="17">
        <f t="shared" si="93"/>
        <v>0</v>
      </c>
      <c r="AZ176" s="28">
        <f t="shared" si="94"/>
        <v>0</v>
      </c>
      <c r="BA176" s="27"/>
      <c r="BB176" s="27">
        <f t="shared" si="96"/>
        <v>0</v>
      </c>
      <c r="BC176" s="27">
        <f t="shared" si="98"/>
        <v>0</v>
      </c>
      <c r="BD176" s="27">
        <f t="shared" si="99"/>
        <v>0</v>
      </c>
      <c r="BE176" s="27">
        <f t="shared" si="100"/>
        <v>0</v>
      </c>
      <c r="BF176" s="29"/>
      <c r="BH176" s="30">
        <f t="shared" si="95"/>
        <v>27</v>
      </c>
    </row>
    <row r="177" spans="1:68" ht="14.45" customHeight="1" x14ac:dyDescent="0.25">
      <c r="A177" s="33" t="s">
        <v>206</v>
      </c>
      <c r="B177" s="23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13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5"/>
      <c r="AD177" s="25"/>
      <c r="AE177" s="40" t="s">
        <v>42</v>
      </c>
      <c r="AF177" s="27">
        <v>600</v>
      </c>
      <c r="AG177" s="17">
        <f t="shared" si="86"/>
        <v>0</v>
      </c>
      <c r="AH177" s="28">
        <f t="shared" si="87"/>
        <v>0</v>
      </c>
      <c r="AI177" s="17">
        <f t="shared" si="88"/>
        <v>0</v>
      </c>
      <c r="AJ177" s="28">
        <f t="shared" si="89"/>
        <v>0</v>
      </c>
      <c r="AK177" s="17">
        <f t="shared" si="97"/>
        <v>0</v>
      </c>
      <c r="AL177" s="28">
        <f t="shared" si="90"/>
        <v>0</v>
      </c>
      <c r="AM177" s="17">
        <f t="shared" si="105"/>
        <v>0</v>
      </c>
      <c r="AN177" s="28"/>
      <c r="AO177" s="17">
        <f t="shared" ref="AO177:AO228" si="110">+B177</f>
        <v>0</v>
      </c>
      <c r="AP177" s="28"/>
      <c r="AQ177" s="17">
        <f t="shared" ref="AQ177:AQ228" si="111">+P177</f>
        <v>0</v>
      </c>
      <c r="AR177" s="28"/>
      <c r="AS177" s="17">
        <f t="shared" si="101"/>
        <v>0</v>
      </c>
      <c r="AT177" s="28">
        <f t="shared" si="102"/>
        <v>0</v>
      </c>
      <c r="AU177" s="17">
        <f t="shared" si="103"/>
        <v>0</v>
      </c>
      <c r="AV177" s="28">
        <f t="shared" si="104"/>
        <v>0</v>
      </c>
      <c r="AW177" s="17">
        <f t="shared" si="91"/>
        <v>0</v>
      </c>
      <c r="AX177" s="28">
        <f t="shared" si="92"/>
        <v>0</v>
      </c>
      <c r="AY177" s="17">
        <f t="shared" si="93"/>
        <v>0</v>
      </c>
      <c r="AZ177" s="28">
        <f t="shared" si="94"/>
        <v>0</v>
      </c>
      <c r="BA177" s="27">
        <f t="shared" si="106"/>
        <v>0</v>
      </c>
      <c r="BB177" s="27">
        <f t="shared" si="96"/>
        <v>0</v>
      </c>
      <c r="BC177" s="27">
        <f t="shared" si="98"/>
        <v>0</v>
      </c>
      <c r="BD177" s="27">
        <f t="shared" si="99"/>
        <v>0</v>
      </c>
      <c r="BE177" s="27">
        <f t="shared" si="100"/>
        <v>0</v>
      </c>
      <c r="BF177" s="29">
        <f t="shared" si="107"/>
        <v>0</v>
      </c>
      <c r="BH177" s="30">
        <f t="shared" si="95"/>
        <v>0</v>
      </c>
    </row>
    <row r="178" spans="1:68" x14ac:dyDescent="0.25">
      <c r="A178" s="33" t="s">
        <v>207</v>
      </c>
      <c r="B178" s="2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13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>
        <v>4</v>
      </c>
      <c r="AC178" s="25"/>
      <c r="AD178" s="39">
        <f t="shared" ref="AD178:AD184" si="112">SUM(B178:AB178)</f>
        <v>4</v>
      </c>
      <c r="AE178" s="40" t="s">
        <v>42</v>
      </c>
      <c r="AF178" s="27">
        <v>37713</v>
      </c>
      <c r="AG178" s="17">
        <f t="shared" si="86"/>
        <v>0</v>
      </c>
      <c r="AH178" s="28">
        <f t="shared" si="87"/>
        <v>0</v>
      </c>
      <c r="AI178" s="17">
        <f t="shared" si="88"/>
        <v>0</v>
      </c>
      <c r="AJ178" s="28">
        <f t="shared" si="89"/>
        <v>0</v>
      </c>
      <c r="AK178" s="17">
        <f t="shared" si="97"/>
        <v>0</v>
      </c>
      <c r="AL178" s="28">
        <f t="shared" si="90"/>
        <v>0</v>
      </c>
      <c r="AM178" s="17">
        <f t="shared" si="105"/>
        <v>4</v>
      </c>
      <c r="AN178" s="28">
        <f t="shared" ref="AN178:AN241" si="113">+AM178*AF178</f>
        <v>150852</v>
      </c>
      <c r="AO178" s="17">
        <f t="shared" si="110"/>
        <v>0</v>
      </c>
      <c r="AP178" s="28">
        <f t="shared" ref="AP178:AP214" si="114">+AO178*AF178</f>
        <v>0</v>
      </c>
      <c r="AQ178" s="17">
        <f t="shared" si="111"/>
        <v>0</v>
      </c>
      <c r="AR178" s="28">
        <f t="shared" ref="AR178:AR214" si="115">+AQ178*AF178</f>
        <v>0</v>
      </c>
      <c r="AS178" s="17">
        <f t="shared" si="101"/>
        <v>0</v>
      </c>
      <c r="AT178" s="28">
        <f t="shared" si="102"/>
        <v>0</v>
      </c>
      <c r="AU178" s="17">
        <f t="shared" si="103"/>
        <v>0</v>
      </c>
      <c r="AV178" s="28">
        <f t="shared" si="104"/>
        <v>0</v>
      </c>
      <c r="AW178" s="17">
        <f t="shared" si="91"/>
        <v>0</v>
      </c>
      <c r="AX178" s="28">
        <f t="shared" si="92"/>
        <v>0</v>
      </c>
      <c r="AY178" s="17">
        <f t="shared" si="93"/>
        <v>0</v>
      </c>
      <c r="AZ178" s="28">
        <f t="shared" si="94"/>
        <v>0</v>
      </c>
      <c r="BA178" s="27">
        <f t="shared" si="106"/>
        <v>0</v>
      </c>
      <c r="BB178" s="27">
        <f t="shared" si="96"/>
        <v>150852</v>
      </c>
      <c r="BC178" s="27">
        <f t="shared" si="98"/>
        <v>0</v>
      </c>
      <c r="BD178" s="27">
        <f t="shared" si="99"/>
        <v>0</v>
      </c>
      <c r="BE178" s="27">
        <f t="shared" si="100"/>
        <v>0</v>
      </c>
      <c r="BF178" s="29">
        <f t="shared" si="107"/>
        <v>150852</v>
      </c>
      <c r="BH178" s="30">
        <f t="shared" si="95"/>
        <v>4</v>
      </c>
      <c r="BM178" s="2">
        <f t="shared" ref="BM178:BM214" si="116">SUM(B178:S178)</f>
        <v>0</v>
      </c>
      <c r="BP178" s="2">
        <f t="shared" ref="BP178:BP214" si="117">SUM(B178:S178)</f>
        <v>0</v>
      </c>
    </row>
    <row r="179" spans="1:68" x14ac:dyDescent="0.25">
      <c r="A179" s="33" t="s">
        <v>208</v>
      </c>
      <c r="B179" s="2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13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>
        <v>4</v>
      </c>
      <c r="AC179" s="25"/>
      <c r="AD179" s="39">
        <f t="shared" si="112"/>
        <v>4</v>
      </c>
      <c r="AE179" s="26" t="s">
        <v>42</v>
      </c>
      <c r="AF179" s="27">
        <v>37713</v>
      </c>
      <c r="AG179" s="17">
        <f t="shared" si="86"/>
        <v>0</v>
      </c>
      <c r="AH179" s="28">
        <f t="shared" si="87"/>
        <v>0</v>
      </c>
      <c r="AI179" s="17">
        <f t="shared" si="88"/>
        <v>0</v>
      </c>
      <c r="AJ179" s="28">
        <f t="shared" si="89"/>
        <v>0</v>
      </c>
      <c r="AK179" s="17">
        <f t="shared" si="97"/>
        <v>0</v>
      </c>
      <c r="AL179" s="28">
        <f t="shared" si="90"/>
        <v>0</v>
      </c>
      <c r="AM179" s="17">
        <f t="shared" si="105"/>
        <v>4</v>
      </c>
      <c r="AN179" s="28">
        <f t="shared" si="113"/>
        <v>150852</v>
      </c>
      <c r="AO179" s="17">
        <f t="shared" si="110"/>
        <v>0</v>
      </c>
      <c r="AP179" s="28">
        <f t="shared" si="114"/>
        <v>0</v>
      </c>
      <c r="AQ179" s="17">
        <f t="shared" si="111"/>
        <v>0</v>
      </c>
      <c r="AR179" s="28">
        <f t="shared" si="115"/>
        <v>0</v>
      </c>
      <c r="AS179" s="17">
        <f t="shared" si="101"/>
        <v>0</v>
      </c>
      <c r="AT179" s="28">
        <f t="shared" si="102"/>
        <v>0</v>
      </c>
      <c r="AU179" s="17">
        <f t="shared" si="103"/>
        <v>0</v>
      </c>
      <c r="AV179" s="28">
        <f t="shared" si="104"/>
        <v>0</v>
      </c>
      <c r="AW179" s="17">
        <f t="shared" si="91"/>
        <v>0</v>
      </c>
      <c r="AX179" s="28">
        <f t="shared" si="92"/>
        <v>0</v>
      </c>
      <c r="AY179" s="17">
        <f t="shared" si="93"/>
        <v>0</v>
      </c>
      <c r="AZ179" s="28">
        <f t="shared" si="94"/>
        <v>0</v>
      </c>
      <c r="BA179" s="27">
        <f t="shared" si="106"/>
        <v>0</v>
      </c>
      <c r="BB179" s="27">
        <f t="shared" si="96"/>
        <v>150852</v>
      </c>
      <c r="BC179" s="27">
        <f t="shared" si="98"/>
        <v>0</v>
      </c>
      <c r="BD179" s="27">
        <f t="shared" si="99"/>
        <v>0</v>
      </c>
      <c r="BE179" s="27">
        <f t="shared" si="100"/>
        <v>0</v>
      </c>
      <c r="BF179" s="29">
        <f t="shared" si="107"/>
        <v>150852</v>
      </c>
      <c r="BH179" s="30">
        <f t="shared" si="95"/>
        <v>4</v>
      </c>
      <c r="BM179" s="2">
        <f t="shared" si="116"/>
        <v>0</v>
      </c>
      <c r="BP179" s="2">
        <f t="shared" si="117"/>
        <v>0</v>
      </c>
    </row>
    <row r="180" spans="1:68" x14ac:dyDescent="0.25">
      <c r="A180" s="33" t="s">
        <v>209</v>
      </c>
      <c r="B180" s="23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13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>
        <v>3</v>
      </c>
      <c r="AC180" s="25"/>
      <c r="AD180" s="39">
        <f t="shared" si="112"/>
        <v>3</v>
      </c>
      <c r="AE180" s="26" t="s">
        <v>42</v>
      </c>
      <c r="AF180" s="27">
        <v>37713</v>
      </c>
      <c r="AG180" s="17">
        <f t="shared" si="86"/>
        <v>0</v>
      </c>
      <c r="AH180" s="28">
        <f t="shared" si="87"/>
        <v>0</v>
      </c>
      <c r="AI180" s="17">
        <f t="shared" si="88"/>
        <v>0</v>
      </c>
      <c r="AJ180" s="28">
        <f t="shared" si="89"/>
        <v>0</v>
      </c>
      <c r="AK180" s="17">
        <f t="shared" si="97"/>
        <v>0</v>
      </c>
      <c r="AL180" s="28">
        <f t="shared" si="90"/>
        <v>0</v>
      </c>
      <c r="AM180" s="17">
        <f t="shared" si="105"/>
        <v>3</v>
      </c>
      <c r="AN180" s="28">
        <f t="shared" si="113"/>
        <v>113139</v>
      </c>
      <c r="AO180" s="17">
        <f t="shared" si="110"/>
        <v>0</v>
      </c>
      <c r="AP180" s="28">
        <f t="shared" si="114"/>
        <v>0</v>
      </c>
      <c r="AQ180" s="17">
        <f t="shared" si="111"/>
        <v>0</v>
      </c>
      <c r="AR180" s="28">
        <f t="shared" si="115"/>
        <v>0</v>
      </c>
      <c r="AS180" s="17">
        <f t="shared" si="101"/>
        <v>0</v>
      </c>
      <c r="AT180" s="28">
        <f t="shared" si="102"/>
        <v>0</v>
      </c>
      <c r="AU180" s="17">
        <f t="shared" si="103"/>
        <v>0</v>
      </c>
      <c r="AV180" s="28">
        <f t="shared" si="104"/>
        <v>0</v>
      </c>
      <c r="AW180" s="17">
        <f t="shared" si="91"/>
        <v>0</v>
      </c>
      <c r="AX180" s="28">
        <f t="shared" si="92"/>
        <v>0</v>
      </c>
      <c r="AY180" s="17">
        <f t="shared" si="93"/>
        <v>0</v>
      </c>
      <c r="AZ180" s="28">
        <f t="shared" si="94"/>
        <v>0</v>
      </c>
      <c r="BA180" s="27">
        <f t="shared" si="106"/>
        <v>0</v>
      </c>
      <c r="BB180" s="27">
        <f t="shared" si="96"/>
        <v>113139</v>
      </c>
      <c r="BC180" s="27">
        <f t="shared" si="98"/>
        <v>0</v>
      </c>
      <c r="BD180" s="27">
        <f t="shared" si="99"/>
        <v>0</v>
      </c>
      <c r="BE180" s="27">
        <f t="shared" si="100"/>
        <v>0</v>
      </c>
      <c r="BF180" s="29">
        <f t="shared" si="107"/>
        <v>113139</v>
      </c>
      <c r="BH180" s="30">
        <f t="shared" si="95"/>
        <v>3</v>
      </c>
      <c r="BM180" s="2">
        <f t="shared" si="116"/>
        <v>0</v>
      </c>
      <c r="BP180" s="2">
        <f t="shared" si="117"/>
        <v>0</v>
      </c>
    </row>
    <row r="181" spans="1:68" ht="14.45" hidden="1" customHeight="1" x14ac:dyDescent="0.25">
      <c r="A181" s="33" t="s">
        <v>210</v>
      </c>
      <c r="B181" s="23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13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5"/>
      <c r="AD181" s="39">
        <f t="shared" si="112"/>
        <v>0</v>
      </c>
      <c r="AE181" s="26" t="s">
        <v>42</v>
      </c>
      <c r="AF181" s="27"/>
      <c r="AG181" s="17">
        <f t="shared" si="86"/>
        <v>0</v>
      </c>
      <c r="AH181" s="28">
        <f t="shared" si="87"/>
        <v>0</v>
      </c>
      <c r="AI181" s="17">
        <f t="shared" si="88"/>
        <v>0</v>
      </c>
      <c r="AJ181" s="28">
        <f t="shared" si="89"/>
        <v>0</v>
      </c>
      <c r="AK181" s="17">
        <f t="shared" si="97"/>
        <v>0</v>
      </c>
      <c r="AL181" s="28">
        <f t="shared" si="90"/>
        <v>0</v>
      </c>
      <c r="AM181" s="17">
        <f t="shared" si="105"/>
        <v>0</v>
      </c>
      <c r="AN181" s="28">
        <f t="shared" si="113"/>
        <v>0</v>
      </c>
      <c r="AO181" s="17">
        <f t="shared" si="110"/>
        <v>0</v>
      </c>
      <c r="AP181" s="28">
        <f t="shared" si="114"/>
        <v>0</v>
      </c>
      <c r="AQ181" s="17">
        <f t="shared" si="111"/>
        <v>0</v>
      </c>
      <c r="AR181" s="28">
        <f t="shared" si="115"/>
        <v>0</v>
      </c>
      <c r="AS181" s="17">
        <f t="shared" si="101"/>
        <v>0</v>
      </c>
      <c r="AT181" s="28">
        <f t="shared" si="102"/>
        <v>0</v>
      </c>
      <c r="AU181" s="17">
        <f t="shared" si="103"/>
        <v>0</v>
      </c>
      <c r="AV181" s="28">
        <f t="shared" si="104"/>
        <v>0</v>
      </c>
      <c r="AW181" s="17">
        <f t="shared" si="91"/>
        <v>0</v>
      </c>
      <c r="AX181" s="28">
        <f t="shared" si="92"/>
        <v>0</v>
      </c>
      <c r="AY181" s="17">
        <f t="shared" si="93"/>
        <v>0</v>
      </c>
      <c r="AZ181" s="28">
        <f t="shared" si="94"/>
        <v>0</v>
      </c>
      <c r="BA181" s="27">
        <f t="shared" si="106"/>
        <v>0</v>
      </c>
      <c r="BB181" s="27">
        <f t="shared" si="96"/>
        <v>0</v>
      </c>
      <c r="BC181" s="27">
        <f t="shared" si="98"/>
        <v>0</v>
      </c>
      <c r="BD181" s="27">
        <f t="shared" si="99"/>
        <v>0</v>
      </c>
      <c r="BE181" s="27">
        <f t="shared" si="100"/>
        <v>0</v>
      </c>
      <c r="BF181" s="29">
        <f t="shared" si="107"/>
        <v>0</v>
      </c>
      <c r="BH181" s="30">
        <f t="shared" si="95"/>
        <v>0</v>
      </c>
      <c r="BM181" s="2">
        <f t="shared" si="116"/>
        <v>0</v>
      </c>
      <c r="BP181" s="2">
        <f t="shared" si="117"/>
        <v>0</v>
      </c>
    </row>
    <row r="182" spans="1:68" x14ac:dyDescent="0.25">
      <c r="A182" s="33" t="s">
        <v>211</v>
      </c>
      <c r="B182" s="23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13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>
        <v>8</v>
      </c>
      <c r="AC182" s="25"/>
      <c r="AD182" s="39">
        <f t="shared" si="112"/>
        <v>8</v>
      </c>
      <c r="AE182" s="26" t="s">
        <v>42</v>
      </c>
      <c r="AF182" s="27">
        <v>37713</v>
      </c>
      <c r="AG182" s="17">
        <f t="shared" si="86"/>
        <v>0</v>
      </c>
      <c r="AH182" s="28">
        <f t="shared" si="87"/>
        <v>0</v>
      </c>
      <c r="AI182" s="17">
        <f t="shared" si="88"/>
        <v>0</v>
      </c>
      <c r="AJ182" s="28">
        <f t="shared" si="89"/>
        <v>0</v>
      </c>
      <c r="AK182" s="17">
        <f t="shared" si="97"/>
        <v>0</v>
      </c>
      <c r="AL182" s="28">
        <f t="shared" si="90"/>
        <v>0</v>
      </c>
      <c r="AM182" s="17">
        <f t="shared" si="105"/>
        <v>8</v>
      </c>
      <c r="AN182" s="28">
        <f t="shared" si="113"/>
        <v>301704</v>
      </c>
      <c r="AO182" s="17">
        <f t="shared" si="110"/>
        <v>0</v>
      </c>
      <c r="AP182" s="28">
        <f t="shared" si="114"/>
        <v>0</v>
      </c>
      <c r="AQ182" s="17">
        <f t="shared" si="111"/>
        <v>0</v>
      </c>
      <c r="AR182" s="28">
        <f t="shared" si="115"/>
        <v>0</v>
      </c>
      <c r="AS182" s="17">
        <f t="shared" si="101"/>
        <v>0</v>
      </c>
      <c r="AT182" s="28">
        <f t="shared" si="102"/>
        <v>0</v>
      </c>
      <c r="AU182" s="17">
        <f t="shared" si="103"/>
        <v>0</v>
      </c>
      <c r="AV182" s="28">
        <f t="shared" si="104"/>
        <v>0</v>
      </c>
      <c r="AW182" s="17">
        <f t="shared" si="91"/>
        <v>0</v>
      </c>
      <c r="AX182" s="28">
        <f t="shared" si="92"/>
        <v>0</v>
      </c>
      <c r="AY182" s="17">
        <f t="shared" si="93"/>
        <v>0</v>
      </c>
      <c r="AZ182" s="28">
        <f t="shared" si="94"/>
        <v>0</v>
      </c>
      <c r="BA182" s="27">
        <f t="shared" si="106"/>
        <v>0</v>
      </c>
      <c r="BB182" s="27">
        <f t="shared" si="96"/>
        <v>301704</v>
      </c>
      <c r="BC182" s="27">
        <f t="shared" si="98"/>
        <v>0</v>
      </c>
      <c r="BD182" s="27">
        <f t="shared" si="99"/>
        <v>0</v>
      </c>
      <c r="BE182" s="27">
        <f t="shared" si="100"/>
        <v>0</v>
      </c>
      <c r="BF182" s="29">
        <f t="shared" si="107"/>
        <v>301704</v>
      </c>
      <c r="BH182" s="30">
        <f t="shared" si="95"/>
        <v>8</v>
      </c>
      <c r="BM182" s="2">
        <f t="shared" si="116"/>
        <v>0</v>
      </c>
      <c r="BP182" s="2">
        <f t="shared" si="117"/>
        <v>0</v>
      </c>
    </row>
    <row r="183" spans="1:68" x14ac:dyDescent="0.25">
      <c r="A183" s="33" t="s">
        <v>212</v>
      </c>
      <c r="B183" s="23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13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>
        <v>3</v>
      </c>
      <c r="AC183" s="25"/>
      <c r="AD183" s="39">
        <f t="shared" si="112"/>
        <v>3</v>
      </c>
      <c r="AE183" s="26" t="s">
        <v>42</v>
      </c>
      <c r="AF183" s="27">
        <v>37713</v>
      </c>
      <c r="AG183" s="17">
        <f t="shared" si="86"/>
        <v>0</v>
      </c>
      <c r="AH183" s="28">
        <f t="shared" si="87"/>
        <v>0</v>
      </c>
      <c r="AI183" s="17">
        <f t="shared" si="88"/>
        <v>0</v>
      </c>
      <c r="AJ183" s="28">
        <f t="shared" si="89"/>
        <v>0</v>
      </c>
      <c r="AK183" s="17">
        <f t="shared" si="97"/>
        <v>0</v>
      </c>
      <c r="AL183" s="28">
        <f t="shared" si="90"/>
        <v>0</v>
      </c>
      <c r="AM183" s="17">
        <f t="shared" si="105"/>
        <v>3</v>
      </c>
      <c r="AN183" s="28">
        <f t="shared" si="113"/>
        <v>113139</v>
      </c>
      <c r="AO183" s="17">
        <f t="shared" si="110"/>
        <v>0</v>
      </c>
      <c r="AP183" s="28">
        <f t="shared" si="114"/>
        <v>0</v>
      </c>
      <c r="AQ183" s="17">
        <f t="shared" si="111"/>
        <v>0</v>
      </c>
      <c r="AR183" s="28">
        <f t="shared" si="115"/>
        <v>0</v>
      </c>
      <c r="AS183" s="17">
        <f t="shared" si="101"/>
        <v>0</v>
      </c>
      <c r="AT183" s="28">
        <f t="shared" si="102"/>
        <v>0</v>
      </c>
      <c r="AU183" s="17">
        <f t="shared" si="103"/>
        <v>0</v>
      </c>
      <c r="AV183" s="28">
        <f t="shared" si="104"/>
        <v>0</v>
      </c>
      <c r="AW183" s="17">
        <f t="shared" si="91"/>
        <v>0</v>
      </c>
      <c r="AX183" s="28">
        <f t="shared" si="92"/>
        <v>0</v>
      </c>
      <c r="AY183" s="17">
        <f t="shared" si="93"/>
        <v>0</v>
      </c>
      <c r="AZ183" s="28">
        <f t="shared" si="94"/>
        <v>0</v>
      </c>
      <c r="BA183" s="27">
        <f t="shared" si="106"/>
        <v>0</v>
      </c>
      <c r="BB183" s="27">
        <f t="shared" si="96"/>
        <v>113139</v>
      </c>
      <c r="BC183" s="27">
        <f t="shared" si="98"/>
        <v>0</v>
      </c>
      <c r="BD183" s="27">
        <f t="shared" si="99"/>
        <v>0</v>
      </c>
      <c r="BE183" s="27">
        <f t="shared" si="100"/>
        <v>0</v>
      </c>
      <c r="BF183" s="29">
        <f t="shared" si="107"/>
        <v>113139</v>
      </c>
      <c r="BH183" s="30">
        <f t="shared" si="95"/>
        <v>3</v>
      </c>
      <c r="BM183" s="2">
        <f t="shared" si="116"/>
        <v>0</v>
      </c>
      <c r="BP183" s="2">
        <f t="shared" si="117"/>
        <v>0</v>
      </c>
    </row>
    <row r="184" spans="1:68" x14ac:dyDescent="0.25">
      <c r="A184" s="33" t="s">
        <v>213</v>
      </c>
      <c r="B184" s="23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13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>
        <v>1</v>
      </c>
      <c r="AC184" s="25"/>
      <c r="AD184" s="39">
        <f t="shared" si="112"/>
        <v>1</v>
      </c>
      <c r="AE184" s="26" t="s">
        <v>42</v>
      </c>
      <c r="AF184" s="27">
        <v>37713</v>
      </c>
      <c r="AG184" s="17">
        <f t="shared" si="86"/>
        <v>0</v>
      </c>
      <c r="AH184" s="28">
        <f t="shared" si="87"/>
        <v>0</v>
      </c>
      <c r="AI184" s="17">
        <f t="shared" si="88"/>
        <v>0</v>
      </c>
      <c r="AJ184" s="28">
        <f t="shared" si="89"/>
        <v>0</v>
      </c>
      <c r="AK184" s="17">
        <f t="shared" si="97"/>
        <v>0</v>
      </c>
      <c r="AL184" s="28">
        <f t="shared" si="90"/>
        <v>0</v>
      </c>
      <c r="AM184" s="17">
        <f t="shared" si="105"/>
        <v>1</v>
      </c>
      <c r="AN184" s="28">
        <f t="shared" si="113"/>
        <v>37713</v>
      </c>
      <c r="AO184" s="17">
        <f t="shared" si="110"/>
        <v>0</v>
      </c>
      <c r="AP184" s="28">
        <f t="shared" si="114"/>
        <v>0</v>
      </c>
      <c r="AQ184" s="17">
        <f t="shared" si="111"/>
        <v>0</v>
      </c>
      <c r="AR184" s="28">
        <f t="shared" si="115"/>
        <v>0</v>
      </c>
      <c r="AS184" s="17">
        <f t="shared" si="101"/>
        <v>0</v>
      </c>
      <c r="AT184" s="28">
        <f t="shared" si="102"/>
        <v>0</v>
      </c>
      <c r="AU184" s="17">
        <f t="shared" si="103"/>
        <v>0</v>
      </c>
      <c r="AV184" s="28">
        <f t="shared" si="104"/>
        <v>0</v>
      </c>
      <c r="AW184" s="17">
        <f t="shared" si="91"/>
        <v>0</v>
      </c>
      <c r="AX184" s="28">
        <f t="shared" si="92"/>
        <v>0</v>
      </c>
      <c r="AY184" s="17">
        <f t="shared" si="93"/>
        <v>0</v>
      </c>
      <c r="AZ184" s="28">
        <f t="shared" si="94"/>
        <v>0</v>
      </c>
      <c r="BA184" s="27">
        <f t="shared" si="106"/>
        <v>0</v>
      </c>
      <c r="BB184" s="27">
        <f t="shared" si="96"/>
        <v>37713</v>
      </c>
      <c r="BC184" s="27">
        <f t="shared" si="98"/>
        <v>0</v>
      </c>
      <c r="BD184" s="27">
        <f t="shared" si="99"/>
        <v>0</v>
      </c>
      <c r="BE184" s="27">
        <f t="shared" si="100"/>
        <v>0</v>
      </c>
      <c r="BF184" s="29">
        <f t="shared" si="107"/>
        <v>37713</v>
      </c>
      <c r="BH184" s="30">
        <f t="shared" si="95"/>
        <v>1</v>
      </c>
      <c r="BM184" s="2">
        <f t="shared" si="116"/>
        <v>0</v>
      </c>
      <c r="BP184" s="2">
        <f t="shared" si="117"/>
        <v>0</v>
      </c>
    </row>
    <row r="185" spans="1:68" ht="14.45" hidden="1" customHeight="1" x14ac:dyDescent="0.25">
      <c r="A185" s="33" t="s">
        <v>214</v>
      </c>
      <c r="B185" s="2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13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5"/>
      <c r="AD185" s="25">
        <f t="shared" ref="AD185:AD214" si="118">SUM(B185:S185)</f>
        <v>0</v>
      </c>
      <c r="AE185" s="26" t="s">
        <v>42</v>
      </c>
      <c r="AF185" s="27"/>
      <c r="AG185" s="17">
        <f t="shared" si="86"/>
        <v>0</v>
      </c>
      <c r="AH185" s="28">
        <f t="shared" si="87"/>
        <v>0</v>
      </c>
      <c r="AI185" s="17">
        <f t="shared" si="88"/>
        <v>0</v>
      </c>
      <c r="AJ185" s="28">
        <f t="shared" si="89"/>
        <v>0</v>
      </c>
      <c r="AK185" s="17">
        <f t="shared" si="97"/>
        <v>0</v>
      </c>
      <c r="AL185" s="28">
        <f t="shared" si="90"/>
        <v>0</v>
      </c>
      <c r="AM185" s="17">
        <f t="shared" si="105"/>
        <v>0</v>
      </c>
      <c r="AN185" s="28">
        <f t="shared" si="113"/>
        <v>0</v>
      </c>
      <c r="AO185" s="17">
        <f t="shared" si="110"/>
        <v>0</v>
      </c>
      <c r="AP185" s="28">
        <f t="shared" si="114"/>
        <v>0</v>
      </c>
      <c r="AQ185" s="17">
        <f t="shared" si="111"/>
        <v>0</v>
      </c>
      <c r="AR185" s="28">
        <f t="shared" si="115"/>
        <v>0</v>
      </c>
      <c r="AS185" s="17">
        <f t="shared" si="101"/>
        <v>0</v>
      </c>
      <c r="AT185" s="28">
        <f t="shared" si="102"/>
        <v>0</v>
      </c>
      <c r="AU185" s="17">
        <f t="shared" si="103"/>
        <v>0</v>
      </c>
      <c r="AV185" s="28">
        <f t="shared" si="104"/>
        <v>0</v>
      </c>
      <c r="AW185" s="17">
        <f t="shared" si="91"/>
        <v>0</v>
      </c>
      <c r="AX185" s="28">
        <f t="shared" si="92"/>
        <v>0</v>
      </c>
      <c r="AY185" s="17">
        <f t="shared" si="93"/>
        <v>0</v>
      </c>
      <c r="AZ185" s="28">
        <f t="shared" si="94"/>
        <v>0</v>
      </c>
      <c r="BA185" s="27">
        <f t="shared" si="106"/>
        <v>0</v>
      </c>
      <c r="BB185" s="27">
        <f t="shared" si="96"/>
        <v>0</v>
      </c>
      <c r="BC185" s="27">
        <f t="shared" si="98"/>
        <v>0</v>
      </c>
      <c r="BD185" s="27">
        <f t="shared" si="99"/>
        <v>0</v>
      </c>
      <c r="BE185" s="27">
        <f t="shared" si="100"/>
        <v>0</v>
      </c>
      <c r="BF185" s="29">
        <f t="shared" si="107"/>
        <v>0</v>
      </c>
      <c r="BH185" s="30">
        <f t="shared" si="95"/>
        <v>0</v>
      </c>
      <c r="BM185" s="2">
        <f t="shared" si="116"/>
        <v>0</v>
      </c>
      <c r="BP185" s="2">
        <f t="shared" si="117"/>
        <v>0</v>
      </c>
    </row>
    <row r="186" spans="1:68" ht="14.45" hidden="1" customHeight="1" x14ac:dyDescent="0.25">
      <c r="A186" s="33" t="s">
        <v>215</v>
      </c>
      <c r="B186" s="23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13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5"/>
      <c r="AD186" s="25">
        <f t="shared" si="118"/>
        <v>0</v>
      </c>
      <c r="AE186" s="26" t="s">
        <v>42</v>
      </c>
      <c r="AF186" s="27"/>
      <c r="AG186" s="17">
        <f t="shared" si="86"/>
        <v>0</v>
      </c>
      <c r="AH186" s="28">
        <f t="shared" si="87"/>
        <v>0</v>
      </c>
      <c r="AI186" s="17">
        <f t="shared" si="88"/>
        <v>0</v>
      </c>
      <c r="AJ186" s="28">
        <f t="shared" si="89"/>
        <v>0</v>
      </c>
      <c r="AK186" s="17">
        <f t="shared" si="97"/>
        <v>0</v>
      </c>
      <c r="AL186" s="28">
        <f t="shared" si="90"/>
        <v>0</v>
      </c>
      <c r="AM186" s="17">
        <f t="shared" si="105"/>
        <v>0</v>
      </c>
      <c r="AN186" s="28">
        <f t="shared" si="113"/>
        <v>0</v>
      </c>
      <c r="AO186" s="17">
        <f t="shared" si="110"/>
        <v>0</v>
      </c>
      <c r="AP186" s="28">
        <f t="shared" si="114"/>
        <v>0</v>
      </c>
      <c r="AQ186" s="17">
        <f t="shared" si="111"/>
        <v>0</v>
      </c>
      <c r="AR186" s="28">
        <f t="shared" si="115"/>
        <v>0</v>
      </c>
      <c r="AS186" s="17">
        <f t="shared" si="101"/>
        <v>0</v>
      </c>
      <c r="AT186" s="28">
        <f t="shared" si="102"/>
        <v>0</v>
      </c>
      <c r="AU186" s="17">
        <f t="shared" si="103"/>
        <v>0</v>
      </c>
      <c r="AV186" s="28">
        <f t="shared" si="104"/>
        <v>0</v>
      </c>
      <c r="AW186" s="17">
        <f t="shared" si="91"/>
        <v>0</v>
      </c>
      <c r="AX186" s="28">
        <f t="shared" si="92"/>
        <v>0</v>
      </c>
      <c r="AY186" s="17">
        <f t="shared" si="93"/>
        <v>0</v>
      </c>
      <c r="AZ186" s="28">
        <f t="shared" si="94"/>
        <v>0</v>
      </c>
      <c r="BA186" s="27">
        <f t="shared" si="106"/>
        <v>0</v>
      </c>
      <c r="BB186" s="27">
        <f t="shared" si="96"/>
        <v>0</v>
      </c>
      <c r="BC186" s="27">
        <f t="shared" si="98"/>
        <v>0</v>
      </c>
      <c r="BD186" s="27">
        <f t="shared" si="99"/>
        <v>0</v>
      </c>
      <c r="BE186" s="27">
        <f t="shared" si="100"/>
        <v>0</v>
      </c>
      <c r="BF186" s="29">
        <f t="shared" si="107"/>
        <v>0</v>
      </c>
      <c r="BH186" s="30">
        <f t="shared" si="95"/>
        <v>0</v>
      </c>
      <c r="BM186" s="2">
        <f t="shared" si="116"/>
        <v>0</v>
      </c>
      <c r="BP186" s="2">
        <f t="shared" si="117"/>
        <v>0</v>
      </c>
    </row>
    <row r="187" spans="1:68" ht="14.45" hidden="1" customHeight="1" x14ac:dyDescent="0.25">
      <c r="A187" s="33" t="s">
        <v>216</v>
      </c>
      <c r="B187" s="2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13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5"/>
      <c r="AD187" s="25">
        <f t="shared" si="118"/>
        <v>0</v>
      </c>
      <c r="AE187" s="26" t="s">
        <v>42</v>
      </c>
      <c r="AF187" s="27"/>
      <c r="AG187" s="17">
        <f t="shared" si="86"/>
        <v>0</v>
      </c>
      <c r="AH187" s="28">
        <f t="shared" si="87"/>
        <v>0</v>
      </c>
      <c r="AI187" s="17">
        <f t="shared" si="88"/>
        <v>0</v>
      </c>
      <c r="AJ187" s="28">
        <f t="shared" si="89"/>
        <v>0</v>
      </c>
      <c r="AK187" s="17">
        <f t="shared" si="97"/>
        <v>0</v>
      </c>
      <c r="AL187" s="28">
        <f t="shared" si="90"/>
        <v>0</v>
      </c>
      <c r="AM187" s="17">
        <f t="shared" si="105"/>
        <v>0</v>
      </c>
      <c r="AN187" s="28">
        <f t="shared" si="113"/>
        <v>0</v>
      </c>
      <c r="AO187" s="17">
        <f t="shared" si="110"/>
        <v>0</v>
      </c>
      <c r="AP187" s="28">
        <f t="shared" si="114"/>
        <v>0</v>
      </c>
      <c r="AQ187" s="17">
        <f t="shared" si="111"/>
        <v>0</v>
      </c>
      <c r="AR187" s="28">
        <f t="shared" si="115"/>
        <v>0</v>
      </c>
      <c r="AS187" s="17">
        <f t="shared" si="101"/>
        <v>0</v>
      </c>
      <c r="AT187" s="28">
        <f t="shared" si="102"/>
        <v>0</v>
      </c>
      <c r="AU187" s="17">
        <f t="shared" si="103"/>
        <v>0</v>
      </c>
      <c r="AV187" s="28">
        <f t="shared" si="104"/>
        <v>0</v>
      </c>
      <c r="AW187" s="17">
        <f t="shared" si="91"/>
        <v>0</v>
      </c>
      <c r="AX187" s="28">
        <f t="shared" si="92"/>
        <v>0</v>
      </c>
      <c r="AY187" s="17">
        <f t="shared" si="93"/>
        <v>0</v>
      </c>
      <c r="AZ187" s="28">
        <f t="shared" si="94"/>
        <v>0</v>
      </c>
      <c r="BA187" s="27">
        <f t="shared" si="106"/>
        <v>0</v>
      </c>
      <c r="BB187" s="27">
        <f t="shared" si="96"/>
        <v>0</v>
      </c>
      <c r="BC187" s="27">
        <f t="shared" si="98"/>
        <v>0</v>
      </c>
      <c r="BD187" s="27">
        <f t="shared" si="99"/>
        <v>0</v>
      </c>
      <c r="BE187" s="27">
        <f t="shared" si="100"/>
        <v>0</v>
      </c>
      <c r="BF187" s="29">
        <f t="shared" si="107"/>
        <v>0</v>
      </c>
      <c r="BH187" s="30">
        <f t="shared" si="95"/>
        <v>0</v>
      </c>
      <c r="BM187" s="2">
        <f t="shared" si="116"/>
        <v>0</v>
      </c>
      <c r="BP187" s="2">
        <f t="shared" si="117"/>
        <v>0</v>
      </c>
    </row>
    <row r="188" spans="1:68" ht="14.45" hidden="1" customHeight="1" x14ac:dyDescent="0.25">
      <c r="A188" s="33" t="s">
        <v>217</v>
      </c>
      <c r="B188" s="2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13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5"/>
      <c r="AD188" s="25">
        <f t="shared" si="118"/>
        <v>0</v>
      </c>
      <c r="AE188" s="26" t="s">
        <v>42</v>
      </c>
      <c r="AF188" s="27"/>
      <c r="AG188" s="17">
        <f t="shared" si="86"/>
        <v>0</v>
      </c>
      <c r="AH188" s="28">
        <f t="shared" si="87"/>
        <v>0</v>
      </c>
      <c r="AI188" s="17">
        <f t="shared" si="88"/>
        <v>0</v>
      </c>
      <c r="AJ188" s="28">
        <f t="shared" si="89"/>
        <v>0</v>
      </c>
      <c r="AK188" s="17">
        <f t="shared" si="97"/>
        <v>0</v>
      </c>
      <c r="AL188" s="28">
        <f t="shared" si="90"/>
        <v>0</v>
      </c>
      <c r="AM188" s="17">
        <f t="shared" si="105"/>
        <v>0</v>
      </c>
      <c r="AN188" s="28">
        <f t="shared" si="113"/>
        <v>0</v>
      </c>
      <c r="AO188" s="17">
        <f t="shared" si="110"/>
        <v>0</v>
      </c>
      <c r="AP188" s="28">
        <f t="shared" si="114"/>
        <v>0</v>
      </c>
      <c r="AQ188" s="17">
        <f t="shared" si="111"/>
        <v>0</v>
      </c>
      <c r="AR188" s="28">
        <f t="shared" si="115"/>
        <v>0</v>
      </c>
      <c r="AS188" s="17">
        <f t="shared" si="101"/>
        <v>0</v>
      </c>
      <c r="AT188" s="28">
        <f t="shared" si="102"/>
        <v>0</v>
      </c>
      <c r="AU188" s="17">
        <f t="shared" si="103"/>
        <v>0</v>
      </c>
      <c r="AV188" s="28">
        <f t="shared" si="104"/>
        <v>0</v>
      </c>
      <c r="AW188" s="17">
        <f t="shared" si="91"/>
        <v>0</v>
      </c>
      <c r="AX188" s="28">
        <f t="shared" si="92"/>
        <v>0</v>
      </c>
      <c r="AY188" s="17">
        <f t="shared" si="93"/>
        <v>0</v>
      </c>
      <c r="AZ188" s="28">
        <f t="shared" si="94"/>
        <v>0</v>
      </c>
      <c r="BA188" s="27">
        <f t="shared" si="106"/>
        <v>0</v>
      </c>
      <c r="BB188" s="27">
        <f t="shared" si="96"/>
        <v>0</v>
      </c>
      <c r="BC188" s="27">
        <f t="shared" si="98"/>
        <v>0</v>
      </c>
      <c r="BD188" s="27">
        <f t="shared" si="99"/>
        <v>0</v>
      </c>
      <c r="BE188" s="27">
        <f t="shared" si="100"/>
        <v>0</v>
      </c>
      <c r="BF188" s="29">
        <f t="shared" si="107"/>
        <v>0</v>
      </c>
      <c r="BH188" s="30">
        <f t="shared" si="95"/>
        <v>0</v>
      </c>
      <c r="BM188" s="2">
        <f t="shared" si="116"/>
        <v>0</v>
      </c>
      <c r="BP188" s="2">
        <f t="shared" si="117"/>
        <v>0</v>
      </c>
    </row>
    <row r="189" spans="1:68" ht="14.45" hidden="1" customHeight="1" x14ac:dyDescent="0.25">
      <c r="A189" s="33" t="s">
        <v>218</v>
      </c>
      <c r="B189" s="23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13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5"/>
      <c r="AD189" s="25">
        <f t="shared" si="118"/>
        <v>0</v>
      </c>
      <c r="AE189" s="26" t="s">
        <v>42</v>
      </c>
      <c r="AF189" s="27"/>
      <c r="AG189" s="17">
        <f t="shared" si="86"/>
        <v>0</v>
      </c>
      <c r="AH189" s="28">
        <f t="shared" si="87"/>
        <v>0</v>
      </c>
      <c r="AI189" s="17">
        <f t="shared" si="88"/>
        <v>0</v>
      </c>
      <c r="AJ189" s="28">
        <f t="shared" si="89"/>
        <v>0</v>
      </c>
      <c r="AK189" s="17">
        <f t="shared" si="97"/>
        <v>0</v>
      </c>
      <c r="AL189" s="28">
        <f t="shared" si="90"/>
        <v>0</v>
      </c>
      <c r="AM189" s="17">
        <f t="shared" si="105"/>
        <v>0</v>
      </c>
      <c r="AN189" s="28">
        <f t="shared" si="113"/>
        <v>0</v>
      </c>
      <c r="AO189" s="17">
        <f t="shared" si="110"/>
        <v>0</v>
      </c>
      <c r="AP189" s="28">
        <f t="shared" si="114"/>
        <v>0</v>
      </c>
      <c r="AQ189" s="17">
        <f t="shared" si="111"/>
        <v>0</v>
      </c>
      <c r="AR189" s="28">
        <f t="shared" si="115"/>
        <v>0</v>
      </c>
      <c r="AS189" s="17">
        <f t="shared" si="101"/>
        <v>0</v>
      </c>
      <c r="AT189" s="28">
        <f t="shared" si="102"/>
        <v>0</v>
      </c>
      <c r="AU189" s="17">
        <f t="shared" si="103"/>
        <v>0</v>
      </c>
      <c r="AV189" s="28">
        <f t="shared" si="104"/>
        <v>0</v>
      </c>
      <c r="AW189" s="17">
        <f t="shared" si="91"/>
        <v>0</v>
      </c>
      <c r="AX189" s="28">
        <f t="shared" si="92"/>
        <v>0</v>
      </c>
      <c r="AY189" s="17">
        <f t="shared" si="93"/>
        <v>0</v>
      </c>
      <c r="AZ189" s="28">
        <f t="shared" si="94"/>
        <v>0</v>
      </c>
      <c r="BA189" s="27">
        <f t="shared" si="106"/>
        <v>0</v>
      </c>
      <c r="BB189" s="27">
        <f t="shared" si="96"/>
        <v>0</v>
      </c>
      <c r="BC189" s="27">
        <f t="shared" si="98"/>
        <v>0</v>
      </c>
      <c r="BD189" s="27">
        <f t="shared" si="99"/>
        <v>0</v>
      </c>
      <c r="BE189" s="27">
        <f t="shared" si="100"/>
        <v>0</v>
      </c>
      <c r="BF189" s="29">
        <f t="shared" si="107"/>
        <v>0</v>
      </c>
      <c r="BH189" s="30">
        <f t="shared" si="95"/>
        <v>0</v>
      </c>
      <c r="BM189" s="2">
        <f t="shared" si="116"/>
        <v>0</v>
      </c>
      <c r="BP189" s="2">
        <f t="shared" si="117"/>
        <v>0</v>
      </c>
    </row>
    <row r="190" spans="1:68" ht="14.45" hidden="1" customHeight="1" x14ac:dyDescent="0.25">
      <c r="A190" s="33" t="s">
        <v>219</v>
      </c>
      <c r="B190" s="2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13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5"/>
      <c r="AD190" s="25">
        <f t="shared" si="118"/>
        <v>0</v>
      </c>
      <c r="AE190" s="26" t="s">
        <v>42</v>
      </c>
      <c r="AF190" s="27"/>
      <c r="AG190" s="17">
        <f t="shared" si="86"/>
        <v>0</v>
      </c>
      <c r="AH190" s="28">
        <f t="shared" si="87"/>
        <v>0</v>
      </c>
      <c r="AI190" s="17">
        <f t="shared" si="88"/>
        <v>0</v>
      </c>
      <c r="AJ190" s="28">
        <f t="shared" si="89"/>
        <v>0</v>
      </c>
      <c r="AK190" s="17">
        <f t="shared" si="97"/>
        <v>0</v>
      </c>
      <c r="AL190" s="28">
        <f t="shared" si="90"/>
        <v>0</v>
      </c>
      <c r="AM190" s="17">
        <f t="shared" si="105"/>
        <v>0</v>
      </c>
      <c r="AN190" s="28">
        <f t="shared" si="113"/>
        <v>0</v>
      </c>
      <c r="AO190" s="17">
        <f t="shared" si="110"/>
        <v>0</v>
      </c>
      <c r="AP190" s="28">
        <f t="shared" si="114"/>
        <v>0</v>
      </c>
      <c r="AQ190" s="17">
        <f t="shared" si="111"/>
        <v>0</v>
      </c>
      <c r="AR190" s="28">
        <f t="shared" si="115"/>
        <v>0</v>
      </c>
      <c r="AS190" s="17">
        <f t="shared" si="101"/>
        <v>0</v>
      </c>
      <c r="AT190" s="28">
        <f t="shared" si="102"/>
        <v>0</v>
      </c>
      <c r="AU190" s="17">
        <f t="shared" si="103"/>
        <v>0</v>
      </c>
      <c r="AV190" s="28">
        <f t="shared" si="104"/>
        <v>0</v>
      </c>
      <c r="AW190" s="17">
        <f t="shared" si="91"/>
        <v>0</v>
      </c>
      <c r="AX190" s="28">
        <f t="shared" si="92"/>
        <v>0</v>
      </c>
      <c r="AY190" s="17">
        <f t="shared" si="93"/>
        <v>0</v>
      </c>
      <c r="AZ190" s="28">
        <f t="shared" si="94"/>
        <v>0</v>
      </c>
      <c r="BA190" s="27">
        <f t="shared" si="106"/>
        <v>0</v>
      </c>
      <c r="BB190" s="27">
        <f t="shared" si="96"/>
        <v>0</v>
      </c>
      <c r="BC190" s="27">
        <f t="shared" si="98"/>
        <v>0</v>
      </c>
      <c r="BD190" s="27">
        <f t="shared" si="99"/>
        <v>0</v>
      </c>
      <c r="BE190" s="27">
        <f t="shared" si="100"/>
        <v>0</v>
      </c>
      <c r="BF190" s="29">
        <f t="shared" si="107"/>
        <v>0</v>
      </c>
      <c r="BH190" s="30">
        <f t="shared" si="95"/>
        <v>0</v>
      </c>
      <c r="BM190" s="2">
        <f t="shared" si="116"/>
        <v>0</v>
      </c>
      <c r="BP190" s="2">
        <f t="shared" si="117"/>
        <v>0</v>
      </c>
    </row>
    <row r="191" spans="1:68" ht="14.45" hidden="1" customHeight="1" x14ac:dyDescent="0.25">
      <c r="A191" s="33" t="s">
        <v>220</v>
      </c>
      <c r="B191" s="23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13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5"/>
      <c r="AD191" s="25">
        <f t="shared" si="118"/>
        <v>0</v>
      </c>
      <c r="AE191" s="26" t="s">
        <v>42</v>
      </c>
      <c r="AF191" s="27"/>
      <c r="AG191" s="17">
        <f t="shared" si="86"/>
        <v>0</v>
      </c>
      <c r="AH191" s="28">
        <f t="shared" si="87"/>
        <v>0</v>
      </c>
      <c r="AI191" s="17">
        <f t="shared" si="88"/>
        <v>0</v>
      </c>
      <c r="AJ191" s="28">
        <f t="shared" si="89"/>
        <v>0</v>
      </c>
      <c r="AK191" s="17">
        <f t="shared" si="97"/>
        <v>0</v>
      </c>
      <c r="AL191" s="28">
        <f t="shared" si="90"/>
        <v>0</v>
      </c>
      <c r="AM191" s="17">
        <f t="shared" si="105"/>
        <v>0</v>
      </c>
      <c r="AN191" s="28">
        <f t="shared" si="113"/>
        <v>0</v>
      </c>
      <c r="AO191" s="17">
        <f t="shared" si="110"/>
        <v>0</v>
      </c>
      <c r="AP191" s="28">
        <f t="shared" si="114"/>
        <v>0</v>
      </c>
      <c r="AQ191" s="17">
        <f t="shared" si="111"/>
        <v>0</v>
      </c>
      <c r="AR191" s="28">
        <f t="shared" si="115"/>
        <v>0</v>
      </c>
      <c r="AS191" s="17">
        <f t="shared" si="101"/>
        <v>0</v>
      </c>
      <c r="AT191" s="28">
        <f t="shared" si="102"/>
        <v>0</v>
      </c>
      <c r="AU191" s="17">
        <f t="shared" si="103"/>
        <v>0</v>
      </c>
      <c r="AV191" s="28">
        <f t="shared" si="104"/>
        <v>0</v>
      </c>
      <c r="AW191" s="17">
        <f t="shared" si="91"/>
        <v>0</v>
      </c>
      <c r="AX191" s="28">
        <f t="shared" si="92"/>
        <v>0</v>
      </c>
      <c r="AY191" s="17">
        <f t="shared" si="93"/>
        <v>0</v>
      </c>
      <c r="AZ191" s="28">
        <f t="shared" si="94"/>
        <v>0</v>
      </c>
      <c r="BA191" s="27">
        <f t="shared" si="106"/>
        <v>0</v>
      </c>
      <c r="BB191" s="27">
        <f t="shared" si="96"/>
        <v>0</v>
      </c>
      <c r="BC191" s="27">
        <f t="shared" si="98"/>
        <v>0</v>
      </c>
      <c r="BD191" s="27">
        <f t="shared" si="99"/>
        <v>0</v>
      </c>
      <c r="BE191" s="27">
        <f t="shared" si="100"/>
        <v>0</v>
      </c>
      <c r="BF191" s="29">
        <f t="shared" si="107"/>
        <v>0</v>
      </c>
      <c r="BH191" s="30">
        <f t="shared" si="95"/>
        <v>0</v>
      </c>
      <c r="BM191" s="2">
        <f t="shared" si="116"/>
        <v>0</v>
      </c>
      <c r="BP191" s="2">
        <f t="shared" si="117"/>
        <v>0</v>
      </c>
    </row>
    <row r="192" spans="1:68" ht="14.45" hidden="1" customHeight="1" x14ac:dyDescent="0.25">
      <c r="A192" s="33" t="s">
        <v>221</v>
      </c>
      <c r="B192" s="23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13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5"/>
      <c r="AD192" s="25">
        <f t="shared" si="118"/>
        <v>0</v>
      </c>
      <c r="AE192" s="26" t="s">
        <v>42</v>
      </c>
      <c r="AF192" s="27"/>
      <c r="AG192" s="17">
        <f t="shared" si="86"/>
        <v>0</v>
      </c>
      <c r="AH192" s="28">
        <f t="shared" si="87"/>
        <v>0</v>
      </c>
      <c r="AI192" s="17">
        <f t="shared" si="88"/>
        <v>0</v>
      </c>
      <c r="AJ192" s="28">
        <f t="shared" si="89"/>
        <v>0</v>
      </c>
      <c r="AK192" s="17">
        <f t="shared" si="97"/>
        <v>0</v>
      </c>
      <c r="AL192" s="28">
        <f t="shared" si="90"/>
        <v>0</v>
      </c>
      <c r="AM192" s="17">
        <f t="shared" si="105"/>
        <v>0</v>
      </c>
      <c r="AN192" s="28">
        <f t="shared" si="113"/>
        <v>0</v>
      </c>
      <c r="AO192" s="17">
        <f t="shared" si="110"/>
        <v>0</v>
      </c>
      <c r="AP192" s="28">
        <f t="shared" si="114"/>
        <v>0</v>
      </c>
      <c r="AQ192" s="17">
        <f t="shared" si="111"/>
        <v>0</v>
      </c>
      <c r="AR192" s="28">
        <f t="shared" si="115"/>
        <v>0</v>
      </c>
      <c r="AS192" s="17">
        <f t="shared" si="101"/>
        <v>0</v>
      </c>
      <c r="AT192" s="28">
        <f t="shared" si="102"/>
        <v>0</v>
      </c>
      <c r="AU192" s="17">
        <f t="shared" si="103"/>
        <v>0</v>
      </c>
      <c r="AV192" s="28">
        <f t="shared" si="104"/>
        <v>0</v>
      </c>
      <c r="AW192" s="17">
        <f t="shared" si="91"/>
        <v>0</v>
      </c>
      <c r="AX192" s="28">
        <f t="shared" si="92"/>
        <v>0</v>
      </c>
      <c r="AY192" s="17">
        <f t="shared" si="93"/>
        <v>0</v>
      </c>
      <c r="AZ192" s="28">
        <f t="shared" si="94"/>
        <v>0</v>
      </c>
      <c r="BA192" s="27">
        <f t="shared" si="106"/>
        <v>0</v>
      </c>
      <c r="BB192" s="27">
        <f t="shared" si="96"/>
        <v>0</v>
      </c>
      <c r="BC192" s="27">
        <f t="shared" si="98"/>
        <v>0</v>
      </c>
      <c r="BD192" s="27">
        <f t="shared" si="99"/>
        <v>0</v>
      </c>
      <c r="BE192" s="27">
        <f t="shared" si="100"/>
        <v>0</v>
      </c>
      <c r="BF192" s="29">
        <f t="shared" si="107"/>
        <v>0</v>
      </c>
      <c r="BH192" s="30">
        <f t="shared" si="95"/>
        <v>0</v>
      </c>
      <c r="BM192" s="2">
        <f t="shared" si="116"/>
        <v>0</v>
      </c>
      <c r="BP192" s="2">
        <f t="shared" si="117"/>
        <v>0</v>
      </c>
    </row>
    <row r="193" spans="1:68" ht="14.45" hidden="1" customHeight="1" x14ac:dyDescent="0.25">
      <c r="A193" s="33" t="s">
        <v>222</v>
      </c>
      <c r="B193" s="2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13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5"/>
      <c r="AD193" s="25">
        <f t="shared" si="118"/>
        <v>0</v>
      </c>
      <c r="AE193" s="26" t="s">
        <v>42</v>
      </c>
      <c r="AF193" s="27"/>
      <c r="AG193" s="17">
        <f t="shared" si="86"/>
        <v>0</v>
      </c>
      <c r="AH193" s="28">
        <f t="shared" si="87"/>
        <v>0</v>
      </c>
      <c r="AI193" s="17">
        <f t="shared" si="88"/>
        <v>0</v>
      </c>
      <c r="AJ193" s="28">
        <f t="shared" si="89"/>
        <v>0</v>
      </c>
      <c r="AK193" s="17">
        <f t="shared" si="97"/>
        <v>0</v>
      </c>
      <c r="AL193" s="28">
        <f t="shared" si="90"/>
        <v>0</v>
      </c>
      <c r="AM193" s="17">
        <f t="shared" si="105"/>
        <v>0</v>
      </c>
      <c r="AN193" s="28">
        <f t="shared" si="113"/>
        <v>0</v>
      </c>
      <c r="AO193" s="17">
        <f t="shared" si="110"/>
        <v>0</v>
      </c>
      <c r="AP193" s="28">
        <f t="shared" si="114"/>
        <v>0</v>
      </c>
      <c r="AQ193" s="17">
        <f t="shared" si="111"/>
        <v>0</v>
      </c>
      <c r="AR193" s="28">
        <f t="shared" si="115"/>
        <v>0</v>
      </c>
      <c r="AS193" s="17">
        <f t="shared" si="101"/>
        <v>0</v>
      </c>
      <c r="AT193" s="28">
        <f t="shared" si="102"/>
        <v>0</v>
      </c>
      <c r="AU193" s="17">
        <f t="shared" si="103"/>
        <v>0</v>
      </c>
      <c r="AV193" s="28">
        <f t="shared" si="104"/>
        <v>0</v>
      </c>
      <c r="AW193" s="17">
        <f t="shared" si="91"/>
        <v>0</v>
      </c>
      <c r="AX193" s="28">
        <f t="shared" si="92"/>
        <v>0</v>
      </c>
      <c r="AY193" s="17">
        <f t="shared" si="93"/>
        <v>0</v>
      </c>
      <c r="AZ193" s="28">
        <f t="shared" si="94"/>
        <v>0</v>
      </c>
      <c r="BA193" s="27">
        <f t="shared" si="106"/>
        <v>0</v>
      </c>
      <c r="BB193" s="27">
        <f t="shared" si="96"/>
        <v>0</v>
      </c>
      <c r="BC193" s="27">
        <f t="shared" si="98"/>
        <v>0</v>
      </c>
      <c r="BD193" s="27">
        <f t="shared" si="99"/>
        <v>0</v>
      </c>
      <c r="BE193" s="27">
        <f t="shared" si="100"/>
        <v>0</v>
      </c>
      <c r="BF193" s="29">
        <f t="shared" si="107"/>
        <v>0</v>
      </c>
      <c r="BH193" s="30">
        <f t="shared" si="95"/>
        <v>0</v>
      </c>
      <c r="BM193" s="2">
        <f t="shared" si="116"/>
        <v>0</v>
      </c>
      <c r="BP193" s="2">
        <f t="shared" si="117"/>
        <v>0</v>
      </c>
    </row>
    <row r="194" spans="1:68" ht="14.45" hidden="1" customHeight="1" x14ac:dyDescent="0.25">
      <c r="A194" s="33" t="s">
        <v>223</v>
      </c>
      <c r="B194" s="23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13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5"/>
      <c r="AD194" s="25">
        <f t="shared" si="118"/>
        <v>0</v>
      </c>
      <c r="AE194" s="26" t="s">
        <v>42</v>
      </c>
      <c r="AF194" s="27"/>
      <c r="AG194" s="17">
        <f t="shared" si="86"/>
        <v>0</v>
      </c>
      <c r="AH194" s="28">
        <f t="shared" si="87"/>
        <v>0</v>
      </c>
      <c r="AI194" s="17">
        <f t="shared" si="88"/>
        <v>0</v>
      </c>
      <c r="AJ194" s="28">
        <f t="shared" si="89"/>
        <v>0</v>
      </c>
      <c r="AK194" s="17">
        <f t="shared" si="97"/>
        <v>0</v>
      </c>
      <c r="AL194" s="28">
        <f t="shared" si="90"/>
        <v>0</v>
      </c>
      <c r="AM194" s="17">
        <f t="shared" si="105"/>
        <v>0</v>
      </c>
      <c r="AN194" s="28">
        <f t="shared" si="113"/>
        <v>0</v>
      </c>
      <c r="AO194" s="17">
        <f t="shared" si="110"/>
        <v>0</v>
      </c>
      <c r="AP194" s="28">
        <f t="shared" si="114"/>
        <v>0</v>
      </c>
      <c r="AQ194" s="17">
        <f t="shared" si="111"/>
        <v>0</v>
      </c>
      <c r="AR194" s="28">
        <f t="shared" si="115"/>
        <v>0</v>
      </c>
      <c r="AS194" s="17">
        <f t="shared" si="101"/>
        <v>0</v>
      </c>
      <c r="AT194" s="28">
        <f t="shared" si="102"/>
        <v>0</v>
      </c>
      <c r="AU194" s="17">
        <f t="shared" si="103"/>
        <v>0</v>
      </c>
      <c r="AV194" s="28">
        <f t="shared" si="104"/>
        <v>0</v>
      </c>
      <c r="AW194" s="17">
        <f t="shared" si="91"/>
        <v>0</v>
      </c>
      <c r="AX194" s="28">
        <f t="shared" si="92"/>
        <v>0</v>
      </c>
      <c r="AY194" s="17">
        <f t="shared" si="93"/>
        <v>0</v>
      </c>
      <c r="AZ194" s="28">
        <f t="shared" si="94"/>
        <v>0</v>
      </c>
      <c r="BA194" s="27">
        <f t="shared" si="106"/>
        <v>0</v>
      </c>
      <c r="BB194" s="27">
        <f t="shared" si="96"/>
        <v>0</v>
      </c>
      <c r="BC194" s="27">
        <f t="shared" si="98"/>
        <v>0</v>
      </c>
      <c r="BD194" s="27">
        <f t="shared" si="99"/>
        <v>0</v>
      </c>
      <c r="BE194" s="27">
        <f t="shared" si="100"/>
        <v>0</v>
      </c>
      <c r="BF194" s="29">
        <f t="shared" si="107"/>
        <v>0</v>
      </c>
      <c r="BH194" s="30">
        <f t="shared" si="95"/>
        <v>0</v>
      </c>
      <c r="BM194" s="2">
        <f t="shared" si="116"/>
        <v>0</v>
      </c>
      <c r="BP194" s="2">
        <f t="shared" si="117"/>
        <v>0</v>
      </c>
    </row>
    <row r="195" spans="1:68" ht="14.45" hidden="1" customHeight="1" x14ac:dyDescent="0.25">
      <c r="A195" s="33" t="s">
        <v>224</v>
      </c>
      <c r="B195" s="23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13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5"/>
      <c r="AD195" s="25">
        <f t="shared" si="118"/>
        <v>0</v>
      </c>
      <c r="AE195" s="26" t="s">
        <v>42</v>
      </c>
      <c r="AF195" s="27"/>
      <c r="AG195" s="17">
        <f t="shared" si="86"/>
        <v>0</v>
      </c>
      <c r="AH195" s="28">
        <f t="shared" si="87"/>
        <v>0</v>
      </c>
      <c r="AI195" s="17">
        <f t="shared" si="88"/>
        <v>0</v>
      </c>
      <c r="AJ195" s="28">
        <f t="shared" si="89"/>
        <v>0</v>
      </c>
      <c r="AK195" s="17">
        <f t="shared" si="97"/>
        <v>0</v>
      </c>
      <c r="AL195" s="28">
        <f t="shared" si="90"/>
        <v>0</v>
      </c>
      <c r="AM195" s="17">
        <f t="shared" si="105"/>
        <v>0</v>
      </c>
      <c r="AN195" s="28">
        <f t="shared" si="113"/>
        <v>0</v>
      </c>
      <c r="AO195" s="17">
        <f t="shared" si="110"/>
        <v>0</v>
      </c>
      <c r="AP195" s="28">
        <f t="shared" si="114"/>
        <v>0</v>
      </c>
      <c r="AQ195" s="17">
        <f t="shared" si="111"/>
        <v>0</v>
      </c>
      <c r="AR195" s="28">
        <f t="shared" si="115"/>
        <v>0</v>
      </c>
      <c r="AS195" s="17">
        <f t="shared" si="101"/>
        <v>0</v>
      </c>
      <c r="AT195" s="28">
        <f t="shared" si="102"/>
        <v>0</v>
      </c>
      <c r="AU195" s="17">
        <f t="shared" si="103"/>
        <v>0</v>
      </c>
      <c r="AV195" s="28">
        <f t="shared" si="104"/>
        <v>0</v>
      </c>
      <c r="AW195" s="17">
        <f t="shared" si="91"/>
        <v>0</v>
      </c>
      <c r="AX195" s="28">
        <f t="shared" si="92"/>
        <v>0</v>
      </c>
      <c r="AY195" s="17">
        <f t="shared" si="93"/>
        <v>0</v>
      </c>
      <c r="AZ195" s="28">
        <f t="shared" si="94"/>
        <v>0</v>
      </c>
      <c r="BA195" s="27">
        <f t="shared" si="106"/>
        <v>0</v>
      </c>
      <c r="BB195" s="27">
        <f t="shared" si="96"/>
        <v>0</v>
      </c>
      <c r="BC195" s="27">
        <f t="shared" si="98"/>
        <v>0</v>
      </c>
      <c r="BD195" s="27">
        <f t="shared" si="99"/>
        <v>0</v>
      </c>
      <c r="BE195" s="27">
        <f t="shared" si="100"/>
        <v>0</v>
      </c>
      <c r="BF195" s="29">
        <f t="shared" si="107"/>
        <v>0</v>
      </c>
      <c r="BH195" s="30">
        <f t="shared" si="95"/>
        <v>0</v>
      </c>
      <c r="BM195" s="2">
        <f t="shared" si="116"/>
        <v>0</v>
      </c>
      <c r="BP195" s="2">
        <f t="shared" si="117"/>
        <v>0</v>
      </c>
    </row>
    <row r="196" spans="1:68" ht="14.45" hidden="1" customHeight="1" x14ac:dyDescent="0.25">
      <c r="A196" s="33" t="s">
        <v>225</v>
      </c>
      <c r="B196" s="23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13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5"/>
      <c r="AD196" s="25">
        <f t="shared" si="118"/>
        <v>0</v>
      </c>
      <c r="AE196" s="26" t="s">
        <v>42</v>
      </c>
      <c r="AF196" s="27"/>
      <c r="AG196" s="17">
        <f t="shared" si="86"/>
        <v>0</v>
      </c>
      <c r="AH196" s="28">
        <f t="shared" si="87"/>
        <v>0</v>
      </c>
      <c r="AI196" s="17">
        <f t="shared" si="88"/>
        <v>0</v>
      </c>
      <c r="AJ196" s="28">
        <f t="shared" si="89"/>
        <v>0</v>
      </c>
      <c r="AK196" s="17">
        <f t="shared" si="97"/>
        <v>0</v>
      </c>
      <c r="AL196" s="28">
        <f t="shared" si="90"/>
        <v>0</v>
      </c>
      <c r="AM196" s="17">
        <f t="shared" si="105"/>
        <v>0</v>
      </c>
      <c r="AN196" s="28">
        <f t="shared" si="113"/>
        <v>0</v>
      </c>
      <c r="AO196" s="17">
        <f t="shared" si="110"/>
        <v>0</v>
      </c>
      <c r="AP196" s="28">
        <f t="shared" si="114"/>
        <v>0</v>
      </c>
      <c r="AQ196" s="17">
        <f t="shared" si="111"/>
        <v>0</v>
      </c>
      <c r="AR196" s="28">
        <f t="shared" si="115"/>
        <v>0</v>
      </c>
      <c r="AS196" s="17">
        <f t="shared" si="101"/>
        <v>0</v>
      </c>
      <c r="AT196" s="28">
        <f t="shared" si="102"/>
        <v>0</v>
      </c>
      <c r="AU196" s="17">
        <f t="shared" si="103"/>
        <v>0</v>
      </c>
      <c r="AV196" s="28">
        <f t="shared" si="104"/>
        <v>0</v>
      </c>
      <c r="AW196" s="17">
        <f t="shared" si="91"/>
        <v>0</v>
      </c>
      <c r="AX196" s="28">
        <f t="shared" si="92"/>
        <v>0</v>
      </c>
      <c r="AY196" s="17">
        <f t="shared" si="93"/>
        <v>0</v>
      </c>
      <c r="AZ196" s="28">
        <f t="shared" si="94"/>
        <v>0</v>
      </c>
      <c r="BA196" s="27">
        <f t="shared" si="106"/>
        <v>0</v>
      </c>
      <c r="BB196" s="27">
        <f t="shared" si="96"/>
        <v>0</v>
      </c>
      <c r="BC196" s="27">
        <f t="shared" si="98"/>
        <v>0</v>
      </c>
      <c r="BD196" s="27">
        <f t="shared" si="99"/>
        <v>0</v>
      </c>
      <c r="BE196" s="27">
        <f t="shared" si="100"/>
        <v>0</v>
      </c>
      <c r="BF196" s="29">
        <f t="shared" si="107"/>
        <v>0</v>
      </c>
      <c r="BH196" s="30">
        <f t="shared" si="95"/>
        <v>0</v>
      </c>
      <c r="BM196" s="2">
        <f t="shared" si="116"/>
        <v>0</v>
      </c>
      <c r="BP196" s="2">
        <f t="shared" si="117"/>
        <v>0</v>
      </c>
    </row>
    <row r="197" spans="1:68" ht="14.45" hidden="1" customHeight="1" x14ac:dyDescent="0.25">
      <c r="A197" s="33" t="s">
        <v>226</v>
      </c>
      <c r="B197" s="23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13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5"/>
      <c r="AD197" s="25">
        <f t="shared" si="118"/>
        <v>0</v>
      </c>
      <c r="AE197" s="26" t="s">
        <v>42</v>
      </c>
      <c r="AF197" s="27"/>
      <c r="AG197" s="17">
        <f t="shared" si="86"/>
        <v>0</v>
      </c>
      <c r="AH197" s="28">
        <f t="shared" si="87"/>
        <v>0</v>
      </c>
      <c r="AI197" s="17">
        <f t="shared" si="88"/>
        <v>0</v>
      </c>
      <c r="AJ197" s="28">
        <f t="shared" si="89"/>
        <v>0</v>
      </c>
      <c r="AK197" s="17">
        <f t="shared" si="97"/>
        <v>0</v>
      </c>
      <c r="AL197" s="28">
        <f t="shared" si="90"/>
        <v>0</v>
      </c>
      <c r="AM197" s="17">
        <f t="shared" si="105"/>
        <v>0</v>
      </c>
      <c r="AN197" s="28">
        <f t="shared" si="113"/>
        <v>0</v>
      </c>
      <c r="AO197" s="17">
        <f t="shared" si="110"/>
        <v>0</v>
      </c>
      <c r="AP197" s="28">
        <f t="shared" si="114"/>
        <v>0</v>
      </c>
      <c r="AQ197" s="17">
        <f t="shared" si="111"/>
        <v>0</v>
      </c>
      <c r="AR197" s="28">
        <f t="shared" si="115"/>
        <v>0</v>
      </c>
      <c r="AS197" s="17">
        <f t="shared" si="101"/>
        <v>0</v>
      </c>
      <c r="AT197" s="28">
        <f t="shared" si="102"/>
        <v>0</v>
      </c>
      <c r="AU197" s="17">
        <f t="shared" si="103"/>
        <v>0</v>
      </c>
      <c r="AV197" s="28">
        <f t="shared" si="104"/>
        <v>0</v>
      </c>
      <c r="AW197" s="17">
        <f t="shared" si="91"/>
        <v>0</v>
      </c>
      <c r="AX197" s="28">
        <f t="shared" si="92"/>
        <v>0</v>
      </c>
      <c r="AY197" s="17">
        <f t="shared" si="93"/>
        <v>0</v>
      </c>
      <c r="AZ197" s="28">
        <f t="shared" si="94"/>
        <v>0</v>
      </c>
      <c r="BA197" s="27">
        <f t="shared" si="106"/>
        <v>0</v>
      </c>
      <c r="BB197" s="27">
        <f t="shared" si="96"/>
        <v>0</v>
      </c>
      <c r="BC197" s="27">
        <f t="shared" si="98"/>
        <v>0</v>
      </c>
      <c r="BD197" s="27">
        <f t="shared" si="99"/>
        <v>0</v>
      </c>
      <c r="BE197" s="27">
        <f t="shared" si="100"/>
        <v>0</v>
      </c>
      <c r="BF197" s="29">
        <f t="shared" si="107"/>
        <v>0</v>
      </c>
      <c r="BH197" s="30">
        <f t="shared" si="95"/>
        <v>0</v>
      </c>
      <c r="BM197" s="2">
        <f t="shared" si="116"/>
        <v>0</v>
      </c>
      <c r="BP197" s="2">
        <f t="shared" si="117"/>
        <v>0</v>
      </c>
    </row>
    <row r="198" spans="1:68" ht="14.45" hidden="1" customHeight="1" x14ac:dyDescent="0.25">
      <c r="A198" s="33" t="s">
        <v>227</v>
      </c>
      <c r="B198" s="23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13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5"/>
      <c r="AD198" s="25">
        <f t="shared" si="118"/>
        <v>0</v>
      </c>
      <c r="AE198" s="26" t="s">
        <v>42</v>
      </c>
      <c r="AF198" s="27"/>
      <c r="AG198" s="17">
        <f t="shared" si="86"/>
        <v>0</v>
      </c>
      <c r="AH198" s="28">
        <f t="shared" si="87"/>
        <v>0</v>
      </c>
      <c r="AI198" s="17">
        <f t="shared" si="88"/>
        <v>0</v>
      </c>
      <c r="AJ198" s="28">
        <f t="shared" si="89"/>
        <v>0</v>
      </c>
      <c r="AK198" s="17">
        <f t="shared" si="97"/>
        <v>0</v>
      </c>
      <c r="AL198" s="28">
        <f t="shared" si="90"/>
        <v>0</v>
      </c>
      <c r="AM198" s="17">
        <f t="shared" si="105"/>
        <v>0</v>
      </c>
      <c r="AN198" s="28">
        <f t="shared" si="113"/>
        <v>0</v>
      </c>
      <c r="AO198" s="17">
        <f t="shared" si="110"/>
        <v>0</v>
      </c>
      <c r="AP198" s="28">
        <f t="shared" si="114"/>
        <v>0</v>
      </c>
      <c r="AQ198" s="17">
        <f t="shared" si="111"/>
        <v>0</v>
      </c>
      <c r="AR198" s="28">
        <f t="shared" si="115"/>
        <v>0</v>
      </c>
      <c r="AS198" s="17">
        <f t="shared" si="101"/>
        <v>0</v>
      </c>
      <c r="AT198" s="28">
        <f t="shared" si="102"/>
        <v>0</v>
      </c>
      <c r="AU198" s="17">
        <f t="shared" si="103"/>
        <v>0</v>
      </c>
      <c r="AV198" s="28">
        <f t="shared" si="104"/>
        <v>0</v>
      </c>
      <c r="AW198" s="17">
        <f t="shared" si="91"/>
        <v>0</v>
      </c>
      <c r="AX198" s="28">
        <f t="shared" si="92"/>
        <v>0</v>
      </c>
      <c r="AY198" s="17">
        <f t="shared" si="93"/>
        <v>0</v>
      </c>
      <c r="AZ198" s="28">
        <f t="shared" si="94"/>
        <v>0</v>
      </c>
      <c r="BA198" s="27">
        <f t="shared" si="106"/>
        <v>0</v>
      </c>
      <c r="BB198" s="27">
        <f t="shared" si="96"/>
        <v>0</v>
      </c>
      <c r="BC198" s="27">
        <f t="shared" si="98"/>
        <v>0</v>
      </c>
      <c r="BD198" s="27">
        <f t="shared" si="99"/>
        <v>0</v>
      </c>
      <c r="BE198" s="27">
        <f t="shared" si="100"/>
        <v>0</v>
      </c>
      <c r="BF198" s="29">
        <f t="shared" si="107"/>
        <v>0</v>
      </c>
      <c r="BH198" s="30">
        <f t="shared" si="95"/>
        <v>0</v>
      </c>
      <c r="BM198" s="2">
        <f t="shared" si="116"/>
        <v>0</v>
      </c>
      <c r="BP198" s="2">
        <f t="shared" si="117"/>
        <v>0</v>
      </c>
    </row>
    <row r="199" spans="1:68" ht="14.45" hidden="1" customHeight="1" x14ac:dyDescent="0.25">
      <c r="A199" s="33" t="s">
        <v>228</v>
      </c>
      <c r="B199" s="23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13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5"/>
      <c r="AD199" s="25">
        <f t="shared" si="118"/>
        <v>0</v>
      </c>
      <c r="AE199" s="26" t="s">
        <v>42</v>
      </c>
      <c r="AF199" s="27"/>
      <c r="AG199" s="17">
        <f t="shared" si="86"/>
        <v>0</v>
      </c>
      <c r="AH199" s="28">
        <f t="shared" si="87"/>
        <v>0</v>
      </c>
      <c r="AI199" s="17">
        <f t="shared" si="88"/>
        <v>0</v>
      </c>
      <c r="AJ199" s="28">
        <f t="shared" si="89"/>
        <v>0</v>
      </c>
      <c r="AK199" s="17">
        <f t="shared" si="97"/>
        <v>0</v>
      </c>
      <c r="AL199" s="28">
        <f t="shared" si="90"/>
        <v>0</v>
      </c>
      <c r="AM199" s="17">
        <f t="shared" si="105"/>
        <v>0</v>
      </c>
      <c r="AN199" s="28">
        <f t="shared" si="113"/>
        <v>0</v>
      </c>
      <c r="AO199" s="17">
        <f t="shared" si="110"/>
        <v>0</v>
      </c>
      <c r="AP199" s="28">
        <f t="shared" si="114"/>
        <v>0</v>
      </c>
      <c r="AQ199" s="17">
        <f t="shared" si="111"/>
        <v>0</v>
      </c>
      <c r="AR199" s="28">
        <f t="shared" si="115"/>
        <v>0</v>
      </c>
      <c r="AS199" s="17">
        <f t="shared" si="101"/>
        <v>0</v>
      </c>
      <c r="AT199" s="28">
        <f t="shared" si="102"/>
        <v>0</v>
      </c>
      <c r="AU199" s="17">
        <f t="shared" si="103"/>
        <v>0</v>
      </c>
      <c r="AV199" s="28">
        <f t="shared" si="104"/>
        <v>0</v>
      </c>
      <c r="AW199" s="17">
        <f t="shared" si="91"/>
        <v>0</v>
      </c>
      <c r="AX199" s="28">
        <f t="shared" si="92"/>
        <v>0</v>
      </c>
      <c r="AY199" s="17">
        <f t="shared" si="93"/>
        <v>0</v>
      </c>
      <c r="AZ199" s="28">
        <f t="shared" si="94"/>
        <v>0</v>
      </c>
      <c r="BA199" s="27">
        <f t="shared" si="106"/>
        <v>0</v>
      </c>
      <c r="BB199" s="27">
        <f t="shared" si="96"/>
        <v>0</v>
      </c>
      <c r="BC199" s="27">
        <f t="shared" si="98"/>
        <v>0</v>
      </c>
      <c r="BD199" s="27">
        <f t="shared" si="99"/>
        <v>0</v>
      </c>
      <c r="BE199" s="27">
        <f t="shared" si="100"/>
        <v>0</v>
      </c>
      <c r="BF199" s="29">
        <f t="shared" si="107"/>
        <v>0</v>
      </c>
      <c r="BH199" s="30">
        <f t="shared" si="95"/>
        <v>0</v>
      </c>
      <c r="BM199" s="2">
        <f t="shared" si="116"/>
        <v>0</v>
      </c>
      <c r="BP199" s="2">
        <f t="shared" si="117"/>
        <v>0</v>
      </c>
    </row>
    <row r="200" spans="1:68" ht="14.45" hidden="1" customHeight="1" x14ac:dyDescent="0.25">
      <c r="A200" s="33" t="s">
        <v>229</v>
      </c>
      <c r="B200" s="2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13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5"/>
      <c r="AD200" s="25">
        <f t="shared" si="118"/>
        <v>0</v>
      </c>
      <c r="AE200" s="26" t="s">
        <v>42</v>
      </c>
      <c r="AF200" s="27"/>
      <c r="AG200" s="17">
        <f t="shared" ref="AG200:AG263" si="119">SUM(F200:L200)-G200</f>
        <v>0</v>
      </c>
      <c r="AH200" s="28">
        <f t="shared" ref="AH200:AH263" si="120">+AG200*AF200</f>
        <v>0</v>
      </c>
      <c r="AI200" s="17">
        <f t="shared" ref="AI200:AI263" si="121">SUM(T200:Y200)-U200</f>
        <v>0</v>
      </c>
      <c r="AJ200" s="28">
        <f t="shared" ref="AJ200:AJ263" si="122">+AI200*AF200</f>
        <v>0</v>
      </c>
      <c r="AK200" s="17">
        <f t="shared" si="97"/>
        <v>0</v>
      </c>
      <c r="AL200" s="28">
        <f t="shared" ref="AL200:AL263" si="123">+AK200*AF200</f>
        <v>0</v>
      </c>
      <c r="AM200" s="17">
        <f t="shared" si="105"/>
        <v>0</v>
      </c>
      <c r="AN200" s="28">
        <f t="shared" si="113"/>
        <v>0</v>
      </c>
      <c r="AO200" s="17">
        <f t="shared" si="110"/>
        <v>0</v>
      </c>
      <c r="AP200" s="28">
        <f t="shared" si="114"/>
        <v>0</v>
      </c>
      <c r="AQ200" s="17">
        <f t="shared" si="111"/>
        <v>0</v>
      </c>
      <c r="AR200" s="28">
        <f t="shared" si="115"/>
        <v>0</v>
      </c>
      <c r="AS200" s="17">
        <f t="shared" si="101"/>
        <v>0</v>
      </c>
      <c r="AT200" s="28">
        <f t="shared" si="102"/>
        <v>0</v>
      </c>
      <c r="AU200" s="17">
        <f t="shared" si="103"/>
        <v>0</v>
      </c>
      <c r="AV200" s="28">
        <f t="shared" si="104"/>
        <v>0</v>
      </c>
      <c r="AW200" s="17">
        <f t="shared" ref="AW200:AW263" si="124">+D200</f>
        <v>0</v>
      </c>
      <c r="AX200" s="28">
        <f t="shared" ref="AX200:AX263" si="125">+AW200*AF200</f>
        <v>0</v>
      </c>
      <c r="AY200" s="17">
        <f t="shared" ref="AY200:AY263" si="126">+R200</f>
        <v>0</v>
      </c>
      <c r="AZ200" s="28">
        <f t="shared" ref="AZ200:AZ263" si="127">+AY200*AF200</f>
        <v>0</v>
      </c>
      <c r="BA200" s="27">
        <f t="shared" si="106"/>
        <v>0</v>
      </c>
      <c r="BB200" s="27">
        <f t="shared" si="96"/>
        <v>0</v>
      </c>
      <c r="BC200" s="27">
        <f t="shared" si="98"/>
        <v>0</v>
      </c>
      <c r="BD200" s="27">
        <f t="shared" si="99"/>
        <v>0</v>
      </c>
      <c r="BE200" s="27">
        <f t="shared" si="100"/>
        <v>0</v>
      </c>
      <c r="BF200" s="29">
        <f t="shared" si="107"/>
        <v>0</v>
      </c>
      <c r="BH200" s="30">
        <f t="shared" ref="BH200:BH263" si="128">+B200+C200+E200+G200+M200+N200+O200+(P200+Q200+S200+U200+Z200+AA200+AB200)</f>
        <v>0</v>
      </c>
      <c r="BM200" s="2">
        <f t="shared" si="116"/>
        <v>0</v>
      </c>
      <c r="BP200" s="2">
        <f t="shared" si="117"/>
        <v>0</v>
      </c>
    </row>
    <row r="201" spans="1:68" ht="14.45" hidden="1" customHeight="1" x14ac:dyDescent="0.25">
      <c r="A201" s="33" t="s">
        <v>230</v>
      </c>
      <c r="B201" s="23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13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5"/>
      <c r="AD201" s="25">
        <f t="shared" si="118"/>
        <v>0</v>
      </c>
      <c r="AE201" s="26" t="s">
        <v>42</v>
      </c>
      <c r="AF201" s="27"/>
      <c r="AG201" s="17">
        <f t="shared" si="119"/>
        <v>0</v>
      </c>
      <c r="AH201" s="28">
        <f t="shared" si="120"/>
        <v>0</v>
      </c>
      <c r="AI201" s="17">
        <f t="shared" si="121"/>
        <v>0</v>
      </c>
      <c r="AJ201" s="28">
        <f t="shared" si="122"/>
        <v>0</v>
      </c>
      <c r="AK201" s="17">
        <f t="shared" si="97"/>
        <v>0</v>
      </c>
      <c r="AL201" s="28">
        <f t="shared" si="123"/>
        <v>0</v>
      </c>
      <c r="AM201" s="17">
        <f t="shared" si="105"/>
        <v>0</v>
      </c>
      <c r="AN201" s="28">
        <f t="shared" si="113"/>
        <v>0</v>
      </c>
      <c r="AO201" s="17">
        <f t="shared" si="110"/>
        <v>0</v>
      </c>
      <c r="AP201" s="28">
        <f t="shared" si="114"/>
        <v>0</v>
      </c>
      <c r="AQ201" s="17">
        <f t="shared" si="111"/>
        <v>0</v>
      </c>
      <c r="AR201" s="28">
        <f t="shared" si="115"/>
        <v>0</v>
      </c>
      <c r="AS201" s="17">
        <f t="shared" si="101"/>
        <v>0</v>
      </c>
      <c r="AT201" s="28">
        <f t="shared" si="102"/>
        <v>0</v>
      </c>
      <c r="AU201" s="17">
        <f t="shared" si="103"/>
        <v>0</v>
      </c>
      <c r="AV201" s="28">
        <f t="shared" si="104"/>
        <v>0</v>
      </c>
      <c r="AW201" s="17">
        <f t="shared" si="124"/>
        <v>0</v>
      </c>
      <c r="AX201" s="28">
        <f t="shared" si="125"/>
        <v>0</v>
      </c>
      <c r="AY201" s="17">
        <f t="shared" si="126"/>
        <v>0</v>
      </c>
      <c r="AZ201" s="28">
        <f t="shared" si="127"/>
        <v>0</v>
      </c>
      <c r="BA201" s="27">
        <f t="shared" si="106"/>
        <v>0</v>
      </c>
      <c r="BB201" s="27">
        <f t="shared" ref="BB201:BB264" si="129">+AL201+AN201</f>
        <v>0</v>
      </c>
      <c r="BC201" s="27">
        <f t="shared" si="98"/>
        <v>0</v>
      </c>
      <c r="BD201" s="27">
        <f t="shared" si="99"/>
        <v>0</v>
      </c>
      <c r="BE201" s="27">
        <f t="shared" si="100"/>
        <v>0</v>
      </c>
      <c r="BF201" s="29">
        <f t="shared" si="107"/>
        <v>0</v>
      </c>
      <c r="BH201" s="30">
        <f t="shared" si="128"/>
        <v>0</v>
      </c>
      <c r="BM201" s="2">
        <f t="shared" si="116"/>
        <v>0</v>
      </c>
      <c r="BP201" s="2">
        <f t="shared" si="117"/>
        <v>0</v>
      </c>
    </row>
    <row r="202" spans="1:68" ht="14.45" hidden="1" customHeight="1" x14ac:dyDescent="0.25">
      <c r="A202" s="33" t="s">
        <v>231</v>
      </c>
      <c r="B202" s="2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13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5"/>
      <c r="AD202" s="25">
        <f t="shared" si="118"/>
        <v>0</v>
      </c>
      <c r="AE202" s="26" t="s">
        <v>42</v>
      </c>
      <c r="AF202" s="27"/>
      <c r="AG202" s="17">
        <f t="shared" si="119"/>
        <v>0</v>
      </c>
      <c r="AH202" s="28">
        <f t="shared" si="120"/>
        <v>0</v>
      </c>
      <c r="AI202" s="17">
        <f t="shared" si="121"/>
        <v>0</v>
      </c>
      <c r="AJ202" s="28">
        <f t="shared" si="122"/>
        <v>0</v>
      </c>
      <c r="AK202" s="17">
        <f t="shared" ref="AK202:AK265" si="130">+N202+O202+G202</f>
        <v>0</v>
      </c>
      <c r="AL202" s="28">
        <f t="shared" si="123"/>
        <v>0</v>
      </c>
      <c r="AM202" s="17">
        <f t="shared" si="105"/>
        <v>0</v>
      </c>
      <c r="AN202" s="28">
        <f t="shared" si="113"/>
        <v>0</v>
      </c>
      <c r="AO202" s="17">
        <f t="shared" si="110"/>
        <v>0</v>
      </c>
      <c r="AP202" s="28">
        <f t="shared" si="114"/>
        <v>0</v>
      </c>
      <c r="AQ202" s="17">
        <f t="shared" si="111"/>
        <v>0</v>
      </c>
      <c r="AR202" s="28">
        <f t="shared" si="115"/>
        <v>0</v>
      </c>
      <c r="AS202" s="17">
        <f t="shared" si="101"/>
        <v>0</v>
      </c>
      <c r="AT202" s="28">
        <f t="shared" si="102"/>
        <v>0</v>
      </c>
      <c r="AU202" s="17">
        <f t="shared" si="103"/>
        <v>0</v>
      </c>
      <c r="AV202" s="28">
        <f t="shared" si="104"/>
        <v>0</v>
      </c>
      <c r="AW202" s="17">
        <f t="shared" si="124"/>
        <v>0</v>
      </c>
      <c r="AX202" s="28">
        <f t="shared" si="125"/>
        <v>0</v>
      </c>
      <c r="AY202" s="17">
        <f t="shared" si="126"/>
        <v>0</v>
      </c>
      <c r="AZ202" s="28">
        <f t="shared" si="127"/>
        <v>0</v>
      </c>
      <c r="BA202" s="27">
        <f t="shared" si="106"/>
        <v>0</v>
      </c>
      <c r="BB202" s="27">
        <f t="shared" si="129"/>
        <v>0</v>
      </c>
      <c r="BC202" s="27">
        <f t="shared" ref="BC202:BC265" si="131">+AP202+AR202</f>
        <v>0</v>
      </c>
      <c r="BD202" s="27">
        <f t="shared" ref="BD202:BD265" si="132">+AT202+AV202</f>
        <v>0</v>
      </c>
      <c r="BE202" s="27">
        <f t="shared" ref="BE202:BE265" si="133">+AX202+AZ202</f>
        <v>0</v>
      </c>
      <c r="BF202" s="29">
        <f t="shared" si="107"/>
        <v>0</v>
      </c>
      <c r="BH202" s="30">
        <f t="shared" si="128"/>
        <v>0</v>
      </c>
      <c r="BM202" s="2">
        <f t="shared" si="116"/>
        <v>0</v>
      </c>
      <c r="BP202" s="2">
        <f t="shared" si="117"/>
        <v>0</v>
      </c>
    </row>
    <row r="203" spans="1:68" ht="14.45" hidden="1" customHeight="1" x14ac:dyDescent="0.25">
      <c r="A203" s="33" t="s">
        <v>232</v>
      </c>
      <c r="B203" s="23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13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5"/>
      <c r="AD203" s="25">
        <f t="shared" si="118"/>
        <v>0</v>
      </c>
      <c r="AE203" s="26" t="s">
        <v>42</v>
      </c>
      <c r="AF203" s="27"/>
      <c r="AG203" s="17">
        <f t="shared" si="119"/>
        <v>0</v>
      </c>
      <c r="AH203" s="28">
        <f t="shared" si="120"/>
        <v>0</v>
      </c>
      <c r="AI203" s="17">
        <f t="shared" si="121"/>
        <v>0</v>
      </c>
      <c r="AJ203" s="28">
        <f t="shared" si="122"/>
        <v>0</v>
      </c>
      <c r="AK203" s="17">
        <f t="shared" si="130"/>
        <v>0</v>
      </c>
      <c r="AL203" s="28">
        <f t="shared" si="123"/>
        <v>0</v>
      </c>
      <c r="AM203" s="17">
        <f t="shared" si="105"/>
        <v>0</v>
      </c>
      <c r="AN203" s="28">
        <f t="shared" si="113"/>
        <v>0</v>
      </c>
      <c r="AO203" s="17">
        <f t="shared" si="110"/>
        <v>0</v>
      </c>
      <c r="AP203" s="28">
        <f t="shared" si="114"/>
        <v>0</v>
      </c>
      <c r="AQ203" s="17">
        <f t="shared" si="111"/>
        <v>0</v>
      </c>
      <c r="AR203" s="28">
        <f t="shared" si="115"/>
        <v>0</v>
      </c>
      <c r="AS203" s="17">
        <f t="shared" ref="AS203:AS266" si="134">+C203</f>
        <v>0</v>
      </c>
      <c r="AT203" s="28">
        <f t="shared" ref="AT203:AT266" si="135">+AS203*AF203</f>
        <v>0</v>
      </c>
      <c r="AU203" s="17">
        <f t="shared" ref="AU203:AU266" si="136">+Q203</f>
        <v>0</v>
      </c>
      <c r="AV203" s="28">
        <f t="shared" ref="AV203:AV266" si="137">+AU203*AF203</f>
        <v>0</v>
      </c>
      <c r="AW203" s="17">
        <f t="shared" si="124"/>
        <v>0</v>
      </c>
      <c r="AX203" s="28">
        <f t="shared" si="125"/>
        <v>0</v>
      </c>
      <c r="AY203" s="17">
        <f t="shared" si="126"/>
        <v>0</v>
      </c>
      <c r="AZ203" s="28">
        <f t="shared" si="127"/>
        <v>0</v>
      </c>
      <c r="BA203" s="27">
        <f t="shared" si="106"/>
        <v>0</v>
      </c>
      <c r="BB203" s="27">
        <f t="shared" si="129"/>
        <v>0</v>
      </c>
      <c r="BC203" s="27">
        <f t="shared" si="131"/>
        <v>0</v>
      </c>
      <c r="BD203" s="27">
        <f t="shared" si="132"/>
        <v>0</v>
      </c>
      <c r="BE203" s="27">
        <f t="shared" si="133"/>
        <v>0</v>
      </c>
      <c r="BF203" s="29">
        <f t="shared" si="107"/>
        <v>0</v>
      </c>
      <c r="BH203" s="30">
        <f t="shared" si="128"/>
        <v>0</v>
      </c>
      <c r="BM203" s="2">
        <f t="shared" si="116"/>
        <v>0</v>
      </c>
      <c r="BP203" s="2">
        <f t="shared" si="117"/>
        <v>0</v>
      </c>
    </row>
    <row r="204" spans="1:68" ht="14.45" hidden="1" customHeight="1" x14ac:dyDescent="0.25">
      <c r="A204" s="33" t="s">
        <v>233</v>
      </c>
      <c r="B204" s="23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13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5"/>
      <c r="AD204" s="25">
        <f t="shared" si="118"/>
        <v>0</v>
      </c>
      <c r="AE204" s="26" t="s">
        <v>42</v>
      </c>
      <c r="AF204" s="27"/>
      <c r="AG204" s="17">
        <f t="shared" si="119"/>
        <v>0</v>
      </c>
      <c r="AH204" s="28">
        <f t="shared" si="120"/>
        <v>0</v>
      </c>
      <c r="AI204" s="17">
        <f t="shared" si="121"/>
        <v>0</v>
      </c>
      <c r="AJ204" s="28">
        <f t="shared" si="122"/>
        <v>0</v>
      </c>
      <c r="AK204" s="17">
        <f t="shared" si="130"/>
        <v>0</v>
      </c>
      <c r="AL204" s="28">
        <f t="shared" si="123"/>
        <v>0</v>
      </c>
      <c r="AM204" s="17">
        <f t="shared" ref="AM204:AM267" si="138">+AA204+AB204+U204</f>
        <v>0</v>
      </c>
      <c r="AN204" s="28">
        <f t="shared" si="113"/>
        <v>0</v>
      </c>
      <c r="AO204" s="17">
        <f t="shared" si="110"/>
        <v>0</v>
      </c>
      <c r="AP204" s="28">
        <f t="shared" si="114"/>
        <v>0</v>
      </c>
      <c r="AQ204" s="17">
        <f t="shared" si="111"/>
        <v>0</v>
      </c>
      <c r="AR204" s="28">
        <f t="shared" si="115"/>
        <v>0</v>
      </c>
      <c r="AS204" s="17">
        <f t="shared" si="134"/>
        <v>0</v>
      </c>
      <c r="AT204" s="28">
        <f t="shared" si="135"/>
        <v>0</v>
      </c>
      <c r="AU204" s="17">
        <f t="shared" si="136"/>
        <v>0</v>
      </c>
      <c r="AV204" s="28">
        <f t="shared" si="137"/>
        <v>0</v>
      </c>
      <c r="AW204" s="17">
        <f t="shared" si="124"/>
        <v>0</v>
      </c>
      <c r="AX204" s="28">
        <f t="shared" si="125"/>
        <v>0</v>
      </c>
      <c r="AY204" s="17">
        <f t="shared" si="126"/>
        <v>0</v>
      </c>
      <c r="AZ204" s="28">
        <f t="shared" si="127"/>
        <v>0</v>
      </c>
      <c r="BA204" s="27">
        <f t="shared" si="106"/>
        <v>0</v>
      </c>
      <c r="BB204" s="27">
        <f t="shared" si="129"/>
        <v>0</v>
      </c>
      <c r="BC204" s="27">
        <f t="shared" si="131"/>
        <v>0</v>
      </c>
      <c r="BD204" s="27">
        <f t="shared" si="132"/>
        <v>0</v>
      </c>
      <c r="BE204" s="27">
        <f t="shared" si="133"/>
        <v>0</v>
      </c>
      <c r="BF204" s="29">
        <f t="shared" si="107"/>
        <v>0</v>
      </c>
      <c r="BH204" s="30">
        <f t="shared" si="128"/>
        <v>0</v>
      </c>
      <c r="BM204" s="2">
        <f t="shared" si="116"/>
        <v>0</v>
      </c>
      <c r="BP204" s="2">
        <f t="shared" si="117"/>
        <v>0</v>
      </c>
    </row>
    <row r="205" spans="1:68" ht="14.45" hidden="1" customHeight="1" x14ac:dyDescent="0.25">
      <c r="A205" s="33" t="s">
        <v>234</v>
      </c>
      <c r="B205" s="23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13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5"/>
      <c r="AD205" s="25">
        <f t="shared" si="118"/>
        <v>0</v>
      </c>
      <c r="AE205" s="26" t="s">
        <v>42</v>
      </c>
      <c r="AF205" s="27"/>
      <c r="AG205" s="17">
        <f t="shared" si="119"/>
        <v>0</v>
      </c>
      <c r="AH205" s="28">
        <f t="shared" si="120"/>
        <v>0</v>
      </c>
      <c r="AI205" s="17">
        <f t="shared" si="121"/>
        <v>0</v>
      </c>
      <c r="AJ205" s="28">
        <f t="shared" si="122"/>
        <v>0</v>
      </c>
      <c r="AK205" s="17">
        <f t="shared" si="130"/>
        <v>0</v>
      </c>
      <c r="AL205" s="28">
        <f t="shared" si="123"/>
        <v>0</v>
      </c>
      <c r="AM205" s="17">
        <f t="shared" si="138"/>
        <v>0</v>
      </c>
      <c r="AN205" s="28">
        <f t="shared" si="113"/>
        <v>0</v>
      </c>
      <c r="AO205" s="17">
        <f t="shared" si="110"/>
        <v>0</v>
      </c>
      <c r="AP205" s="28">
        <f t="shared" si="114"/>
        <v>0</v>
      </c>
      <c r="AQ205" s="17">
        <f t="shared" si="111"/>
        <v>0</v>
      </c>
      <c r="AR205" s="28">
        <f t="shared" si="115"/>
        <v>0</v>
      </c>
      <c r="AS205" s="17">
        <f t="shared" si="134"/>
        <v>0</v>
      </c>
      <c r="AT205" s="28">
        <f t="shared" si="135"/>
        <v>0</v>
      </c>
      <c r="AU205" s="17">
        <f t="shared" si="136"/>
        <v>0</v>
      </c>
      <c r="AV205" s="28">
        <f t="shared" si="137"/>
        <v>0</v>
      </c>
      <c r="AW205" s="17">
        <f t="shared" si="124"/>
        <v>0</v>
      </c>
      <c r="AX205" s="28">
        <f t="shared" si="125"/>
        <v>0</v>
      </c>
      <c r="AY205" s="17">
        <f t="shared" si="126"/>
        <v>0</v>
      </c>
      <c r="AZ205" s="28">
        <f t="shared" si="127"/>
        <v>0</v>
      </c>
      <c r="BA205" s="27">
        <f t="shared" si="106"/>
        <v>0</v>
      </c>
      <c r="BB205" s="27">
        <f t="shared" si="129"/>
        <v>0</v>
      </c>
      <c r="BC205" s="27">
        <f t="shared" si="131"/>
        <v>0</v>
      </c>
      <c r="BD205" s="27">
        <f t="shared" si="132"/>
        <v>0</v>
      </c>
      <c r="BE205" s="27">
        <f t="shared" si="133"/>
        <v>0</v>
      </c>
      <c r="BF205" s="29">
        <f t="shared" si="107"/>
        <v>0</v>
      </c>
      <c r="BH205" s="30">
        <f t="shared" si="128"/>
        <v>0</v>
      </c>
      <c r="BM205" s="2">
        <f t="shared" si="116"/>
        <v>0</v>
      </c>
      <c r="BP205" s="2">
        <f t="shared" si="117"/>
        <v>0</v>
      </c>
    </row>
    <row r="206" spans="1:68" ht="14.45" hidden="1" customHeight="1" x14ac:dyDescent="0.25">
      <c r="A206" s="33" t="s">
        <v>235</v>
      </c>
      <c r="B206" s="23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13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5"/>
      <c r="AD206" s="25">
        <f t="shared" si="118"/>
        <v>0</v>
      </c>
      <c r="AE206" s="26" t="s">
        <v>42</v>
      </c>
      <c r="AF206" s="27"/>
      <c r="AG206" s="17">
        <f t="shared" si="119"/>
        <v>0</v>
      </c>
      <c r="AH206" s="28">
        <f t="shared" si="120"/>
        <v>0</v>
      </c>
      <c r="AI206" s="17">
        <f t="shared" si="121"/>
        <v>0</v>
      </c>
      <c r="AJ206" s="28">
        <f t="shared" si="122"/>
        <v>0</v>
      </c>
      <c r="AK206" s="17">
        <f t="shared" si="130"/>
        <v>0</v>
      </c>
      <c r="AL206" s="28">
        <f t="shared" si="123"/>
        <v>0</v>
      </c>
      <c r="AM206" s="17">
        <f t="shared" si="138"/>
        <v>0</v>
      </c>
      <c r="AN206" s="28">
        <f t="shared" si="113"/>
        <v>0</v>
      </c>
      <c r="AO206" s="17">
        <f t="shared" si="110"/>
        <v>0</v>
      </c>
      <c r="AP206" s="28">
        <f t="shared" si="114"/>
        <v>0</v>
      </c>
      <c r="AQ206" s="17">
        <f t="shared" si="111"/>
        <v>0</v>
      </c>
      <c r="AR206" s="28">
        <f t="shared" si="115"/>
        <v>0</v>
      </c>
      <c r="AS206" s="17">
        <f t="shared" si="134"/>
        <v>0</v>
      </c>
      <c r="AT206" s="28">
        <f t="shared" si="135"/>
        <v>0</v>
      </c>
      <c r="AU206" s="17">
        <f t="shared" si="136"/>
        <v>0</v>
      </c>
      <c r="AV206" s="28">
        <f t="shared" si="137"/>
        <v>0</v>
      </c>
      <c r="AW206" s="17">
        <f t="shared" si="124"/>
        <v>0</v>
      </c>
      <c r="AX206" s="28">
        <f t="shared" si="125"/>
        <v>0</v>
      </c>
      <c r="AY206" s="17">
        <f t="shared" si="126"/>
        <v>0</v>
      </c>
      <c r="AZ206" s="28">
        <f t="shared" si="127"/>
        <v>0</v>
      </c>
      <c r="BA206" s="27">
        <f t="shared" si="106"/>
        <v>0</v>
      </c>
      <c r="BB206" s="27">
        <f t="shared" si="129"/>
        <v>0</v>
      </c>
      <c r="BC206" s="27">
        <f t="shared" si="131"/>
        <v>0</v>
      </c>
      <c r="BD206" s="27">
        <f t="shared" si="132"/>
        <v>0</v>
      </c>
      <c r="BE206" s="27">
        <f t="shared" si="133"/>
        <v>0</v>
      </c>
      <c r="BF206" s="29">
        <f t="shared" si="107"/>
        <v>0</v>
      </c>
      <c r="BH206" s="30">
        <f t="shared" si="128"/>
        <v>0</v>
      </c>
      <c r="BM206" s="2">
        <f t="shared" si="116"/>
        <v>0</v>
      </c>
      <c r="BP206" s="2">
        <f t="shared" si="117"/>
        <v>0</v>
      </c>
    </row>
    <row r="207" spans="1:68" ht="14.45" hidden="1" customHeight="1" x14ac:dyDescent="0.25">
      <c r="A207" s="33" t="s">
        <v>236</v>
      </c>
      <c r="B207" s="2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13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5"/>
      <c r="AD207" s="25">
        <f t="shared" si="118"/>
        <v>0</v>
      </c>
      <c r="AE207" s="26" t="s">
        <v>42</v>
      </c>
      <c r="AF207" s="27"/>
      <c r="AG207" s="17">
        <f t="shared" si="119"/>
        <v>0</v>
      </c>
      <c r="AH207" s="28">
        <f t="shared" si="120"/>
        <v>0</v>
      </c>
      <c r="AI207" s="17">
        <f t="shared" si="121"/>
        <v>0</v>
      </c>
      <c r="AJ207" s="28">
        <f t="shared" si="122"/>
        <v>0</v>
      </c>
      <c r="AK207" s="17">
        <f t="shared" si="130"/>
        <v>0</v>
      </c>
      <c r="AL207" s="28">
        <f t="shared" si="123"/>
        <v>0</v>
      </c>
      <c r="AM207" s="17">
        <f t="shared" si="138"/>
        <v>0</v>
      </c>
      <c r="AN207" s="28">
        <f t="shared" si="113"/>
        <v>0</v>
      </c>
      <c r="AO207" s="17">
        <f t="shared" si="110"/>
        <v>0</v>
      </c>
      <c r="AP207" s="28">
        <f t="shared" si="114"/>
        <v>0</v>
      </c>
      <c r="AQ207" s="17">
        <f t="shared" si="111"/>
        <v>0</v>
      </c>
      <c r="AR207" s="28">
        <f t="shared" si="115"/>
        <v>0</v>
      </c>
      <c r="AS207" s="17">
        <f t="shared" si="134"/>
        <v>0</v>
      </c>
      <c r="AT207" s="28">
        <f t="shared" si="135"/>
        <v>0</v>
      </c>
      <c r="AU207" s="17">
        <f t="shared" si="136"/>
        <v>0</v>
      </c>
      <c r="AV207" s="28">
        <f t="shared" si="137"/>
        <v>0</v>
      </c>
      <c r="AW207" s="17">
        <f t="shared" si="124"/>
        <v>0</v>
      </c>
      <c r="AX207" s="28">
        <f t="shared" si="125"/>
        <v>0</v>
      </c>
      <c r="AY207" s="17">
        <f t="shared" si="126"/>
        <v>0</v>
      </c>
      <c r="AZ207" s="28">
        <f t="shared" si="127"/>
        <v>0</v>
      </c>
      <c r="BA207" s="27">
        <f t="shared" si="106"/>
        <v>0</v>
      </c>
      <c r="BB207" s="27">
        <f t="shared" si="129"/>
        <v>0</v>
      </c>
      <c r="BC207" s="27">
        <f t="shared" si="131"/>
        <v>0</v>
      </c>
      <c r="BD207" s="27">
        <f t="shared" si="132"/>
        <v>0</v>
      </c>
      <c r="BE207" s="27">
        <f t="shared" si="133"/>
        <v>0</v>
      </c>
      <c r="BF207" s="29">
        <f t="shared" si="107"/>
        <v>0</v>
      </c>
      <c r="BH207" s="30">
        <f t="shared" si="128"/>
        <v>0</v>
      </c>
      <c r="BM207" s="2">
        <f t="shared" si="116"/>
        <v>0</v>
      </c>
      <c r="BP207" s="2">
        <f t="shared" si="117"/>
        <v>0</v>
      </c>
    </row>
    <row r="208" spans="1:68" ht="14.45" hidden="1" customHeight="1" x14ac:dyDescent="0.25">
      <c r="A208" s="33" t="s">
        <v>237</v>
      </c>
      <c r="B208" s="2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13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5"/>
      <c r="AD208" s="25">
        <f t="shared" si="118"/>
        <v>0</v>
      </c>
      <c r="AE208" s="26" t="s">
        <v>42</v>
      </c>
      <c r="AF208" s="27"/>
      <c r="AG208" s="17">
        <f t="shared" si="119"/>
        <v>0</v>
      </c>
      <c r="AH208" s="28">
        <f t="shared" si="120"/>
        <v>0</v>
      </c>
      <c r="AI208" s="17">
        <f t="shared" si="121"/>
        <v>0</v>
      </c>
      <c r="AJ208" s="28">
        <f t="shared" si="122"/>
        <v>0</v>
      </c>
      <c r="AK208" s="17">
        <f t="shared" si="130"/>
        <v>0</v>
      </c>
      <c r="AL208" s="28">
        <f t="shared" si="123"/>
        <v>0</v>
      </c>
      <c r="AM208" s="17">
        <f t="shared" si="138"/>
        <v>0</v>
      </c>
      <c r="AN208" s="28">
        <f t="shared" si="113"/>
        <v>0</v>
      </c>
      <c r="AO208" s="17">
        <f t="shared" si="110"/>
        <v>0</v>
      </c>
      <c r="AP208" s="28">
        <f t="shared" si="114"/>
        <v>0</v>
      </c>
      <c r="AQ208" s="17">
        <f t="shared" si="111"/>
        <v>0</v>
      </c>
      <c r="AR208" s="28">
        <f t="shared" si="115"/>
        <v>0</v>
      </c>
      <c r="AS208" s="17">
        <f t="shared" si="134"/>
        <v>0</v>
      </c>
      <c r="AT208" s="28">
        <f t="shared" si="135"/>
        <v>0</v>
      </c>
      <c r="AU208" s="17">
        <f t="shared" si="136"/>
        <v>0</v>
      </c>
      <c r="AV208" s="28">
        <f t="shared" si="137"/>
        <v>0</v>
      </c>
      <c r="AW208" s="17">
        <f t="shared" si="124"/>
        <v>0</v>
      </c>
      <c r="AX208" s="28">
        <f t="shared" si="125"/>
        <v>0</v>
      </c>
      <c r="AY208" s="17">
        <f t="shared" si="126"/>
        <v>0</v>
      </c>
      <c r="AZ208" s="28">
        <f t="shared" si="127"/>
        <v>0</v>
      </c>
      <c r="BA208" s="27">
        <f t="shared" si="106"/>
        <v>0</v>
      </c>
      <c r="BB208" s="27">
        <f t="shared" si="129"/>
        <v>0</v>
      </c>
      <c r="BC208" s="27">
        <f t="shared" si="131"/>
        <v>0</v>
      </c>
      <c r="BD208" s="27">
        <f t="shared" si="132"/>
        <v>0</v>
      </c>
      <c r="BE208" s="27">
        <f t="shared" si="133"/>
        <v>0</v>
      </c>
      <c r="BF208" s="29">
        <f t="shared" si="107"/>
        <v>0</v>
      </c>
      <c r="BH208" s="30">
        <f t="shared" si="128"/>
        <v>0</v>
      </c>
      <c r="BM208" s="2">
        <f t="shared" si="116"/>
        <v>0</v>
      </c>
      <c r="BP208" s="2">
        <f t="shared" si="117"/>
        <v>0</v>
      </c>
    </row>
    <row r="209" spans="1:68" ht="14.45" hidden="1" customHeight="1" x14ac:dyDescent="0.25">
      <c r="A209" s="33" t="s">
        <v>238</v>
      </c>
      <c r="B209" s="2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13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5"/>
      <c r="AD209" s="25">
        <f t="shared" si="118"/>
        <v>0</v>
      </c>
      <c r="AE209" s="26" t="s">
        <v>42</v>
      </c>
      <c r="AF209" s="27"/>
      <c r="AG209" s="17">
        <f t="shared" si="119"/>
        <v>0</v>
      </c>
      <c r="AH209" s="28">
        <f t="shared" si="120"/>
        <v>0</v>
      </c>
      <c r="AI209" s="17">
        <f t="shared" si="121"/>
        <v>0</v>
      </c>
      <c r="AJ209" s="28">
        <f t="shared" si="122"/>
        <v>0</v>
      </c>
      <c r="AK209" s="17">
        <f t="shared" si="130"/>
        <v>0</v>
      </c>
      <c r="AL209" s="28">
        <f t="shared" si="123"/>
        <v>0</v>
      </c>
      <c r="AM209" s="17">
        <f t="shared" si="138"/>
        <v>0</v>
      </c>
      <c r="AN209" s="28">
        <f t="shared" si="113"/>
        <v>0</v>
      </c>
      <c r="AO209" s="17">
        <f t="shared" si="110"/>
        <v>0</v>
      </c>
      <c r="AP209" s="28">
        <f t="shared" si="114"/>
        <v>0</v>
      </c>
      <c r="AQ209" s="17">
        <f t="shared" si="111"/>
        <v>0</v>
      </c>
      <c r="AR209" s="28">
        <f t="shared" si="115"/>
        <v>0</v>
      </c>
      <c r="AS209" s="17">
        <f t="shared" si="134"/>
        <v>0</v>
      </c>
      <c r="AT209" s="28">
        <f t="shared" si="135"/>
        <v>0</v>
      </c>
      <c r="AU209" s="17">
        <f t="shared" si="136"/>
        <v>0</v>
      </c>
      <c r="AV209" s="28">
        <f t="shared" si="137"/>
        <v>0</v>
      </c>
      <c r="AW209" s="17">
        <f t="shared" si="124"/>
        <v>0</v>
      </c>
      <c r="AX209" s="28">
        <f t="shared" si="125"/>
        <v>0</v>
      </c>
      <c r="AY209" s="17">
        <f t="shared" si="126"/>
        <v>0</v>
      </c>
      <c r="AZ209" s="28">
        <f t="shared" si="127"/>
        <v>0</v>
      </c>
      <c r="BA209" s="27">
        <f t="shared" si="106"/>
        <v>0</v>
      </c>
      <c r="BB209" s="27">
        <f t="shared" si="129"/>
        <v>0</v>
      </c>
      <c r="BC209" s="27">
        <f t="shared" si="131"/>
        <v>0</v>
      </c>
      <c r="BD209" s="27">
        <f t="shared" si="132"/>
        <v>0</v>
      </c>
      <c r="BE209" s="27">
        <f t="shared" si="133"/>
        <v>0</v>
      </c>
      <c r="BF209" s="29">
        <f t="shared" si="107"/>
        <v>0</v>
      </c>
      <c r="BH209" s="30">
        <f t="shared" si="128"/>
        <v>0</v>
      </c>
      <c r="BM209" s="2">
        <f t="shared" si="116"/>
        <v>0</v>
      </c>
      <c r="BP209" s="2">
        <f t="shared" si="117"/>
        <v>0</v>
      </c>
    </row>
    <row r="210" spans="1:68" ht="14.45" hidden="1" customHeight="1" x14ac:dyDescent="0.25">
      <c r="A210" s="33" t="s">
        <v>239</v>
      </c>
      <c r="B210" s="23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13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5"/>
      <c r="AD210" s="25">
        <f t="shared" si="118"/>
        <v>0</v>
      </c>
      <c r="AE210" s="26" t="s">
        <v>42</v>
      </c>
      <c r="AF210" s="27"/>
      <c r="AG210" s="17">
        <f t="shared" si="119"/>
        <v>0</v>
      </c>
      <c r="AH210" s="28">
        <f t="shared" si="120"/>
        <v>0</v>
      </c>
      <c r="AI210" s="17">
        <f t="shared" si="121"/>
        <v>0</v>
      </c>
      <c r="AJ210" s="28">
        <f t="shared" si="122"/>
        <v>0</v>
      </c>
      <c r="AK210" s="17">
        <f t="shared" si="130"/>
        <v>0</v>
      </c>
      <c r="AL210" s="28">
        <f t="shared" si="123"/>
        <v>0</v>
      </c>
      <c r="AM210" s="17">
        <f t="shared" si="138"/>
        <v>0</v>
      </c>
      <c r="AN210" s="28">
        <f t="shared" si="113"/>
        <v>0</v>
      </c>
      <c r="AO210" s="17">
        <f t="shared" si="110"/>
        <v>0</v>
      </c>
      <c r="AP210" s="28">
        <f t="shared" si="114"/>
        <v>0</v>
      </c>
      <c r="AQ210" s="17">
        <f t="shared" si="111"/>
        <v>0</v>
      </c>
      <c r="AR210" s="28">
        <f t="shared" si="115"/>
        <v>0</v>
      </c>
      <c r="AS210" s="17">
        <f t="shared" si="134"/>
        <v>0</v>
      </c>
      <c r="AT210" s="28">
        <f t="shared" si="135"/>
        <v>0</v>
      </c>
      <c r="AU210" s="17">
        <f t="shared" si="136"/>
        <v>0</v>
      </c>
      <c r="AV210" s="28">
        <f t="shared" si="137"/>
        <v>0</v>
      </c>
      <c r="AW210" s="17">
        <f t="shared" si="124"/>
        <v>0</v>
      </c>
      <c r="AX210" s="28">
        <f t="shared" si="125"/>
        <v>0</v>
      </c>
      <c r="AY210" s="17">
        <f t="shared" si="126"/>
        <v>0</v>
      </c>
      <c r="AZ210" s="28">
        <f t="shared" si="127"/>
        <v>0</v>
      </c>
      <c r="BA210" s="27">
        <f t="shared" si="106"/>
        <v>0</v>
      </c>
      <c r="BB210" s="27">
        <f t="shared" si="129"/>
        <v>0</v>
      </c>
      <c r="BC210" s="27">
        <f t="shared" si="131"/>
        <v>0</v>
      </c>
      <c r="BD210" s="27">
        <f t="shared" si="132"/>
        <v>0</v>
      </c>
      <c r="BE210" s="27">
        <f t="shared" si="133"/>
        <v>0</v>
      </c>
      <c r="BF210" s="29">
        <f t="shared" si="107"/>
        <v>0</v>
      </c>
      <c r="BH210" s="30">
        <f t="shared" si="128"/>
        <v>0</v>
      </c>
      <c r="BM210" s="2">
        <f t="shared" si="116"/>
        <v>0</v>
      </c>
      <c r="BP210" s="2">
        <f t="shared" si="117"/>
        <v>0</v>
      </c>
    </row>
    <row r="211" spans="1:68" ht="14.45" hidden="1" customHeight="1" x14ac:dyDescent="0.25">
      <c r="A211" s="33" t="s">
        <v>240</v>
      </c>
      <c r="B211" s="23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13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5"/>
      <c r="AD211" s="25">
        <f t="shared" si="118"/>
        <v>0</v>
      </c>
      <c r="AE211" s="26" t="s">
        <v>42</v>
      </c>
      <c r="AF211" s="27"/>
      <c r="AG211" s="17">
        <f t="shared" si="119"/>
        <v>0</v>
      </c>
      <c r="AH211" s="28">
        <f t="shared" si="120"/>
        <v>0</v>
      </c>
      <c r="AI211" s="17">
        <f t="shared" si="121"/>
        <v>0</v>
      </c>
      <c r="AJ211" s="28">
        <f t="shared" si="122"/>
        <v>0</v>
      </c>
      <c r="AK211" s="17">
        <f t="shared" si="130"/>
        <v>0</v>
      </c>
      <c r="AL211" s="28">
        <f t="shared" si="123"/>
        <v>0</v>
      </c>
      <c r="AM211" s="17">
        <f t="shared" si="138"/>
        <v>0</v>
      </c>
      <c r="AN211" s="28">
        <f t="shared" si="113"/>
        <v>0</v>
      </c>
      <c r="AO211" s="17">
        <f t="shared" si="110"/>
        <v>0</v>
      </c>
      <c r="AP211" s="28">
        <f t="shared" si="114"/>
        <v>0</v>
      </c>
      <c r="AQ211" s="17">
        <f t="shared" si="111"/>
        <v>0</v>
      </c>
      <c r="AR211" s="28">
        <f t="shared" si="115"/>
        <v>0</v>
      </c>
      <c r="AS211" s="17">
        <f t="shared" si="134"/>
        <v>0</v>
      </c>
      <c r="AT211" s="28">
        <f t="shared" si="135"/>
        <v>0</v>
      </c>
      <c r="AU211" s="17">
        <f t="shared" si="136"/>
        <v>0</v>
      </c>
      <c r="AV211" s="28">
        <f t="shared" si="137"/>
        <v>0</v>
      </c>
      <c r="AW211" s="17">
        <f t="shared" si="124"/>
        <v>0</v>
      </c>
      <c r="AX211" s="28">
        <f t="shared" si="125"/>
        <v>0</v>
      </c>
      <c r="AY211" s="17">
        <f t="shared" si="126"/>
        <v>0</v>
      </c>
      <c r="AZ211" s="28">
        <f t="shared" si="127"/>
        <v>0</v>
      </c>
      <c r="BA211" s="27">
        <f t="shared" ref="BA211:BA281" si="139">+AH211+AJ211</f>
        <v>0</v>
      </c>
      <c r="BB211" s="27">
        <f t="shared" si="129"/>
        <v>0</v>
      </c>
      <c r="BC211" s="27">
        <f t="shared" si="131"/>
        <v>0</v>
      </c>
      <c r="BD211" s="27">
        <f t="shared" si="132"/>
        <v>0</v>
      </c>
      <c r="BE211" s="27">
        <f t="shared" si="133"/>
        <v>0</v>
      </c>
      <c r="BF211" s="29">
        <f t="shared" si="107"/>
        <v>0</v>
      </c>
      <c r="BH211" s="30">
        <f t="shared" si="128"/>
        <v>0</v>
      </c>
      <c r="BM211" s="2">
        <f t="shared" si="116"/>
        <v>0</v>
      </c>
      <c r="BP211" s="2">
        <f t="shared" si="117"/>
        <v>0</v>
      </c>
    </row>
    <row r="212" spans="1:68" ht="14.45" hidden="1" customHeight="1" x14ac:dyDescent="0.25">
      <c r="A212" s="33" t="s">
        <v>241</v>
      </c>
      <c r="B212" s="23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13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5"/>
      <c r="AD212" s="25">
        <f t="shared" si="118"/>
        <v>0</v>
      </c>
      <c r="AE212" s="26" t="s">
        <v>42</v>
      </c>
      <c r="AF212" s="27"/>
      <c r="AG212" s="17">
        <f t="shared" si="119"/>
        <v>0</v>
      </c>
      <c r="AH212" s="28">
        <f t="shared" si="120"/>
        <v>0</v>
      </c>
      <c r="AI212" s="17">
        <f t="shared" si="121"/>
        <v>0</v>
      </c>
      <c r="AJ212" s="28">
        <f t="shared" si="122"/>
        <v>0</v>
      </c>
      <c r="AK212" s="17">
        <f t="shared" si="130"/>
        <v>0</v>
      </c>
      <c r="AL212" s="28">
        <f t="shared" si="123"/>
        <v>0</v>
      </c>
      <c r="AM212" s="17">
        <f t="shared" si="138"/>
        <v>0</v>
      </c>
      <c r="AN212" s="28">
        <f t="shared" si="113"/>
        <v>0</v>
      </c>
      <c r="AO212" s="17">
        <f t="shared" si="110"/>
        <v>0</v>
      </c>
      <c r="AP212" s="28">
        <f t="shared" si="114"/>
        <v>0</v>
      </c>
      <c r="AQ212" s="17">
        <f t="shared" si="111"/>
        <v>0</v>
      </c>
      <c r="AR212" s="28">
        <f t="shared" si="115"/>
        <v>0</v>
      </c>
      <c r="AS212" s="17">
        <f t="shared" si="134"/>
        <v>0</v>
      </c>
      <c r="AT212" s="28">
        <f t="shared" si="135"/>
        <v>0</v>
      </c>
      <c r="AU212" s="17">
        <f t="shared" si="136"/>
        <v>0</v>
      </c>
      <c r="AV212" s="28">
        <f t="shared" si="137"/>
        <v>0</v>
      </c>
      <c r="AW212" s="17">
        <f t="shared" si="124"/>
        <v>0</v>
      </c>
      <c r="AX212" s="28">
        <f t="shared" si="125"/>
        <v>0</v>
      </c>
      <c r="AY212" s="17">
        <f t="shared" si="126"/>
        <v>0</v>
      </c>
      <c r="AZ212" s="28">
        <f t="shared" si="127"/>
        <v>0</v>
      </c>
      <c r="BA212" s="27">
        <f t="shared" si="139"/>
        <v>0</v>
      </c>
      <c r="BB212" s="27">
        <f t="shared" si="129"/>
        <v>0</v>
      </c>
      <c r="BC212" s="27">
        <f t="shared" si="131"/>
        <v>0</v>
      </c>
      <c r="BD212" s="27">
        <f t="shared" si="132"/>
        <v>0</v>
      </c>
      <c r="BE212" s="27">
        <f t="shared" si="133"/>
        <v>0</v>
      </c>
      <c r="BF212" s="29">
        <f t="shared" ref="BF212:BF282" si="140">+BB212+BA212*5%+BD212*30%</f>
        <v>0</v>
      </c>
      <c r="BH212" s="30">
        <f t="shared" si="128"/>
        <v>0</v>
      </c>
      <c r="BM212" s="2">
        <f t="shared" si="116"/>
        <v>0</v>
      </c>
      <c r="BP212" s="2">
        <f t="shared" si="117"/>
        <v>0</v>
      </c>
    </row>
    <row r="213" spans="1:68" ht="14.45" hidden="1" customHeight="1" x14ac:dyDescent="0.25">
      <c r="A213" s="33" t="s">
        <v>242</v>
      </c>
      <c r="B213" s="23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13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5"/>
      <c r="AD213" s="25">
        <f t="shared" si="118"/>
        <v>0</v>
      </c>
      <c r="AE213" s="26" t="s">
        <v>42</v>
      </c>
      <c r="AF213" s="27"/>
      <c r="AG213" s="17">
        <f t="shared" si="119"/>
        <v>0</v>
      </c>
      <c r="AH213" s="28">
        <f t="shared" si="120"/>
        <v>0</v>
      </c>
      <c r="AI213" s="17">
        <f t="shared" si="121"/>
        <v>0</v>
      </c>
      <c r="AJ213" s="28">
        <f t="shared" si="122"/>
        <v>0</v>
      </c>
      <c r="AK213" s="17">
        <f t="shared" si="130"/>
        <v>0</v>
      </c>
      <c r="AL213" s="28">
        <f t="shared" si="123"/>
        <v>0</v>
      </c>
      <c r="AM213" s="17">
        <f t="shared" si="138"/>
        <v>0</v>
      </c>
      <c r="AN213" s="28">
        <f t="shared" si="113"/>
        <v>0</v>
      </c>
      <c r="AO213" s="17">
        <f t="shared" si="110"/>
        <v>0</v>
      </c>
      <c r="AP213" s="28">
        <f t="shared" si="114"/>
        <v>0</v>
      </c>
      <c r="AQ213" s="17">
        <f t="shared" si="111"/>
        <v>0</v>
      </c>
      <c r="AR213" s="28">
        <f t="shared" si="115"/>
        <v>0</v>
      </c>
      <c r="AS213" s="17">
        <f t="shared" si="134"/>
        <v>0</v>
      </c>
      <c r="AT213" s="28">
        <f t="shared" si="135"/>
        <v>0</v>
      </c>
      <c r="AU213" s="17">
        <f t="shared" si="136"/>
        <v>0</v>
      </c>
      <c r="AV213" s="28">
        <f t="shared" si="137"/>
        <v>0</v>
      </c>
      <c r="AW213" s="17">
        <f t="shared" si="124"/>
        <v>0</v>
      </c>
      <c r="AX213" s="28">
        <f t="shared" si="125"/>
        <v>0</v>
      </c>
      <c r="AY213" s="17">
        <f t="shared" si="126"/>
        <v>0</v>
      </c>
      <c r="AZ213" s="28">
        <f t="shared" si="127"/>
        <v>0</v>
      </c>
      <c r="BA213" s="27">
        <f t="shared" si="139"/>
        <v>0</v>
      </c>
      <c r="BB213" s="27">
        <f t="shared" si="129"/>
        <v>0</v>
      </c>
      <c r="BC213" s="27">
        <f t="shared" si="131"/>
        <v>0</v>
      </c>
      <c r="BD213" s="27">
        <f t="shared" si="132"/>
        <v>0</v>
      </c>
      <c r="BE213" s="27">
        <f t="shared" si="133"/>
        <v>0</v>
      </c>
      <c r="BF213" s="29">
        <f t="shared" si="140"/>
        <v>0</v>
      </c>
      <c r="BH213" s="30">
        <f t="shared" si="128"/>
        <v>0</v>
      </c>
      <c r="BM213" s="2">
        <f t="shared" si="116"/>
        <v>0</v>
      </c>
      <c r="BP213" s="2">
        <f t="shared" si="117"/>
        <v>0</v>
      </c>
    </row>
    <row r="214" spans="1:68" ht="14.45" hidden="1" customHeight="1" x14ac:dyDescent="0.25">
      <c r="A214" s="33" t="s">
        <v>243</v>
      </c>
      <c r="B214" s="23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13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5"/>
      <c r="AD214" s="25">
        <f t="shared" si="118"/>
        <v>0</v>
      </c>
      <c r="AE214" s="26" t="s">
        <v>42</v>
      </c>
      <c r="AF214" s="27"/>
      <c r="AG214" s="17">
        <f t="shared" si="119"/>
        <v>0</v>
      </c>
      <c r="AH214" s="28">
        <f t="shared" si="120"/>
        <v>0</v>
      </c>
      <c r="AI214" s="17">
        <f t="shared" si="121"/>
        <v>0</v>
      </c>
      <c r="AJ214" s="28">
        <f t="shared" si="122"/>
        <v>0</v>
      </c>
      <c r="AK214" s="17">
        <f t="shared" si="130"/>
        <v>0</v>
      </c>
      <c r="AL214" s="28">
        <f t="shared" si="123"/>
        <v>0</v>
      </c>
      <c r="AM214" s="17">
        <f t="shared" si="138"/>
        <v>0</v>
      </c>
      <c r="AN214" s="28">
        <f t="shared" si="113"/>
        <v>0</v>
      </c>
      <c r="AO214" s="17">
        <f t="shared" si="110"/>
        <v>0</v>
      </c>
      <c r="AP214" s="28">
        <f t="shared" si="114"/>
        <v>0</v>
      </c>
      <c r="AQ214" s="17">
        <f t="shared" si="111"/>
        <v>0</v>
      </c>
      <c r="AR214" s="28">
        <f t="shared" si="115"/>
        <v>0</v>
      </c>
      <c r="AS214" s="17">
        <f t="shared" si="134"/>
        <v>0</v>
      </c>
      <c r="AT214" s="28">
        <f t="shared" si="135"/>
        <v>0</v>
      </c>
      <c r="AU214" s="17">
        <f t="shared" si="136"/>
        <v>0</v>
      </c>
      <c r="AV214" s="28">
        <f t="shared" si="137"/>
        <v>0</v>
      </c>
      <c r="AW214" s="17">
        <f t="shared" si="124"/>
        <v>0</v>
      </c>
      <c r="AX214" s="28">
        <f t="shared" si="125"/>
        <v>0</v>
      </c>
      <c r="AY214" s="17">
        <f t="shared" si="126"/>
        <v>0</v>
      </c>
      <c r="AZ214" s="28">
        <f t="shared" si="127"/>
        <v>0</v>
      </c>
      <c r="BA214" s="27">
        <f t="shared" si="139"/>
        <v>0</v>
      </c>
      <c r="BB214" s="27">
        <f t="shared" si="129"/>
        <v>0</v>
      </c>
      <c r="BC214" s="27">
        <f t="shared" si="131"/>
        <v>0</v>
      </c>
      <c r="BD214" s="27">
        <f t="shared" si="132"/>
        <v>0</v>
      </c>
      <c r="BE214" s="27">
        <f t="shared" si="133"/>
        <v>0</v>
      </c>
      <c r="BF214" s="29">
        <f t="shared" si="140"/>
        <v>0</v>
      </c>
      <c r="BH214" s="30">
        <f t="shared" si="128"/>
        <v>0</v>
      </c>
      <c r="BM214" s="2">
        <f t="shared" si="116"/>
        <v>0</v>
      </c>
      <c r="BP214" s="2">
        <f t="shared" si="117"/>
        <v>0</v>
      </c>
    </row>
    <row r="215" spans="1:68" ht="14.45" customHeight="1" x14ac:dyDescent="0.25">
      <c r="A215" s="33" t="s">
        <v>244</v>
      </c>
      <c r="B215" s="2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13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>
        <v>10</v>
      </c>
      <c r="AC215" s="25"/>
      <c r="AD215" s="25"/>
      <c r="AE215" s="26"/>
      <c r="AF215" s="27">
        <v>37713</v>
      </c>
      <c r="AG215" s="17">
        <f t="shared" si="119"/>
        <v>0</v>
      </c>
      <c r="AH215" s="28">
        <f t="shared" si="120"/>
        <v>0</v>
      </c>
      <c r="AI215" s="17">
        <f t="shared" si="121"/>
        <v>0</v>
      </c>
      <c r="AJ215" s="28">
        <f t="shared" si="122"/>
        <v>0</v>
      </c>
      <c r="AK215" s="17">
        <f t="shared" si="130"/>
        <v>0</v>
      </c>
      <c r="AL215" s="28">
        <f t="shared" si="123"/>
        <v>0</v>
      </c>
      <c r="AM215" s="17">
        <f t="shared" si="138"/>
        <v>10</v>
      </c>
      <c r="AN215" s="28">
        <f t="shared" si="113"/>
        <v>377130</v>
      </c>
      <c r="AO215" s="17">
        <f t="shared" si="110"/>
        <v>0</v>
      </c>
      <c r="AP215" s="28"/>
      <c r="AQ215" s="17">
        <f t="shared" si="111"/>
        <v>0</v>
      </c>
      <c r="AR215" s="28"/>
      <c r="AS215" s="17">
        <f t="shared" si="134"/>
        <v>0</v>
      </c>
      <c r="AT215" s="28">
        <f t="shared" si="135"/>
        <v>0</v>
      </c>
      <c r="AU215" s="17">
        <f t="shared" si="136"/>
        <v>0</v>
      </c>
      <c r="AV215" s="28">
        <f t="shared" si="137"/>
        <v>0</v>
      </c>
      <c r="AW215" s="17">
        <f t="shared" si="124"/>
        <v>0</v>
      </c>
      <c r="AX215" s="28">
        <f t="shared" si="125"/>
        <v>0</v>
      </c>
      <c r="AY215" s="17">
        <f t="shared" si="126"/>
        <v>0</v>
      </c>
      <c r="AZ215" s="28">
        <f t="shared" si="127"/>
        <v>0</v>
      </c>
      <c r="BA215" s="27">
        <f t="shared" si="139"/>
        <v>0</v>
      </c>
      <c r="BB215" s="27">
        <f t="shared" si="129"/>
        <v>377130</v>
      </c>
      <c r="BC215" s="27">
        <f t="shared" si="131"/>
        <v>0</v>
      </c>
      <c r="BD215" s="27">
        <f t="shared" si="132"/>
        <v>0</v>
      </c>
      <c r="BE215" s="27">
        <f t="shared" si="133"/>
        <v>0</v>
      </c>
      <c r="BF215" s="29">
        <f t="shared" si="140"/>
        <v>377130</v>
      </c>
      <c r="BH215" s="30">
        <f t="shared" si="128"/>
        <v>10</v>
      </c>
    </row>
    <row r="216" spans="1:68" x14ac:dyDescent="0.25">
      <c r="A216" s="33" t="s">
        <v>245</v>
      </c>
      <c r="B216" s="23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13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5"/>
      <c r="AD216" s="25">
        <f t="shared" ref="AD216:AD241" si="141">SUM(B216:S216)</f>
        <v>0</v>
      </c>
      <c r="AE216" s="26" t="s">
        <v>42</v>
      </c>
      <c r="AF216" s="27">
        <v>37713</v>
      </c>
      <c r="AG216" s="17">
        <f t="shared" si="119"/>
        <v>0</v>
      </c>
      <c r="AH216" s="28">
        <f t="shared" si="120"/>
        <v>0</v>
      </c>
      <c r="AI216" s="17">
        <f t="shared" si="121"/>
        <v>0</v>
      </c>
      <c r="AJ216" s="28">
        <f t="shared" si="122"/>
        <v>0</v>
      </c>
      <c r="AK216" s="17">
        <f t="shared" si="130"/>
        <v>0</v>
      </c>
      <c r="AL216" s="28">
        <f t="shared" si="123"/>
        <v>0</v>
      </c>
      <c r="AM216" s="17">
        <f t="shared" si="138"/>
        <v>0</v>
      </c>
      <c r="AN216" s="28">
        <f t="shared" si="113"/>
        <v>0</v>
      </c>
      <c r="AO216" s="17">
        <f t="shared" si="110"/>
        <v>0</v>
      </c>
      <c r="AP216" s="28">
        <f t="shared" ref="AP216:AP228" si="142">+AO216*AF216</f>
        <v>0</v>
      </c>
      <c r="AQ216" s="17">
        <f t="shared" si="111"/>
        <v>0</v>
      </c>
      <c r="AR216" s="28">
        <f t="shared" ref="AR216:AR228" si="143">+AQ216*AF216</f>
        <v>0</v>
      </c>
      <c r="AS216" s="17">
        <f t="shared" si="134"/>
        <v>0</v>
      </c>
      <c r="AT216" s="28">
        <f t="shared" si="135"/>
        <v>0</v>
      </c>
      <c r="AU216" s="17">
        <f t="shared" si="136"/>
        <v>0</v>
      </c>
      <c r="AV216" s="28">
        <f t="shared" si="137"/>
        <v>0</v>
      </c>
      <c r="AW216" s="17">
        <f t="shared" si="124"/>
        <v>0</v>
      </c>
      <c r="AX216" s="28">
        <f t="shared" si="125"/>
        <v>0</v>
      </c>
      <c r="AY216" s="17">
        <f t="shared" si="126"/>
        <v>0</v>
      </c>
      <c r="AZ216" s="28">
        <f t="shared" si="127"/>
        <v>0</v>
      </c>
      <c r="BA216" s="27">
        <f t="shared" si="139"/>
        <v>0</v>
      </c>
      <c r="BB216" s="27">
        <f t="shared" si="129"/>
        <v>0</v>
      </c>
      <c r="BC216" s="27">
        <f t="shared" si="131"/>
        <v>0</v>
      </c>
      <c r="BD216" s="27">
        <f t="shared" si="132"/>
        <v>0</v>
      </c>
      <c r="BE216" s="27">
        <f t="shared" si="133"/>
        <v>0</v>
      </c>
      <c r="BF216" s="29">
        <f t="shared" si="140"/>
        <v>0</v>
      </c>
      <c r="BH216" s="30">
        <f t="shared" si="128"/>
        <v>0</v>
      </c>
      <c r="BM216" s="2">
        <f t="shared" ref="BM216:BM228" si="144">SUM(B216:S216)</f>
        <v>0</v>
      </c>
      <c r="BP216" s="2">
        <f t="shared" ref="BP216:BP228" si="145">SUM(B216:S216)</f>
        <v>0</v>
      </c>
    </row>
    <row r="217" spans="1:68" ht="14.45" hidden="1" customHeight="1" x14ac:dyDescent="0.25">
      <c r="A217" s="33" t="s">
        <v>246</v>
      </c>
      <c r="B217" s="23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13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5"/>
      <c r="AD217" s="25">
        <f t="shared" si="141"/>
        <v>0</v>
      </c>
      <c r="AE217" s="26" t="s">
        <v>42</v>
      </c>
      <c r="AF217" s="27"/>
      <c r="AG217" s="17">
        <f t="shared" si="119"/>
        <v>0</v>
      </c>
      <c r="AH217" s="28">
        <f t="shared" si="120"/>
        <v>0</v>
      </c>
      <c r="AI217" s="17">
        <f t="shared" si="121"/>
        <v>0</v>
      </c>
      <c r="AJ217" s="28">
        <f t="shared" si="122"/>
        <v>0</v>
      </c>
      <c r="AK217" s="17">
        <f t="shared" si="130"/>
        <v>0</v>
      </c>
      <c r="AL217" s="28">
        <f t="shared" si="123"/>
        <v>0</v>
      </c>
      <c r="AM217" s="17">
        <f t="shared" si="138"/>
        <v>0</v>
      </c>
      <c r="AN217" s="28">
        <f t="shared" si="113"/>
        <v>0</v>
      </c>
      <c r="AO217" s="17">
        <f t="shared" si="110"/>
        <v>0</v>
      </c>
      <c r="AP217" s="28">
        <f t="shared" si="142"/>
        <v>0</v>
      </c>
      <c r="AQ217" s="17">
        <f t="shared" si="111"/>
        <v>0</v>
      </c>
      <c r="AR217" s="28">
        <f t="shared" si="143"/>
        <v>0</v>
      </c>
      <c r="AS217" s="17">
        <f t="shared" si="134"/>
        <v>0</v>
      </c>
      <c r="AT217" s="28">
        <f t="shared" si="135"/>
        <v>0</v>
      </c>
      <c r="AU217" s="17">
        <f t="shared" si="136"/>
        <v>0</v>
      </c>
      <c r="AV217" s="28">
        <f t="shared" si="137"/>
        <v>0</v>
      </c>
      <c r="AW217" s="17">
        <f t="shared" si="124"/>
        <v>0</v>
      </c>
      <c r="AX217" s="28">
        <f t="shared" si="125"/>
        <v>0</v>
      </c>
      <c r="AY217" s="17">
        <f t="shared" si="126"/>
        <v>0</v>
      </c>
      <c r="AZ217" s="28">
        <f t="shared" si="127"/>
        <v>0</v>
      </c>
      <c r="BA217" s="27">
        <f t="shared" si="139"/>
        <v>0</v>
      </c>
      <c r="BB217" s="27">
        <f t="shared" si="129"/>
        <v>0</v>
      </c>
      <c r="BC217" s="27">
        <f t="shared" si="131"/>
        <v>0</v>
      </c>
      <c r="BD217" s="27">
        <f t="shared" si="132"/>
        <v>0</v>
      </c>
      <c r="BE217" s="27">
        <f t="shared" si="133"/>
        <v>0</v>
      </c>
      <c r="BF217" s="29">
        <f t="shared" si="140"/>
        <v>0</v>
      </c>
      <c r="BH217" s="30">
        <f t="shared" si="128"/>
        <v>0</v>
      </c>
      <c r="BM217" s="2">
        <f t="shared" si="144"/>
        <v>0</v>
      </c>
      <c r="BP217" s="2">
        <f t="shared" si="145"/>
        <v>0</v>
      </c>
    </row>
    <row r="218" spans="1:68" ht="14.45" hidden="1" customHeight="1" x14ac:dyDescent="0.25">
      <c r="A218" s="33" t="s">
        <v>247</v>
      </c>
      <c r="B218" s="23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13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5"/>
      <c r="AD218" s="25">
        <f t="shared" si="141"/>
        <v>0</v>
      </c>
      <c r="AE218" s="26" t="s">
        <v>42</v>
      </c>
      <c r="AF218" s="27"/>
      <c r="AG218" s="17">
        <f t="shared" si="119"/>
        <v>0</v>
      </c>
      <c r="AH218" s="28">
        <f t="shared" si="120"/>
        <v>0</v>
      </c>
      <c r="AI218" s="17">
        <f t="shared" si="121"/>
        <v>0</v>
      </c>
      <c r="AJ218" s="28">
        <f t="shared" si="122"/>
        <v>0</v>
      </c>
      <c r="AK218" s="17">
        <f t="shared" si="130"/>
        <v>0</v>
      </c>
      <c r="AL218" s="28">
        <f t="shared" si="123"/>
        <v>0</v>
      </c>
      <c r="AM218" s="17">
        <f t="shared" si="138"/>
        <v>0</v>
      </c>
      <c r="AN218" s="28">
        <f t="shared" si="113"/>
        <v>0</v>
      </c>
      <c r="AO218" s="17">
        <f t="shared" si="110"/>
        <v>0</v>
      </c>
      <c r="AP218" s="28">
        <f t="shared" si="142"/>
        <v>0</v>
      </c>
      <c r="AQ218" s="17">
        <f t="shared" si="111"/>
        <v>0</v>
      </c>
      <c r="AR218" s="28">
        <f t="shared" si="143"/>
        <v>0</v>
      </c>
      <c r="AS218" s="17">
        <f t="shared" si="134"/>
        <v>0</v>
      </c>
      <c r="AT218" s="28">
        <f t="shared" si="135"/>
        <v>0</v>
      </c>
      <c r="AU218" s="17">
        <f t="shared" si="136"/>
        <v>0</v>
      </c>
      <c r="AV218" s="28">
        <f t="shared" si="137"/>
        <v>0</v>
      </c>
      <c r="AW218" s="17">
        <f t="shared" si="124"/>
        <v>0</v>
      </c>
      <c r="AX218" s="28">
        <f t="shared" si="125"/>
        <v>0</v>
      </c>
      <c r="AY218" s="17">
        <f t="shared" si="126"/>
        <v>0</v>
      </c>
      <c r="AZ218" s="28">
        <f t="shared" si="127"/>
        <v>0</v>
      </c>
      <c r="BA218" s="27">
        <f t="shared" si="139"/>
        <v>0</v>
      </c>
      <c r="BB218" s="27">
        <f t="shared" si="129"/>
        <v>0</v>
      </c>
      <c r="BC218" s="27">
        <f t="shared" si="131"/>
        <v>0</v>
      </c>
      <c r="BD218" s="27">
        <f t="shared" si="132"/>
        <v>0</v>
      </c>
      <c r="BE218" s="27">
        <f t="shared" si="133"/>
        <v>0</v>
      </c>
      <c r="BF218" s="29">
        <f t="shared" si="140"/>
        <v>0</v>
      </c>
      <c r="BH218" s="30">
        <f t="shared" si="128"/>
        <v>0</v>
      </c>
      <c r="BM218" s="2">
        <f t="shared" si="144"/>
        <v>0</v>
      </c>
      <c r="BP218" s="2">
        <f t="shared" si="145"/>
        <v>0</v>
      </c>
    </row>
    <row r="219" spans="1:68" ht="14.45" hidden="1" customHeight="1" x14ac:dyDescent="0.25">
      <c r="A219" s="33" t="s">
        <v>248</v>
      </c>
      <c r="B219" s="2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13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5"/>
      <c r="AD219" s="25">
        <f t="shared" si="141"/>
        <v>0</v>
      </c>
      <c r="AE219" s="26" t="s">
        <v>42</v>
      </c>
      <c r="AF219" s="27"/>
      <c r="AG219" s="17">
        <f t="shared" si="119"/>
        <v>0</v>
      </c>
      <c r="AH219" s="28">
        <f t="shared" si="120"/>
        <v>0</v>
      </c>
      <c r="AI219" s="17">
        <f t="shared" si="121"/>
        <v>0</v>
      </c>
      <c r="AJ219" s="28">
        <f t="shared" si="122"/>
        <v>0</v>
      </c>
      <c r="AK219" s="17">
        <f t="shared" si="130"/>
        <v>0</v>
      </c>
      <c r="AL219" s="28">
        <f t="shared" si="123"/>
        <v>0</v>
      </c>
      <c r="AM219" s="17">
        <f t="shared" si="138"/>
        <v>0</v>
      </c>
      <c r="AN219" s="28">
        <f t="shared" si="113"/>
        <v>0</v>
      </c>
      <c r="AO219" s="17">
        <f t="shared" si="110"/>
        <v>0</v>
      </c>
      <c r="AP219" s="28">
        <f t="shared" si="142"/>
        <v>0</v>
      </c>
      <c r="AQ219" s="17">
        <f t="shared" si="111"/>
        <v>0</v>
      </c>
      <c r="AR219" s="28">
        <f t="shared" si="143"/>
        <v>0</v>
      </c>
      <c r="AS219" s="17">
        <f t="shared" si="134"/>
        <v>0</v>
      </c>
      <c r="AT219" s="28">
        <f t="shared" si="135"/>
        <v>0</v>
      </c>
      <c r="AU219" s="17">
        <f t="shared" si="136"/>
        <v>0</v>
      </c>
      <c r="AV219" s="28">
        <f t="shared" si="137"/>
        <v>0</v>
      </c>
      <c r="AW219" s="17">
        <f t="shared" si="124"/>
        <v>0</v>
      </c>
      <c r="AX219" s="28">
        <f t="shared" si="125"/>
        <v>0</v>
      </c>
      <c r="AY219" s="17">
        <f t="shared" si="126"/>
        <v>0</v>
      </c>
      <c r="AZ219" s="28">
        <f t="shared" si="127"/>
        <v>0</v>
      </c>
      <c r="BA219" s="27">
        <f t="shared" si="139"/>
        <v>0</v>
      </c>
      <c r="BB219" s="27">
        <f t="shared" si="129"/>
        <v>0</v>
      </c>
      <c r="BC219" s="27">
        <f t="shared" si="131"/>
        <v>0</v>
      </c>
      <c r="BD219" s="27">
        <f t="shared" si="132"/>
        <v>0</v>
      </c>
      <c r="BE219" s="27">
        <f t="shared" si="133"/>
        <v>0</v>
      </c>
      <c r="BF219" s="29">
        <f t="shared" si="140"/>
        <v>0</v>
      </c>
      <c r="BH219" s="30">
        <f t="shared" si="128"/>
        <v>0</v>
      </c>
      <c r="BM219" s="2">
        <f t="shared" si="144"/>
        <v>0</v>
      </c>
      <c r="BP219" s="2">
        <f t="shared" si="145"/>
        <v>0</v>
      </c>
    </row>
    <row r="220" spans="1:68" ht="14.45" hidden="1" customHeight="1" x14ac:dyDescent="0.25">
      <c r="A220" s="33" t="s">
        <v>249</v>
      </c>
      <c r="B220" s="23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13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5"/>
      <c r="AD220" s="25">
        <f t="shared" si="141"/>
        <v>0</v>
      </c>
      <c r="AE220" s="26" t="s">
        <v>42</v>
      </c>
      <c r="AF220" s="27"/>
      <c r="AG220" s="17">
        <f t="shared" si="119"/>
        <v>0</v>
      </c>
      <c r="AH220" s="28">
        <f t="shared" si="120"/>
        <v>0</v>
      </c>
      <c r="AI220" s="17">
        <f t="shared" si="121"/>
        <v>0</v>
      </c>
      <c r="AJ220" s="28">
        <f t="shared" si="122"/>
        <v>0</v>
      </c>
      <c r="AK220" s="17">
        <f t="shared" si="130"/>
        <v>0</v>
      </c>
      <c r="AL220" s="28">
        <f t="shared" si="123"/>
        <v>0</v>
      </c>
      <c r="AM220" s="17">
        <f t="shared" si="138"/>
        <v>0</v>
      </c>
      <c r="AN220" s="28">
        <f t="shared" si="113"/>
        <v>0</v>
      </c>
      <c r="AO220" s="17">
        <f t="shared" si="110"/>
        <v>0</v>
      </c>
      <c r="AP220" s="28">
        <f t="shared" si="142"/>
        <v>0</v>
      </c>
      <c r="AQ220" s="17">
        <f t="shared" si="111"/>
        <v>0</v>
      </c>
      <c r="AR220" s="28">
        <f t="shared" si="143"/>
        <v>0</v>
      </c>
      <c r="AS220" s="17">
        <f t="shared" si="134"/>
        <v>0</v>
      </c>
      <c r="AT220" s="28">
        <f t="shared" si="135"/>
        <v>0</v>
      </c>
      <c r="AU220" s="17">
        <f t="shared" si="136"/>
        <v>0</v>
      </c>
      <c r="AV220" s="28">
        <f t="shared" si="137"/>
        <v>0</v>
      </c>
      <c r="AW220" s="17">
        <f t="shared" si="124"/>
        <v>0</v>
      </c>
      <c r="AX220" s="28">
        <f t="shared" si="125"/>
        <v>0</v>
      </c>
      <c r="AY220" s="17">
        <f t="shared" si="126"/>
        <v>0</v>
      </c>
      <c r="AZ220" s="28">
        <f t="shared" si="127"/>
        <v>0</v>
      </c>
      <c r="BA220" s="27">
        <f t="shared" si="139"/>
        <v>0</v>
      </c>
      <c r="BB220" s="27">
        <f t="shared" si="129"/>
        <v>0</v>
      </c>
      <c r="BC220" s="27">
        <f t="shared" si="131"/>
        <v>0</v>
      </c>
      <c r="BD220" s="27">
        <f t="shared" si="132"/>
        <v>0</v>
      </c>
      <c r="BE220" s="27">
        <f t="shared" si="133"/>
        <v>0</v>
      </c>
      <c r="BF220" s="29">
        <f t="shared" si="140"/>
        <v>0</v>
      </c>
      <c r="BH220" s="30">
        <f t="shared" si="128"/>
        <v>0</v>
      </c>
      <c r="BM220" s="2">
        <f t="shared" si="144"/>
        <v>0</v>
      </c>
      <c r="BP220" s="2">
        <f t="shared" si="145"/>
        <v>0</v>
      </c>
    </row>
    <row r="221" spans="1:68" ht="14.45" hidden="1" customHeight="1" x14ac:dyDescent="0.25">
      <c r="A221" s="33" t="s">
        <v>250</v>
      </c>
      <c r="B221" s="23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13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5"/>
      <c r="AD221" s="25">
        <f t="shared" si="141"/>
        <v>0</v>
      </c>
      <c r="AE221" s="26" t="s">
        <v>42</v>
      </c>
      <c r="AF221" s="27"/>
      <c r="AG221" s="17">
        <f t="shared" si="119"/>
        <v>0</v>
      </c>
      <c r="AH221" s="28">
        <f t="shared" si="120"/>
        <v>0</v>
      </c>
      <c r="AI221" s="17">
        <f t="shared" si="121"/>
        <v>0</v>
      </c>
      <c r="AJ221" s="28">
        <f t="shared" si="122"/>
        <v>0</v>
      </c>
      <c r="AK221" s="17">
        <f t="shared" si="130"/>
        <v>0</v>
      </c>
      <c r="AL221" s="28">
        <f t="shared" si="123"/>
        <v>0</v>
      </c>
      <c r="AM221" s="17">
        <f t="shared" si="138"/>
        <v>0</v>
      </c>
      <c r="AN221" s="28">
        <f t="shared" si="113"/>
        <v>0</v>
      </c>
      <c r="AO221" s="17">
        <f t="shared" si="110"/>
        <v>0</v>
      </c>
      <c r="AP221" s="28">
        <f t="shared" si="142"/>
        <v>0</v>
      </c>
      <c r="AQ221" s="17">
        <f t="shared" si="111"/>
        <v>0</v>
      </c>
      <c r="AR221" s="28">
        <f t="shared" si="143"/>
        <v>0</v>
      </c>
      <c r="AS221" s="17">
        <f t="shared" si="134"/>
        <v>0</v>
      </c>
      <c r="AT221" s="28">
        <f t="shared" si="135"/>
        <v>0</v>
      </c>
      <c r="AU221" s="17">
        <f t="shared" si="136"/>
        <v>0</v>
      </c>
      <c r="AV221" s="28">
        <f t="shared" si="137"/>
        <v>0</v>
      </c>
      <c r="AW221" s="17">
        <f t="shared" si="124"/>
        <v>0</v>
      </c>
      <c r="AX221" s="28">
        <f t="shared" si="125"/>
        <v>0</v>
      </c>
      <c r="AY221" s="17">
        <f t="shared" si="126"/>
        <v>0</v>
      </c>
      <c r="AZ221" s="28">
        <f t="shared" si="127"/>
        <v>0</v>
      </c>
      <c r="BA221" s="27">
        <f t="shared" si="139"/>
        <v>0</v>
      </c>
      <c r="BB221" s="27">
        <f t="shared" si="129"/>
        <v>0</v>
      </c>
      <c r="BC221" s="27">
        <f t="shared" si="131"/>
        <v>0</v>
      </c>
      <c r="BD221" s="27">
        <f t="shared" si="132"/>
        <v>0</v>
      </c>
      <c r="BE221" s="27">
        <f t="shared" si="133"/>
        <v>0</v>
      </c>
      <c r="BF221" s="29">
        <f t="shared" si="140"/>
        <v>0</v>
      </c>
      <c r="BH221" s="30">
        <f t="shared" si="128"/>
        <v>0</v>
      </c>
      <c r="BM221" s="2">
        <f t="shared" si="144"/>
        <v>0</v>
      </c>
      <c r="BP221" s="2">
        <f t="shared" si="145"/>
        <v>0</v>
      </c>
    </row>
    <row r="222" spans="1:68" ht="14.45" hidden="1" customHeight="1" x14ac:dyDescent="0.25">
      <c r="A222" s="33" t="s">
        <v>251</v>
      </c>
      <c r="B222" s="23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13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5"/>
      <c r="AD222" s="25">
        <f t="shared" si="141"/>
        <v>0</v>
      </c>
      <c r="AE222" s="26" t="s">
        <v>42</v>
      </c>
      <c r="AF222" s="27"/>
      <c r="AG222" s="17">
        <f t="shared" si="119"/>
        <v>0</v>
      </c>
      <c r="AH222" s="28">
        <f t="shared" si="120"/>
        <v>0</v>
      </c>
      <c r="AI222" s="17">
        <f t="shared" si="121"/>
        <v>0</v>
      </c>
      <c r="AJ222" s="28">
        <f t="shared" si="122"/>
        <v>0</v>
      </c>
      <c r="AK222" s="17">
        <f t="shared" si="130"/>
        <v>0</v>
      </c>
      <c r="AL222" s="28">
        <f t="shared" si="123"/>
        <v>0</v>
      </c>
      <c r="AM222" s="17">
        <f t="shared" si="138"/>
        <v>0</v>
      </c>
      <c r="AN222" s="28">
        <f t="shared" si="113"/>
        <v>0</v>
      </c>
      <c r="AO222" s="17">
        <f t="shared" si="110"/>
        <v>0</v>
      </c>
      <c r="AP222" s="28">
        <f t="shared" si="142"/>
        <v>0</v>
      </c>
      <c r="AQ222" s="17">
        <f t="shared" si="111"/>
        <v>0</v>
      </c>
      <c r="AR222" s="28">
        <f t="shared" si="143"/>
        <v>0</v>
      </c>
      <c r="AS222" s="17">
        <f t="shared" si="134"/>
        <v>0</v>
      </c>
      <c r="AT222" s="28">
        <f t="shared" si="135"/>
        <v>0</v>
      </c>
      <c r="AU222" s="17">
        <f t="shared" si="136"/>
        <v>0</v>
      </c>
      <c r="AV222" s="28">
        <f t="shared" si="137"/>
        <v>0</v>
      </c>
      <c r="AW222" s="17">
        <f t="shared" si="124"/>
        <v>0</v>
      </c>
      <c r="AX222" s="28">
        <f t="shared" si="125"/>
        <v>0</v>
      </c>
      <c r="AY222" s="17">
        <f t="shared" si="126"/>
        <v>0</v>
      </c>
      <c r="AZ222" s="28">
        <f t="shared" si="127"/>
        <v>0</v>
      </c>
      <c r="BA222" s="27">
        <f t="shared" si="139"/>
        <v>0</v>
      </c>
      <c r="BB222" s="27">
        <f t="shared" si="129"/>
        <v>0</v>
      </c>
      <c r="BC222" s="27">
        <f t="shared" si="131"/>
        <v>0</v>
      </c>
      <c r="BD222" s="27">
        <f t="shared" si="132"/>
        <v>0</v>
      </c>
      <c r="BE222" s="27">
        <f t="shared" si="133"/>
        <v>0</v>
      </c>
      <c r="BF222" s="29">
        <f t="shared" si="140"/>
        <v>0</v>
      </c>
      <c r="BH222" s="30">
        <f t="shared" si="128"/>
        <v>0</v>
      </c>
      <c r="BM222" s="2">
        <f t="shared" si="144"/>
        <v>0</v>
      </c>
      <c r="BP222" s="2">
        <f t="shared" si="145"/>
        <v>0</v>
      </c>
    </row>
    <row r="223" spans="1:68" ht="14.45" hidden="1" customHeight="1" x14ac:dyDescent="0.25">
      <c r="A223" s="33" t="s">
        <v>252</v>
      </c>
      <c r="B223" s="23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13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5"/>
      <c r="AD223" s="25">
        <f t="shared" si="141"/>
        <v>0</v>
      </c>
      <c r="AE223" s="26" t="s">
        <v>42</v>
      </c>
      <c r="AF223" s="27"/>
      <c r="AG223" s="17">
        <f t="shared" si="119"/>
        <v>0</v>
      </c>
      <c r="AH223" s="28">
        <f t="shared" si="120"/>
        <v>0</v>
      </c>
      <c r="AI223" s="17">
        <f t="shared" si="121"/>
        <v>0</v>
      </c>
      <c r="AJ223" s="28">
        <f t="shared" si="122"/>
        <v>0</v>
      </c>
      <c r="AK223" s="17">
        <f t="shared" si="130"/>
        <v>0</v>
      </c>
      <c r="AL223" s="28">
        <f t="shared" si="123"/>
        <v>0</v>
      </c>
      <c r="AM223" s="17">
        <f t="shared" si="138"/>
        <v>0</v>
      </c>
      <c r="AN223" s="28">
        <f t="shared" si="113"/>
        <v>0</v>
      </c>
      <c r="AO223" s="17">
        <f t="shared" si="110"/>
        <v>0</v>
      </c>
      <c r="AP223" s="28">
        <f t="shared" si="142"/>
        <v>0</v>
      </c>
      <c r="AQ223" s="17">
        <f t="shared" si="111"/>
        <v>0</v>
      </c>
      <c r="AR223" s="28">
        <f t="shared" si="143"/>
        <v>0</v>
      </c>
      <c r="AS223" s="17">
        <f t="shared" si="134"/>
        <v>0</v>
      </c>
      <c r="AT223" s="28">
        <f t="shared" si="135"/>
        <v>0</v>
      </c>
      <c r="AU223" s="17">
        <f t="shared" si="136"/>
        <v>0</v>
      </c>
      <c r="AV223" s="28">
        <f t="shared" si="137"/>
        <v>0</v>
      </c>
      <c r="AW223" s="17">
        <f t="shared" si="124"/>
        <v>0</v>
      </c>
      <c r="AX223" s="28">
        <f t="shared" si="125"/>
        <v>0</v>
      </c>
      <c r="AY223" s="17">
        <f t="shared" si="126"/>
        <v>0</v>
      </c>
      <c r="AZ223" s="28">
        <f t="shared" si="127"/>
        <v>0</v>
      </c>
      <c r="BA223" s="27">
        <f t="shared" si="139"/>
        <v>0</v>
      </c>
      <c r="BB223" s="27">
        <f t="shared" si="129"/>
        <v>0</v>
      </c>
      <c r="BC223" s="27">
        <f t="shared" si="131"/>
        <v>0</v>
      </c>
      <c r="BD223" s="27">
        <f t="shared" si="132"/>
        <v>0</v>
      </c>
      <c r="BE223" s="27">
        <f t="shared" si="133"/>
        <v>0</v>
      </c>
      <c r="BF223" s="29">
        <f t="shared" si="140"/>
        <v>0</v>
      </c>
      <c r="BH223" s="30">
        <f t="shared" si="128"/>
        <v>0</v>
      </c>
      <c r="BM223" s="2">
        <f t="shared" si="144"/>
        <v>0</v>
      </c>
      <c r="BP223" s="2">
        <f t="shared" si="145"/>
        <v>0</v>
      </c>
    </row>
    <row r="224" spans="1:68" ht="14.45" hidden="1" customHeight="1" x14ac:dyDescent="0.25">
      <c r="A224" s="33" t="s">
        <v>253</v>
      </c>
      <c r="B224" s="23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13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5"/>
      <c r="AD224" s="25">
        <f t="shared" si="141"/>
        <v>0</v>
      </c>
      <c r="AE224" s="26" t="s">
        <v>42</v>
      </c>
      <c r="AF224" s="27"/>
      <c r="AG224" s="17">
        <f t="shared" si="119"/>
        <v>0</v>
      </c>
      <c r="AH224" s="28">
        <f t="shared" si="120"/>
        <v>0</v>
      </c>
      <c r="AI224" s="17">
        <f t="shared" si="121"/>
        <v>0</v>
      </c>
      <c r="AJ224" s="28">
        <f t="shared" si="122"/>
        <v>0</v>
      </c>
      <c r="AK224" s="17">
        <f t="shared" si="130"/>
        <v>0</v>
      </c>
      <c r="AL224" s="28">
        <f t="shared" si="123"/>
        <v>0</v>
      </c>
      <c r="AM224" s="17">
        <f t="shared" si="138"/>
        <v>0</v>
      </c>
      <c r="AN224" s="28">
        <f t="shared" si="113"/>
        <v>0</v>
      </c>
      <c r="AO224" s="17">
        <f t="shared" si="110"/>
        <v>0</v>
      </c>
      <c r="AP224" s="28">
        <f t="shared" si="142"/>
        <v>0</v>
      </c>
      <c r="AQ224" s="17">
        <f t="shared" si="111"/>
        <v>0</v>
      </c>
      <c r="AR224" s="28">
        <f t="shared" si="143"/>
        <v>0</v>
      </c>
      <c r="AS224" s="17">
        <f t="shared" si="134"/>
        <v>0</v>
      </c>
      <c r="AT224" s="28">
        <f t="shared" si="135"/>
        <v>0</v>
      </c>
      <c r="AU224" s="17">
        <f t="shared" si="136"/>
        <v>0</v>
      </c>
      <c r="AV224" s="28">
        <f t="shared" si="137"/>
        <v>0</v>
      </c>
      <c r="AW224" s="17">
        <f t="shared" si="124"/>
        <v>0</v>
      </c>
      <c r="AX224" s="28">
        <f t="shared" si="125"/>
        <v>0</v>
      </c>
      <c r="AY224" s="17">
        <f t="shared" si="126"/>
        <v>0</v>
      </c>
      <c r="AZ224" s="28">
        <f t="shared" si="127"/>
        <v>0</v>
      </c>
      <c r="BA224" s="27">
        <f t="shared" si="139"/>
        <v>0</v>
      </c>
      <c r="BB224" s="27">
        <f t="shared" si="129"/>
        <v>0</v>
      </c>
      <c r="BC224" s="27">
        <f t="shared" si="131"/>
        <v>0</v>
      </c>
      <c r="BD224" s="27">
        <f t="shared" si="132"/>
        <v>0</v>
      </c>
      <c r="BE224" s="27">
        <f t="shared" si="133"/>
        <v>0</v>
      </c>
      <c r="BF224" s="29">
        <f t="shared" si="140"/>
        <v>0</v>
      </c>
      <c r="BH224" s="30">
        <f t="shared" si="128"/>
        <v>0</v>
      </c>
      <c r="BM224" s="2">
        <f t="shared" si="144"/>
        <v>0</v>
      </c>
      <c r="BP224" s="2">
        <f t="shared" si="145"/>
        <v>0</v>
      </c>
    </row>
    <row r="225" spans="1:68" ht="14.45" hidden="1" customHeight="1" x14ac:dyDescent="0.25">
      <c r="A225" s="33" t="s">
        <v>254</v>
      </c>
      <c r="B225" s="23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13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5"/>
      <c r="AD225" s="25">
        <f t="shared" si="141"/>
        <v>0</v>
      </c>
      <c r="AE225" s="26" t="s">
        <v>42</v>
      </c>
      <c r="AF225" s="27"/>
      <c r="AG225" s="17">
        <f t="shared" si="119"/>
        <v>0</v>
      </c>
      <c r="AH225" s="28">
        <f t="shared" si="120"/>
        <v>0</v>
      </c>
      <c r="AI225" s="17">
        <f t="shared" si="121"/>
        <v>0</v>
      </c>
      <c r="AJ225" s="28">
        <f t="shared" si="122"/>
        <v>0</v>
      </c>
      <c r="AK225" s="17">
        <f t="shared" si="130"/>
        <v>0</v>
      </c>
      <c r="AL225" s="28">
        <f t="shared" si="123"/>
        <v>0</v>
      </c>
      <c r="AM225" s="17">
        <f t="shared" si="138"/>
        <v>0</v>
      </c>
      <c r="AN225" s="28">
        <f t="shared" si="113"/>
        <v>0</v>
      </c>
      <c r="AO225" s="17">
        <f t="shared" si="110"/>
        <v>0</v>
      </c>
      <c r="AP225" s="28">
        <f t="shared" si="142"/>
        <v>0</v>
      </c>
      <c r="AQ225" s="17">
        <f t="shared" si="111"/>
        <v>0</v>
      </c>
      <c r="AR225" s="28">
        <f t="shared" si="143"/>
        <v>0</v>
      </c>
      <c r="AS225" s="17">
        <f t="shared" si="134"/>
        <v>0</v>
      </c>
      <c r="AT225" s="28">
        <f t="shared" si="135"/>
        <v>0</v>
      </c>
      <c r="AU225" s="17">
        <f t="shared" si="136"/>
        <v>0</v>
      </c>
      <c r="AV225" s="28">
        <f t="shared" si="137"/>
        <v>0</v>
      </c>
      <c r="AW225" s="17">
        <f t="shared" si="124"/>
        <v>0</v>
      </c>
      <c r="AX225" s="28">
        <f t="shared" si="125"/>
        <v>0</v>
      </c>
      <c r="AY225" s="17">
        <f t="shared" si="126"/>
        <v>0</v>
      </c>
      <c r="AZ225" s="28">
        <f t="shared" si="127"/>
        <v>0</v>
      </c>
      <c r="BA225" s="27">
        <f t="shared" si="139"/>
        <v>0</v>
      </c>
      <c r="BB225" s="27">
        <f t="shared" si="129"/>
        <v>0</v>
      </c>
      <c r="BC225" s="27">
        <f t="shared" si="131"/>
        <v>0</v>
      </c>
      <c r="BD225" s="27">
        <f t="shared" si="132"/>
        <v>0</v>
      </c>
      <c r="BE225" s="27">
        <f t="shared" si="133"/>
        <v>0</v>
      </c>
      <c r="BF225" s="29">
        <f t="shared" si="140"/>
        <v>0</v>
      </c>
      <c r="BH225" s="30">
        <f t="shared" si="128"/>
        <v>0</v>
      </c>
      <c r="BM225" s="2">
        <f t="shared" si="144"/>
        <v>0</v>
      </c>
      <c r="BP225" s="2">
        <f t="shared" si="145"/>
        <v>0</v>
      </c>
    </row>
    <row r="226" spans="1:68" ht="14.45" hidden="1" customHeight="1" x14ac:dyDescent="0.25">
      <c r="A226" s="33" t="s">
        <v>255</v>
      </c>
      <c r="B226" s="23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13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5"/>
      <c r="AD226" s="25">
        <f t="shared" si="141"/>
        <v>0</v>
      </c>
      <c r="AE226" s="26" t="s">
        <v>42</v>
      </c>
      <c r="AF226" s="27"/>
      <c r="AG226" s="17">
        <f t="shared" si="119"/>
        <v>0</v>
      </c>
      <c r="AH226" s="28">
        <f t="shared" si="120"/>
        <v>0</v>
      </c>
      <c r="AI226" s="17">
        <f t="shared" si="121"/>
        <v>0</v>
      </c>
      <c r="AJ226" s="28">
        <f t="shared" si="122"/>
        <v>0</v>
      </c>
      <c r="AK226" s="17">
        <f t="shared" si="130"/>
        <v>0</v>
      </c>
      <c r="AL226" s="28">
        <f t="shared" si="123"/>
        <v>0</v>
      </c>
      <c r="AM226" s="17">
        <f t="shared" si="138"/>
        <v>0</v>
      </c>
      <c r="AN226" s="28">
        <f t="shared" si="113"/>
        <v>0</v>
      </c>
      <c r="AO226" s="17">
        <f t="shared" si="110"/>
        <v>0</v>
      </c>
      <c r="AP226" s="28">
        <f t="shared" si="142"/>
        <v>0</v>
      </c>
      <c r="AQ226" s="17">
        <f t="shared" si="111"/>
        <v>0</v>
      </c>
      <c r="AR226" s="28">
        <f t="shared" si="143"/>
        <v>0</v>
      </c>
      <c r="AS226" s="17">
        <f t="shared" si="134"/>
        <v>0</v>
      </c>
      <c r="AT226" s="28">
        <f t="shared" si="135"/>
        <v>0</v>
      </c>
      <c r="AU226" s="17">
        <f t="shared" si="136"/>
        <v>0</v>
      </c>
      <c r="AV226" s="28">
        <f t="shared" si="137"/>
        <v>0</v>
      </c>
      <c r="AW226" s="17">
        <f t="shared" si="124"/>
        <v>0</v>
      </c>
      <c r="AX226" s="28">
        <f t="shared" si="125"/>
        <v>0</v>
      </c>
      <c r="AY226" s="17">
        <f t="shared" si="126"/>
        <v>0</v>
      </c>
      <c r="AZ226" s="28">
        <f t="shared" si="127"/>
        <v>0</v>
      </c>
      <c r="BA226" s="27">
        <f t="shared" si="139"/>
        <v>0</v>
      </c>
      <c r="BB226" s="27">
        <f t="shared" si="129"/>
        <v>0</v>
      </c>
      <c r="BC226" s="27">
        <f t="shared" si="131"/>
        <v>0</v>
      </c>
      <c r="BD226" s="27">
        <f t="shared" si="132"/>
        <v>0</v>
      </c>
      <c r="BE226" s="27">
        <f t="shared" si="133"/>
        <v>0</v>
      </c>
      <c r="BF226" s="29">
        <f t="shared" si="140"/>
        <v>0</v>
      </c>
      <c r="BH226" s="30">
        <f t="shared" si="128"/>
        <v>0</v>
      </c>
      <c r="BM226" s="2">
        <f t="shared" si="144"/>
        <v>0</v>
      </c>
      <c r="BP226" s="2">
        <f t="shared" si="145"/>
        <v>0</v>
      </c>
    </row>
    <row r="227" spans="1:68" x14ac:dyDescent="0.25">
      <c r="A227" s="33" t="s">
        <v>256</v>
      </c>
      <c r="B227" s="23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13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5"/>
      <c r="AD227" s="25">
        <f t="shared" si="141"/>
        <v>0</v>
      </c>
      <c r="AE227" s="26" t="s">
        <v>42</v>
      </c>
      <c r="AF227" s="34">
        <v>4068</v>
      </c>
      <c r="AG227" s="17">
        <f t="shared" si="119"/>
        <v>0</v>
      </c>
      <c r="AH227" s="28">
        <f t="shared" si="120"/>
        <v>0</v>
      </c>
      <c r="AI227" s="17">
        <f t="shared" si="121"/>
        <v>0</v>
      </c>
      <c r="AJ227" s="28">
        <f t="shared" si="122"/>
        <v>0</v>
      </c>
      <c r="AK227" s="17">
        <f t="shared" si="130"/>
        <v>0</v>
      </c>
      <c r="AL227" s="28">
        <f t="shared" si="123"/>
        <v>0</v>
      </c>
      <c r="AM227" s="17">
        <f t="shared" si="138"/>
        <v>0</v>
      </c>
      <c r="AN227" s="28">
        <f t="shared" si="113"/>
        <v>0</v>
      </c>
      <c r="AO227" s="17">
        <f t="shared" si="110"/>
        <v>0</v>
      </c>
      <c r="AP227" s="28">
        <f t="shared" si="142"/>
        <v>0</v>
      </c>
      <c r="AQ227" s="17">
        <f t="shared" si="111"/>
        <v>0</v>
      </c>
      <c r="AR227" s="28">
        <f t="shared" si="143"/>
        <v>0</v>
      </c>
      <c r="AS227" s="17">
        <f t="shared" si="134"/>
        <v>0</v>
      </c>
      <c r="AT227" s="28">
        <f t="shared" si="135"/>
        <v>0</v>
      </c>
      <c r="AU227" s="17">
        <f t="shared" si="136"/>
        <v>0</v>
      </c>
      <c r="AV227" s="28">
        <f t="shared" si="137"/>
        <v>0</v>
      </c>
      <c r="AW227" s="17">
        <f t="shared" si="124"/>
        <v>0</v>
      </c>
      <c r="AX227" s="28">
        <f t="shared" si="125"/>
        <v>0</v>
      </c>
      <c r="AY227" s="17">
        <f t="shared" si="126"/>
        <v>0</v>
      </c>
      <c r="AZ227" s="28">
        <f t="shared" si="127"/>
        <v>0</v>
      </c>
      <c r="BA227" s="27">
        <f t="shared" si="139"/>
        <v>0</v>
      </c>
      <c r="BB227" s="27">
        <f t="shared" si="129"/>
        <v>0</v>
      </c>
      <c r="BC227" s="27">
        <f t="shared" si="131"/>
        <v>0</v>
      </c>
      <c r="BD227" s="27">
        <f t="shared" si="132"/>
        <v>0</v>
      </c>
      <c r="BE227" s="27">
        <f t="shared" si="133"/>
        <v>0</v>
      </c>
      <c r="BF227" s="29">
        <f t="shared" si="140"/>
        <v>0</v>
      </c>
      <c r="BH227" s="30">
        <f t="shared" si="128"/>
        <v>0</v>
      </c>
      <c r="BM227" s="2">
        <f t="shared" si="144"/>
        <v>0</v>
      </c>
      <c r="BP227" s="2">
        <f t="shared" si="145"/>
        <v>0</v>
      </c>
    </row>
    <row r="228" spans="1:68" ht="14.45" hidden="1" customHeight="1" x14ac:dyDescent="0.25">
      <c r="A228" s="33" t="s">
        <v>257</v>
      </c>
      <c r="B228" s="23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13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5"/>
      <c r="AD228" s="25">
        <f t="shared" si="141"/>
        <v>0</v>
      </c>
      <c r="AE228" s="26" t="s">
        <v>42</v>
      </c>
      <c r="AF228" s="34"/>
      <c r="AG228" s="17">
        <f t="shared" si="119"/>
        <v>0</v>
      </c>
      <c r="AH228" s="28">
        <f t="shared" si="120"/>
        <v>0</v>
      </c>
      <c r="AI228" s="17">
        <f t="shared" si="121"/>
        <v>0</v>
      </c>
      <c r="AJ228" s="28">
        <f t="shared" si="122"/>
        <v>0</v>
      </c>
      <c r="AK228" s="17">
        <f t="shared" si="130"/>
        <v>0</v>
      </c>
      <c r="AL228" s="28">
        <f t="shared" si="123"/>
        <v>0</v>
      </c>
      <c r="AM228" s="17">
        <f t="shared" si="138"/>
        <v>0</v>
      </c>
      <c r="AN228" s="28">
        <f t="shared" si="113"/>
        <v>0</v>
      </c>
      <c r="AO228" s="17">
        <f t="shared" si="110"/>
        <v>0</v>
      </c>
      <c r="AP228" s="28">
        <f t="shared" si="142"/>
        <v>0</v>
      </c>
      <c r="AQ228" s="17">
        <f t="shared" si="111"/>
        <v>0</v>
      </c>
      <c r="AR228" s="28">
        <f t="shared" si="143"/>
        <v>0</v>
      </c>
      <c r="AS228" s="17">
        <f t="shared" si="134"/>
        <v>0</v>
      </c>
      <c r="AT228" s="28">
        <f t="shared" si="135"/>
        <v>0</v>
      </c>
      <c r="AU228" s="17">
        <f t="shared" si="136"/>
        <v>0</v>
      </c>
      <c r="AV228" s="28">
        <f t="shared" si="137"/>
        <v>0</v>
      </c>
      <c r="AW228" s="17">
        <f t="shared" si="124"/>
        <v>0</v>
      </c>
      <c r="AX228" s="28">
        <f t="shared" si="125"/>
        <v>0</v>
      </c>
      <c r="AY228" s="17">
        <f t="shared" si="126"/>
        <v>0</v>
      </c>
      <c r="AZ228" s="28">
        <f t="shared" si="127"/>
        <v>0</v>
      </c>
      <c r="BA228" s="27">
        <f t="shared" si="139"/>
        <v>0</v>
      </c>
      <c r="BB228" s="27">
        <f t="shared" si="129"/>
        <v>0</v>
      </c>
      <c r="BC228" s="27">
        <f t="shared" si="131"/>
        <v>0</v>
      </c>
      <c r="BD228" s="27">
        <f t="shared" si="132"/>
        <v>0</v>
      </c>
      <c r="BE228" s="27">
        <f t="shared" si="133"/>
        <v>0</v>
      </c>
      <c r="BF228" s="29">
        <f t="shared" si="140"/>
        <v>0</v>
      </c>
      <c r="BH228" s="30">
        <f t="shared" si="128"/>
        <v>0</v>
      </c>
      <c r="BM228" s="2">
        <f t="shared" si="144"/>
        <v>0</v>
      </c>
      <c r="BP228" s="2">
        <f t="shared" si="145"/>
        <v>0</v>
      </c>
    </row>
    <row r="229" spans="1:68" ht="14.45" customHeight="1" x14ac:dyDescent="0.25">
      <c r="A229" s="33" t="s">
        <v>258</v>
      </c>
      <c r="B229" s="23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13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>
        <v>2</v>
      </c>
      <c r="AC229" s="25"/>
      <c r="AD229" s="39">
        <f t="shared" ref="AD229:AD230" si="146">SUM(B229:AB229)</f>
        <v>2</v>
      </c>
      <c r="AE229" s="26" t="s">
        <v>42</v>
      </c>
      <c r="AF229" s="34">
        <f>9*950</f>
        <v>8550</v>
      </c>
      <c r="AG229" s="17">
        <f t="shared" si="119"/>
        <v>0</v>
      </c>
      <c r="AH229" s="28">
        <f t="shared" si="120"/>
        <v>0</v>
      </c>
      <c r="AI229" s="17">
        <f t="shared" si="121"/>
        <v>0</v>
      </c>
      <c r="AJ229" s="28">
        <f t="shared" si="122"/>
        <v>0</v>
      </c>
      <c r="AK229" s="17">
        <f t="shared" si="130"/>
        <v>0</v>
      </c>
      <c r="AL229" s="28">
        <f t="shared" si="123"/>
        <v>0</v>
      </c>
      <c r="AM229" s="17">
        <f t="shared" si="138"/>
        <v>2</v>
      </c>
      <c r="AN229" s="28">
        <f t="shared" si="113"/>
        <v>17100</v>
      </c>
      <c r="AO229" s="17"/>
      <c r="AP229" s="28"/>
      <c r="AQ229" s="17"/>
      <c r="AR229" s="28"/>
      <c r="AS229" s="17">
        <f t="shared" si="134"/>
        <v>0</v>
      </c>
      <c r="AT229" s="28">
        <f t="shared" si="135"/>
        <v>0</v>
      </c>
      <c r="AU229" s="17">
        <f t="shared" si="136"/>
        <v>0</v>
      </c>
      <c r="AV229" s="28">
        <f t="shared" si="137"/>
        <v>0</v>
      </c>
      <c r="AW229" s="17">
        <f t="shared" si="124"/>
        <v>0</v>
      </c>
      <c r="AX229" s="28">
        <f t="shared" si="125"/>
        <v>0</v>
      </c>
      <c r="AY229" s="17">
        <f t="shared" si="126"/>
        <v>0</v>
      </c>
      <c r="AZ229" s="28">
        <f t="shared" si="127"/>
        <v>0</v>
      </c>
      <c r="BA229" s="27"/>
      <c r="BB229" s="27">
        <f t="shared" si="129"/>
        <v>17100</v>
      </c>
      <c r="BC229" s="27">
        <f t="shared" si="131"/>
        <v>0</v>
      </c>
      <c r="BD229" s="27">
        <f t="shared" si="132"/>
        <v>0</v>
      </c>
      <c r="BE229" s="27">
        <f t="shared" si="133"/>
        <v>0</v>
      </c>
      <c r="BF229" s="29"/>
      <c r="BH229" s="30">
        <f t="shared" si="128"/>
        <v>2</v>
      </c>
    </row>
    <row r="230" spans="1:68" ht="14.45" customHeight="1" x14ac:dyDescent="0.25">
      <c r="A230" s="33" t="s">
        <v>259</v>
      </c>
      <c r="B230" s="23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13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>
        <v>1</v>
      </c>
      <c r="AC230" s="25"/>
      <c r="AD230" s="39">
        <f t="shared" si="146"/>
        <v>1</v>
      </c>
      <c r="AE230" s="26" t="s">
        <v>42</v>
      </c>
      <c r="AF230" s="34">
        <f>12*950</f>
        <v>11400</v>
      </c>
      <c r="AG230" s="17">
        <f t="shared" si="119"/>
        <v>0</v>
      </c>
      <c r="AH230" s="28">
        <f t="shared" si="120"/>
        <v>0</v>
      </c>
      <c r="AI230" s="17">
        <f t="shared" si="121"/>
        <v>0</v>
      </c>
      <c r="AJ230" s="28">
        <f t="shared" si="122"/>
        <v>0</v>
      </c>
      <c r="AK230" s="17">
        <f t="shared" si="130"/>
        <v>0</v>
      </c>
      <c r="AL230" s="28">
        <f t="shared" si="123"/>
        <v>0</v>
      </c>
      <c r="AM230" s="17">
        <f t="shared" si="138"/>
        <v>1</v>
      </c>
      <c r="AN230" s="28">
        <f t="shared" si="113"/>
        <v>11400</v>
      </c>
      <c r="AO230" s="17"/>
      <c r="AP230" s="28"/>
      <c r="AQ230" s="17"/>
      <c r="AR230" s="28"/>
      <c r="AS230" s="17">
        <f t="shared" si="134"/>
        <v>0</v>
      </c>
      <c r="AT230" s="28">
        <f t="shared" si="135"/>
        <v>0</v>
      </c>
      <c r="AU230" s="17">
        <f t="shared" si="136"/>
        <v>0</v>
      </c>
      <c r="AV230" s="28">
        <f t="shared" si="137"/>
        <v>0</v>
      </c>
      <c r="AW230" s="17">
        <f t="shared" si="124"/>
        <v>0</v>
      </c>
      <c r="AX230" s="28">
        <f t="shared" si="125"/>
        <v>0</v>
      </c>
      <c r="AY230" s="17">
        <f t="shared" si="126"/>
        <v>0</v>
      </c>
      <c r="AZ230" s="28">
        <f t="shared" si="127"/>
        <v>0</v>
      </c>
      <c r="BA230" s="27"/>
      <c r="BB230" s="27">
        <f t="shared" si="129"/>
        <v>11400</v>
      </c>
      <c r="BC230" s="27">
        <f t="shared" si="131"/>
        <v>0</v>
      </c>
      <c r="BD230" s="27">
        <f t="shared" si="132"/>
        <v>0</v>
      </c>
      <c r="BE230" s="27">
        <f t="shared" si="133"/>
        <v>0</v>
      </c>
      <c r="BF230" s="29"/>
      <c r="BH230" s="30">
        <f t="shared" si="128"/>
        <v>1</v>
      </c>
    </row>
    <row r="231" spans="1:68" ht="14.45" customHeight="1" x14ac:dyDescent="0.25">
      <c r="A231" s="33" t="s">
        <v>260</v>
      </c>
      <c r="B231" s="23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13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>
        <v>1</v>
      </c>
      <c r="AC231" s="25"/>
      <c r="AD231" s="39"/>
      <c r="AE231" s="26" t="s">
        <v>42</v>
      </c>
      <c r="AF231" s="34">
        <f>16*950</f>
        <v>15200</v>
      </c>
      <c r="AG231" s="17">
        <f t="shared" si="119"/>
        <v>0</v>
      </c>
      <c r="AH231" s="28">
        <f t="shared" si="120"/>
        <v>0</v>
      </c>
      <c r="AI231" s="17">
        <f t="shared" si="121"/>
        <v>0</v>
      </c>
      <c r="AJ231" s="28">
        <f t="shared" si="122"/>
        <v>0</v>
      </c>
      <c r="AK231" s="17">
        <f t="shared" si="130"/>
        <v>0</v>
      </c>
      <c r="AL231" s="28">
        <f t="shared" si="123"/>
        <v>0</v>
      </c>
      <c r="AM231" s="17">
        <f t="shared" si="138"/>
        <v>1</v>
      </c>
      <c r="AN231" s="28">
        <f t="shared" si="113"/>
        <v>15200</v>
      </c>
      <c r="AO231" s="17"/>
      <c r="AP231" s="28"/>
      <c r="AQ231" s="17"/>
      <c r="AR231" s="28"/>
      <c r="AS231" s="17">
        <f t="shared" si="134"/>
        <v>0</v>
      </c>
      <c r="AT231" s="28">
        <f t="shared" si="135"/>
        <v>0</v>
      </c>
      <c r="AU231" s="17">
        <f t="shared" si="136"/>
        <v>0</v>
      </c>
      <c r="AV231" s="28">
        <f t="shared" si="137"/>
        <v>0</v>
      </c>
      <c r="AW231" s="17">
        <f t="shared" si="124"/>
        <v>0</v>
      </c>
      <c r="AX231" s="28">
        <f t="shared" si="125"/>
        <v>0</v>
      </c>
      <c r="AY231" s="17">
        <f t="shared" si="126"/>
        <v>0</v>
      </c>
      <c r="AZ231" s="28">
        <f t="shared" si="127"/>
        <v>0</v>
      </c>
      <c r="BA231" s="27"/>
      <c r="BB231" s="27">
        <f t="shared" si="129"/>
        <v>15200</v>
      </c>
      <c r="BC231" s="27">
        <f t="shared" si="131"/>
        <v>0</v>
      </c>
      <c r="BD231" s="27">
        <f t="shared" si="132"/>
        <v>0</v>
      </c>
      <c r="BE231" s="27">
        <f t="shared" si="133"/>
        <v>0</v>
      </c>
      <c r="BF231" s="29"/>
      <c r="BH231" s="30">
        <f t="shared" si="128"/>
        <v>1</v>
      </c>
    </row>
    <row r="232" spans="1:68" ht="14.45" customHeight="1" x14ac:dyDescent="0.25">
      <c r="A232" s="33" t="s">
        <v>261</v>
      </c>
      <c r="B232" s="23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13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>
        <v>3</v>
      </c>
      <c r="AC232" s="25"/>
      <c r="AD232" s="39">
        <f>SUM(B232:AB232)</f>
        <v>3</v>
      </c>
      <c r="AE232" s="26" t="s">
        <v>42</v>
      </c>
      <c r="AF232" s="34">
        <f>20*950</f>
        <v>19000</v>
      </c>
      <c r="AG232" s="17">
        <f t="shared" si="119"/>
        <v>0</v>
      </c>
      <c r="AH232" s="28">
        <f t="shared" si="120"/>
        <v>0</v>
      </c>
      <c r="AI232" s="17">
        <f t="shared" si="121"/>
        <v>0</v>
      </c>
      <c r="AJ232" s="28">
        <f t="shared" si="122"/>
        <v>0</v>
      </c>
      <c r="AK232" s="17">
        <f t="shared" si="130"/>
        <v>0</v>
      </c>
      <c r="AL232" s="28">
        <f t="shared" si="123"/>
        <v>0</v>
      </c>
      <c r="AM232" s="17">
        <f t="shared" si="138"/>
        <v>3</v>
      </c>
      <c r="AN232" s="28">
        <f t="shared" si="113"/>
        <v>57000</v>
      </c>
      <c r="AO232" s="17"/>
      <c r="AP232" s="28"/>
      <c r="AQ232" s="17"/>
      <c r="AR232" s="28"/>
      <c r="AS232" s="17">
        <f t="shared" si="134"/>
        <v>0</v>
      </c>
      <c r="AT232" s="28">
        <f t="shared" si="135"/>
        <v>0</v>
      </c>
      <c r="AU232" s="17">
        <f t="shared" si="136"/>
        <v>0</v>
      </c>
      <c r="AV232" s="28">
        <f t="shared" si="137"/>
        <v>0</v>
      </c>
      <c r="AW232" s="17">
        <f t="shared" si="124"/>
        <v>0</v>
      </c>
      <c r="AX232" s="28">
        <f t="shared" si="125"/>
        <v>0</v>
      </c>
      <c r="AY232" s="17">
        <f t="shared" si="126"/>
        <v>0</v>
      </c>
      <c r="AZ232" s="28">
        <f t="shared" si="127"/>
        <v>0</v>
      </c>
      <c r="BA232" s="27"/>
      <c r="BB232" s="27">
        <f t="shared" si="129"/>
        <v>57000</v>
      </c>
      <c r="BC232" s="27">
        <f t="shared" si="131"/>
        <v>0</v>
      </c>
      <c r="BD232" s="27">
        <f t="shared" si="132"/>
        <v>0</v>
      </c>
      <c r="BE232" s="27">
        <f t="shared" si="133"/>
        <v>0</v>
      </c>
      <c r="BF232" s="29"/>
      <c r="BH232" s="30">
        <f t="shared" si="128"/>
        <v>3</v>
      </c>
    </row>
    <row r="233" spans="1:68" x14ac:dyDescent="0.25">
      <c r="A233" s="33" t="s">
        <v>262</v>
      </c>
      <c r="B233" s="23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13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5"/>
      <c r="AD233" s="25">
        <f t="shared" si="141"/>
        <v>0</v>
      </c>
      <c r="AE233" s="26" t="s">
        <v>42</v>
      </c>
      <c r="AF233" s="34">
        <v>4585</v>
      </c>
      <c r="AG233" s="17">
        <f t="shared" si="119"/>
        <v>0</v>
      </c>
      <c r="AH233" s="28">
        <f t="shared" si="120"/>
        <v>0</v>
      </c>
      <c r="AI233" s="17">
        <f t="shared" si="121"/>
        <v>0</v>
      </c>
      <c r="AJ233" s="28">
        <f t="shared" si="122"/>
        <v>0</v>
      </c>
      <c r="AK233" s="17">
        <f t="shared" si="130"/>
        <v>0</v>
      </c>
      <c r="AL233" s="28">
        <f t="shared" si="123"/>
        <v>0</v>
      </c>
      <c r="AM233" s="17">
        <f t="shared" si="138"/>
        <v>0</v>
      </c>
      <c r="AN233" s="28">
        <f t="shared" si="113"/>
        <v>0</v>
      </c>
      <c r="AO233" s="17">
        <f t="shared" ref="AO233:AO242" si="147">+B233</f>
        <v>0</v>
      </c>
      <c r="AP233" s="28">
        <f t="shared" ref="AP233:AP241" si="148">+AO233*AF233</f>
        <v>0</v>
      </c>
      <c r="AQ233" s="17">
        <f t="shared" ref="AQ233:AQ242" si="149">+P233</f>
        <v>0</v>
      </c>
      <c r="AR233" s="28">
        <f t="shared" ref="AR233:AR241" si="150">+AQ233*AF233</f>
        <v>0</v>
      </c>
      <c r="AS233" s="17">
        <f t="shared" si="134"/>
        <v>0</v>
      </c>
      <c r="AT233" s="28">
        <f t="shared" si="135"/>
        <v>0</v>
      </c>
      <c r="AU233" s="17">
        <f t="shared" si="136"/>
        <v>0</v>
      </c>
      <c r="AV233" s="28">
        <f t="shared" si="137"/>
        <v>0</v>
      </c>
      <c r="AW233" s="17">
        <f t="shared" si="124"/>
        <v>0</v>
      </c>
      <c r="AX233" s="28">
        <f t="shared" si="125"/>
        <v>0</v>
      </c>
      <c r="AY233" s="17">
        <f t="shared" si="126"/>
        <v>0</v>
      </c>
      <c r="AZ233" s="28">
        <f t="shared" si="127"/>
        <v>0</v>
      </c>
      <c r="BA233" s="27">
        <f t="shared" si="139"/>
        <v>0</v>
      </c>
      <c r="BB233" s="27">
        <f t="shared" si="129"/>
        <v>0</v>
      </c>
      <c r="BC233" s="27">
        <f t="shared" si="131"/>
        <v>0</v>
      </c>
      <c r="BD233" s="27">
        <f t="shared" si="132"/>
        <v>0</v>
      </c>
      <c r="BE233" s="27">
        <f t="shared" si="133"/>
        <v>0</v>
      </c>
      <c r="BF233" s="29">
        <f t="shared" si="140"/>
        <v>0</v>
      </c>
      <c r="BH233" s="30">
        <f t="shared" si="128"/>
        <v>0</v>
      </c>
      <c r="BM233" s="2">
        <f t="shared" ref="BM233:BM241" si="151">SUM(B233:S233)</f>
        <v>0</v>
      </c>
      <c r="BP233" s="2">
        <f t="shared" ref="BP233:BP241" si="152">SUM(B233:S233)</f>
        <v>0</v>
      </c>
    </row>
    <row r="234" spans="1:68" ht="14.45" hidden="1" customHeight="1" x14ac:dyDescent="0.25">
      <c r="A234" s="33" t="s">
        <v>263</v>
      </c>
      <c r="B234" s="23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13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5"/>
      <c r="AD234" s="25">
        <f t="shared" si="141"/>
        <v>0</v>
      </c>
      <c r="AE234" s="26" t="s">
        <v>42</v>
      </c>
      <c r="AF234" s="34"/>
      <c r="AG234" s="17">
        <f t="shared" si="119"/>
        <v>0</v>
      </c>
      <c r="AH234" s="28">
        <f t="shared" si="120"/>
        <v>0</v>
      </c>
      <c r="AI234" s="17">
        <f t="shared" si="121"/>
        <v>0</v>
      </c>
      <c r="AJ234" s="28">
        <f t="shared" si="122"/>
        <v>0</v>
      </c>
      <c r="AK234" s="17">
        <f t="shared" si="130"/>
        <v>0</v>
      </c>
      <c r="AL234" s="28">
        <f t="shared" si="123"/>
        <v>0</v>
      </c>
      <c r="AM234" s="17">
        <f t="shared" si="138"/>
        <v>0</v>
      </c>
      <c r="AN234" s="28">
        <f t="shared" si="113"/>
        <v>0</v>
      </c>
      <c r="AO234" s="17">
        <f t="shared" si="147"/>
        <v>0</v>
      </c>
      <c r="AP234" s="28">
        <f t="shared" si="148"/>
        <v>0</v>
      </c>
      <c r="AQ234" s="17">
        <f t="shared" si="149"/>
        <v>0</v>
      </c>
      <c r="AR234" s="28">
        <f t="shared" si="150"/>
        <v>0</v>
      </c>
      <c r="AS234" s="17">
        <f t="shared" si="134"/>
        <v>0</v>
      </c>
      <c r="AT234" s="28">
        <f t="shared" si="135"/>
        <v>0</v>
      </c>
      <c r="AU234" s="17">
        <f t="shared" si="136"/>
        <v>0</v>
      </c>
      <c r="AV234" s="28">
        <f t="shared" si="137"/>
        <v>0</v>
      </c>
      <c r="AW234" s="17">
        <f t="shared" si="124"/>
        <v>0</v>
      </c>
      <c r="AX234" s="28">
        <f t="shared" si="125"/>
        <v>0</v>
      </c>
      <c r="AY234" s="17">
        <f t="shared" si="126"/>
        <v>0</v>
      </c>
      <c r="AZ234" s="28">
        <f t="shared" si="127"/>
        <v>0</v>
      </c>
      <c r="BA234" s="27">
        <f t="shared" si="139"/>
        <v>0</v>
      </c>
      <c r="BB234" s="27">
        <f t="shared" si="129"/>
        <v>0</v>
      </c>
      <c r="BC234" s="27">
        <f t="shared" si="131"/>
        <v>0</v>
      </c>
      <c r="BD234" s="27">
        <f t="shared" si="132"/>
        <v>0</v>
      </c>
      <c r="BE234" s="27">
        <f t="shared" si="133"/>
        <v>0</v>
      </c>
      <c r="BF234" s="29">
        <f t="shared" si="140"/>
        <v>0</v>
      </c>
      <c r="BH234" s="30">
        <f t="shared" si="128"/>
        <v>0</v>
      </c>
      <c r="BM234" s="2">
        <f t="shared" si="151"/>
        <v>0</v>
      </c>
      <c r="BP234" s="2">
        <f t="shared" si="152"/>
        <v>0</v>
      </c>
    </row>
    <row r="235" spans="1:68" x14ac:dyDescent="0.25">
      <c r="A235" s="33" t="s">
        <v>264</v>
      </c>
      <c r="B235" s="23"/>
      <c r="C235" s="24"/>
      <c r="D235" s="24">
        <v>1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13"/>
      <c r="P235" s="24"/>
      <c r="Q235" s="24"/>
      <c r="R235" s="24">
        <v>3</v>
      </c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5"/>
      <c r="AD235" s="25">
        <f t="shared" si="141"/>
        <v>4</v>
      </c>
      <c r="AE235" s="26" t="s">
        <v>42</v>
      </c>
      <c r="AF235" s="34">
        <v>30124</v>
      </c>
      <c r="AG235" s="17">
        <f t="shared" si="119"/>
        <v>0</v>
      </c>
      <c r="AH235" s="28">
        <f t="shared" si="120"/>
        <v>0</v>
      </c>
      <c r="AI235" s="17">
        <f t="shared" si="121"/>
        <v>0</v>
      </c>
      <c r="AJ235" s="28">
        <f t="shared" si="122"/>
        <v>0</v>
      </c>
      <c r="AK235" s="17">
        <f t="shared" si="130"/>
        <v>0</v>
      </c>
      <c r="AL235" s="28">
        <f t="shared" si="123"/>
        <v>0</v>
      </c>
      <c r="AM235" s="17">
        <f t="shared" si="138"/>
        <v>0</v>
      </c>
      <c r="AN235" s="28">
        <f t="shared" si="113"/>
        <v>0</v>
      </c>
      <c r="AO235" s="17">
        <f t="shared" si="147"/>
        <v>0</v>
      </c>
      <c r="AP235" s="28">
        <f t="shared" si="148"/>
        <v>0</v>
      </c>
      <c r="AQ235" s="17">
        <f t="shared" si="149"/>
        <v>0</v>
      </c>
      <c r="AR235" s="28">
        <f t="shared" si="150"/>
        <v>0</v>
      </c>
      <c r="AS235" s="17">
        <f t="shared" si="134"/>
        <v>0</v>
      </c>
      <c r="AT235" s="28">
        <f t="shared" si="135"/>
        <v>0</v>
      </c>
      <c r="AU235" s="17">
        <f t="shared" si="136"/>
        <v>0</v>
      </c>
      <c r="AV235" s="28">
        <f t="shared" si="137"/>
        <v>0</v>
      </c>
      <c r="AW235" s="17">
        <f t="shared" si="124"/>
        <v>1</v>
      </c>
      <c r="AX235" s="28">
        <f t="shared" si="125"/>
        <v>30124</v>
      </c>
      <c r="AY235" s="17">
        <f t="shared" si="126"/>
        <v>3</v>
      </c>
      <c r="AZ235" s="28">
        <f t="shared" si="127"/>
        <v>90372</v>
      </c>
      <c r="BA235" s="27">
        <f t="shared" si="139"/>
        <v>0</v>
      </c>
      <c r="BB235" s="27">
        <f t="shared" si="129"/>
        <v>0</v>
      </c>
      <c r="BC235" s="27">
        <f t="shared" si="131"/>
        <v>0</v>
      </c>
      <c r="BD235" s="27">
        <f t="shared" si="132"/>
        <v>0</v>
      </c>
      <c r="BE235" s="27">
        <f t="shared" si="133"/>
        <v>120496</v>
      </c>
      <c r="BF235" s="29">
        <f t="shared" si="140"/>
        <v>0</v>
      </c>
      <c r="BH235" s="30">
        <f t="shared" si="128"/>
        <v>0</v>
      </c>
      <c r="BM235" s="2">
        <f t="shared" si="151"/>
        <v>4</v>
      </c>
      <c r="BP235" s="2">
        <f t="shared" si="152"/>
        <v>4</v>
      </c>
    </row>
    <row r="236" spans="1:68" ht="14.45" hidden="1" customHeight="1" x14ac:dyDescent="0.25">
      <c r="A236" s="33" t="s">
        <v>263</v>
      </c>
      <c r="B236" s="23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13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5"/>
      <c r="AD236" s="25">
        <f t="shared" si="141"/>
        <v>0</v>
      </c>
      <c r="AE236" s="26" t="s">
        <v>42</v>
      </c>
      <c r="AF236" s="27"/>
      <c r="AG236" s="17">
        <f t="shared" si="119"/>
        <v>0</v>
      </c>
      <c r="AH236" s="28">
        <f t="shared" si="120"/>
        <v>0</v>
      </c>
      <c r="AI236" s="17">
        <f t="shared" si="121"/>
        <v>0</v>
      </c>
      <c r="AJ236" s="28">
        <f t="shared" si="122"/>
        <v>0</v>
      </c>
      <c r="AK236" s="17">
        <f t="shared" si="130"/>
        <v>0</v>
      </c>
      <c r="AL236" s="28">
        <f t="shared" si="123"/>
        <v>0</v>
      </c>
      <c r="AM236" s="17">
        <f t="shared" si="138"/>
        <v>0</v>
      </c>
      <c r="AN236" s="28">
        <f t="shared" si="113"/>
        <v>0</v>
      </c>
      <c r="AO236" s="17">
        <f t="shared" si="147"/>
        <v>0</v>
      </c>
      <c r="AP236" s="28">
        <f t="shared" si="148"/>
        <v>0</v>
      </c>
      <c r="AQ236" s="17">
        <f t="shared" si="149"/>
        <v>0</v>
      </c>
      <c r="AR236" s="28">
        <f t="shared" si="150"/>
        <v>0</v>
      </c>
      <c r="AS236" s="17">
        <f t="shared" si="134"/>
        <v>0</v>
      </c>
      <c r="AT236" s="28">
        <f t="shared" si="135"/>
        <v>0</v>
      </c>
      <c r="AU236" s="17">
        <f t="shared" si="136"/>
        <v>0</v>
      </c>
      <c r="AV236" s="28">
        <f t="shared" si="137"/>
        <v>0</v>
      </c>
      <c r="AW236" s="17">
        <f t="shared" si="124"/>
        <v>0</v>
      </c>
      <c r="AX236" s="28">
        <f t="shared" si="125"/>
        <v>0</v>
      </c>
      <c r="AY236" s="17">
        <f t="shared" si="126"/>
        <v>0</v>
      </c>
      <c r="AZ236" s="28">
        <f t="shared" si="127"/>
        <v>0</v>
      </c>
      <c r="BA236" s="27">
        <f t="shared" si="139"/>
        <v>0</v>
      </c>
      <c r="BB236" s="27">
        <f t="shared" si="129"/>
        <v>0</v>
      </c>
      <c r="BC236" s="27">
        <f t="shared" si="131"/>
        <v>0</v>
      </c>
      <c r="BD236" s="27">
        <f t="shared" si="132"/>
        <v>0</v>
      </c>
      <c r="BE236" s="27">
        <f t="shared" si="133"/>
        <v>0</v>
      </c>
      <c r="BF236" s="29">
        <f t="shared" si="140"/>
        <v>0</v>
      </c>
      <c r="BH236" s="30">
        <f t="shared" si="128"/>
        <v>0</v>
      </c>
      <c r="BM236" s="2">
        <f t="shared" si="151"/>
        <v>0</v>
      </c>
      <c r="BP236" s="2">
        <f t="shared" si="152"/>
        <v>0</v>
      </c>
    </row>
    <row r="237" spans="1:68" ht="14.45" hidden="1" customHeight="1" x14ac:dyDescent="0.25">
      <c r="A237" s="33" t="s">
        <v>265</v>
      </c>
      <c r="B237" s="23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13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5"/>
      <c r="AD237" s="25">
        <f t="shared" si="141"/>
        <v>0</v>
      </c>
      <c r="AE237" s="26" t="s">
        <v>42</v>
      </c>
      <c r="AF237" s="27"/>
      <c r="AG237" s="17">
        <f t="shared" si="119"/>
        <v>0</v>
      </c>
      <c r="AH237" s="28">
        <f t="shared" si="120"/>
        <v>0</v>
      </c>
      <c r="AI237" s="17">
        <f t="shared" si="121"/>
        <v>0</v>
      </c>
      <c r="AJ237" s="28">
        <f t="shared" si="122"/>
        <v>0</v>
      </c>
      <c r="AK237" s="17">
        <f t="shared" si="130"/>
        <v>0</v>
      </c>
      <c r="AL237" s="28">
        <f t="shared" si="123"/>
        <v>0</v>
      </c>
      <c r="AM237" s="17">
        <f t="shared" si="138"/>
        <v>0</v>
      </c>
      <c r="AN237" s="28">
        <f t="shared" si="113"/>
        <v>0</v>
      </c>
      <c r="AO237" s="17">
        <f t="shared" si="147"/>
        <v>0</v>
      </c>
      <c r="AP237" s="28">
        <f t="shared" si="148"/>
        <v>0</v>
      </c>
      <c r="AQ237" s="17">
        <f t="shared" si="149"/>
        <v>0</v>
      </c>
      <c r="AR237" s="28">
        <f t="shared" si="150"/>
        <v>0</v>
      </c>
      <c r="AS237" s="17">
        <f t="shared" si="134"/>
        <v>0</v>
      </c>
      <c r="AT237" s="28">
        <f t="shared" si="135"/>
        <v>0</v>
      </c>
      <c r="AU237" s="17">
        <f t="shared" si="136"/>
        <v>0</v>
      </c>
      <c r="AV237" s="28">
        <f t="shared" si="137"/>
        <v>0</v>
      </c>
      <c r="AW237" s="17">
        <f t="shared" si="124"/>
        <v>0</v>
      </c>
      <c r="AX237" s="28">
        <f t="shared" si="125"/>
        <v>0</v>
      </c>
      <c r="AY237" s="17">
        <f t="shared" si="126"/>
        <v>0</v>
      </c>
      <c r="AZ237" s="28">
        <f t="shared" si="127"/>
        <v>0</v>
      </c>
      <c r="BA237" s="27">
        <f t="shared" si="139"/>
        <v>0</v>
      </c>
      <c r="BB237" s="27">
        <f t="shared" si="129"/>
        <v>0</v>
      </c>
      <c r="BC237" s="27">
        <f t="shared" si="131"/>
        <v>0</v>
      </c>
      <c r="BD237" s="27">
        <f t="shared" si="132"/>
        <v>0</v>
      </c>
      <c r="BE237" s="27">
        <f t="shared" si="133"/>
        <v>0</v>
      </c>
      <c r="BF237" s="29">
        <f t="shared" si="140"/>
        <v>0</v>
      </c>
      <c r="BH237" s="30">
        <f t="shared" si="128"/>
        <v>0</v>
      </c>
      <c r="BM237" s="2">
        <f t="shared" si="151"/>
        <v>0</v>
      </c>
      <c r="BP237" s="2">
        <f t="shared" si="152"/>
        <v>0</v>
      </c>
    </row>
    <row r="238" spans="1:68" ht="14.45" hidden="1" customHeight="1" x14ac:dyDescent="0.25">
      <c r="A238" s="33" t="s">
        <v>266</v>
      </c>
      <c r="B238" s="23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13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5"/>
      <c r="AD238" s="25">
        <f t="shared" si="141"/>
        <v>0</v>
      </c>
      <c r="AE238" s="26" t="s">
        <v>42</v>
      </c>
      <c r="AF238" s="27"/>
      <c r="AG238" s="17">
        <f t="shared" si="119"/>
        <v>0</v>
      </c>
      <c r="AH238" s="28">
        <f t="shared" si="120"/>
        <v>0</v>
      </c>
      <c r="AI238" s="17">
        <f t="shared" si="121"/>
        <v>0</v>
      </c>
      <c r="AJ238" s="28">
        <f t="shared" si="122"/>
        <v>0</v>
      </c>
      <c r="AK238" s="17">
        <f t="shared" si="130"/>
        <v>0</v>
      </c>
      <c r="AL238" s="28">
        <f t="shared" si="123"/>
        <v>0</v>
      </c>
      <c r="AM238" s="17">
        <f t="shared" si="138"/>
        <v>0</v>
      </c>
      <c r="AN238" s="28">
        <f t="shared" si="113"/>
        <v>0</v>
      </c>
      <c r="AO238" s="17">
        <f t="shared" si="147"/>
        <v>0</v>
      </c>
      <c r="AP238" s="28">
        <f t="shared" si="148"/>
        <v>0</v>
      </c>
      <c r="AQ238" s="17">
        <f t="shared" si="149"/>
        <v>0</v>
      </c>
      <c r="AR238" s="28">
        <f t="shared" si="150"/>
        <v>0</v>
      </c>
      <c r="AS238" s="17">
        <f t="shared" si="134"/>
        <v>0</v>
      </c>
      <c r="AT238" s="28">
        <f t="shared" si="135"/>
        <v>0</v>
      </c>
      <c r="AU238" s="17">
        <f t="shared" si="136"/>
        <v>0</v>
      </c>
      <c r="AV238" s="28">
        <f t="shared" si="137"/>
        <v>0</v>
      </c>
      <c r="AW238" s="17">
        <f t="shared" si="124"/>
        <v>0</v>
      </c>
      <c r="AX238" s="28">
        <f t="shared" si="125"/>
        <v>0</v>
      </c>
      <c r="AY238" s="17">
        <f t="shared" si="126"/>
        <v>0</v>
      </c>
      <c r="AZ238" s="28">
        <f t="shared" si="127"/>
        <v>0</v>
      </c>
      <c r="BA238" s="27">
        <f t="shared" si="139"/>
        <v>0</v>
      </c>
      <c r="BB238" s="27">
        <f t="shared" si="129"/>
        <v>0</v>
      </c>
      <c r="BC238" s="27">
        <f t="shared" si="131"/>
        <v>0</v>
      </c>
      <c r="BD238" s="27">
        <f t="shared" si="132"/>
        <v>0</v>
      </c>
      <c r="BE238" s="27">
        <f t="shared" si="133"/>
        <v>0</v>
      </c>
      <c r="BF238" s="29">
        <f t="shared" si="140"/>
        <v>0</v>
      </c>
      <c r="BH238" s="30">
        <f t="shared" si="128"/>
        <v>0</v>
      </c>
      <c r="BM238" s="2">
        <f t="shared" si="151"/>
        <v>0</v>
      </c>
      <c r="BP238" s="2">
        <f t="shared" si="152"/>
        <v>0</v>
      </c>
    </row>
    <row r="239" spans="1:68" ht="14.45" hidden="1" customHeight="1" x14ac:dyDescent="0.25">
      <c r="A239" s="33" t="s">
        <v>267</v>
      </c>
      <c r="B239" s="23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13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5"/>
      <c r="AD239" s="25">
        <f t="shared" si="141"/>
        <v>0</v>
      </c>
      <c r="AE239" s="26" t="s">
        <v>42</v>
      </c>
      <c r="AF239" s="27"/>
      <c r="AG239" s="17">
        <f t="shared" si="119"/>
        <v>0</v>
      </c>
      <c r="AH239" s="28">
        <f t="shared" si="120"/>
        <v>0</v>
      </c>
      <c r="AI239" s="17">
        <f t="shared" si="121"/>
        <v>0</v>
      </c>
      <c r="AJ239" s="28">
        <f t="shared" si="122"/>
        <v>0</v>
      </c>
      <c r="AK239" s="17">
        <f t="shared" si="130"/>
        <v>0</v>
      </c>
      <c r="AL239" s="28">
        <f t="shared" si="123"/>
        <v>0</v>
      </c>
      <c r="AM239" s="17">
        <f t="shared" si="138"/>
        <v>0</v>
      </c>
      <c r="AN239" s="28">
        <f t="shared" si="113"/>
        <v>0</v>
      </c>
      <c r="AO239" s="17">
        <f t="shared" si="147"/>
        <v>0</v>
      </c>
      <c r="AP239" s="28">
        <f t="shared" si="148"/>
        <v>0</v>
      </c>
      <c r="AQ239" s="17">
        <f t="shared" si="149"/>
        <v>0</v>
      </c>
      <c r="AR239" s="28">
        <f t="shared" si="150"/>
        <v>0</v>
      </c>
      <c r="AS239" s="17">
        <f t="shared" si="134"/>
        <v>0</v>
      </c>
      <c r="AT239" s="28">
        <f t="shared" si="135"/>
        <v>0</v>
      </c>
      <c r="AU239" s="17">
        <f t="shared" si="136"/>
        <v>0</v>
      </c>
      <c r="AV239" s="28">
        <f t="shared" si="137"/>
        <v>0</v>
      </c>
      <c r="AW239" s="17">
        <f t="shared" si="124"/>
        <v>0</v>
      </c>
      <c r="AX239" s="28">
        <f t="shared" si="125"/>
        <v>0</v>
      </c>
      <c r="AY239" s="17">
        <f t="shared" si="126"/>
        <v>0</v>
      </c>
      <c r="AZ239" s="28">
        <f t="shared" si="127"/>
        <v>0</v>
      </c>
      <c r="BA239" s="27">
        <f t="shared" si="139"/>
        <v>0</v>
      </c>
      <c r="BB239" s="27">
        <f t="shared" si="129"/>
        <v>0</v>
      </c>
      <c r="BC239" s="27">
        <f t="shared" si="131"/>
        <v>0</v>
      </c>
      <c r="BD239" s="27">
        <f t="shared" si="132"/>
        <v>0</v>
      </c>
      <c r="BE239" s="27">
        <f t="shared" si="133"/>
        <v>0</v>
      </c>
      <c r="BF239" s="29">
        <f t="shared" si="140"/>
        <v>0</v>
      </c>
      <c r="BH239" s="30">
        <f t="shared" si="128"/>
        <v>0</v>
      </c>
      <c r="BM239" s="2">
        <f t="shared" si="151"/>
        <v>0</v>
      </c>
      <c r="BP239" s="2">
        <f t="shared" si="152"/>
        <v>0</v>
      </c>
    </row>
    <row r="240" spans="1:68" ht="14.45" hidden="1" customHeight="1" x14ac:dyDescent="0.25">
      <c r="A240" s="33" t="s">
        <v>263</v>
      </c>
      <c r="B240" s="23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13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5"/>
      <c r="AD240" s="25">
        <f t="shared" si="141"/>
        <v>0</v>
      </c>
      <c r="AE240" s="26" t="s">
        <v>42</v>
      </c>
      <c r="AF240" s="27"/>
      <c r="AG240" s="17">
        <f t="shared" si="119"/>
        <v>0</v>
      </c>
      <c r="AH240" s="28">
        <f t="shared" si="120"/>
        <v>0</v>
      </c>
      <c r="AI240" s="17">
        <f t="shared" si="121"/>
        <v>0</v>
      </c>
      <c r="AJ240" s="28">
        <f t="shared" si="122"/>
        <v>0</v>
      </c>
      <c r="AK240" s="17">
        <f t="shared" si="130"/>
        <v>0</v>
      </c>
      <c r="AL240" s="28">
        <f t="shared" si="123"/>
        <v>0</v>
      </c>
      <c r="AM240" s="17">
        <f t="shared" si="138"/>
        <v>0</v>
      </c>
      <c r="AN240" s="28">
        <f t="shared" si="113"/>
        <v>0</v>
      </c>
      <c r="AO240" s="17">
        <f t="shared" si="147"/>
        <v>0</v>
      </c>
      <c r="AP240" s="28">
        <f t="shared" si="148"/>
        <v>0</v>
      </c>
      <c r="AQ240" s="17">
        <f t="shared" si="149"/>
        <v>0</v>
      </c>
      <c r="AR240" s="28">
        <f t="shared" si="150"/>
        <v>0</v>
      </c>
      <c r="AS240" s="17">
        <f t="shared" si="134"/>
        <v>0</v>
      </c>
      <c r="AT240" s="28">
        <f t="shared" si="135"/>
        <v>0</v>
      </c>
      <c r="AU240" s="17">
        <f t="shared" si="136"/>
        <v>0</v>
      </c>
      <c r="AV240" s="28">
        <f t="shared" si="137"/>
        <v>0</v>
      </c>
      <c r="AW240" s="17">
        <f t="shared" si="124"/>
        <v>0</v>
      </c>
      <c r="AX240" s="28">
        <f t="shared" si="125"/>
        <v>0</v>
      </c>
      <c r="AY240" s="17">
        <f t="shared" si="126"/>
        <v>0</v>
      </c>
      <c r="AZ240" s="28">
        <f t="shared" si="127"/>
        <v>0</v>
      </c>
      <c r="BA240" s="27">
        <f t="shared" si="139"/>
        <v>0</v>
      </c>
      <c r="BB240" s="27">
        <f t="shared" si="129"/>
        <v>0</v>
      </c>
      <c r="BC240" s="27">
        <f t="shared" si="131"/>
        <v>0</v>
      </c>
      <c r="BD240" s="27">
        <f t="shared" si="132"/>
        <v>0</v>
      </c>
      <c r="BE240" s="27">
        <f t="shared" si="133"/>
        <v>0</v>
      </c>
      <c r="BF240" s="29">
        <f t="shared" si="140"/>
        <v>0</v>
      </c>
      <c r="BH240" s="30">
        <f t="shared" si="128"/>
        <v>0</v>
      </c>
      <c r="BM240" s="2">
        <f t="shared" si="151"/>
        <v>0</v>
      </c>
      <c r="BP240" s="2">
        <f t="shared" si="152"/>
        <v>0</v>
      </c>
    </row>
    <row r="241" spans="1:68" ht="14.45" hidden="1" customHeight="1" x14ac:dyDescent="0.25">
      <c r="A241" s="33" t="s">
        <v>268</v>
      </c>
      <c r="B241" s="23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13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5"/>
      <c r="AD241" s="25">
        <f t="shared" si="141"/>
        <v>0</v>
      </c>
      <c r="AE241" s="26" t="s">
        <v>42</v>
      </c>
      <c r="AF241" s="27"/>
      <c r="AG241" s="17">
        <f t="shared" si="119"/>
        <v>0</v>
      </c>
      <c r="AH241" s="28">
        <f t="shared" si="120"/>
        <v>0</v>
      </c>
      <c r="AI241" s="17">
        <f t="shared" si="121"/>
        <v>0</v>
      </c>
      <c r="AJ241" s="28">
        <f t="shared" si="122"/>
        <v>0</v>
      </c>
      <c r="AK241" s="17">
        <f t="shared" si="130"/>
        <v>0</v>
      </c>
      <c r="AL241" s="28">
        <f t="shared" si="123"/>
        <v>0</v>
      </c>
      <c r="AM241" s="17">
        <f t="shared" si="138"/>
        <v>0</v>
      </c>
      <c r="AN241" s="28">
        <f t="shared" si="113"/>
        <v>0</v>
      </c>
      <c r="AO241" s="17">
        <f t="shared" si="147"/>
        <v>0</v>
      </c>
      <c r="AP241" s="28">
        <f t="shared" si="148"/>
        <v>0</v>
      </c>
      <c r="AQ241" s="17">
        <f t="shared" si="149"/>
        <v>0</v>
      </c>
      <c r="AR241" s="28">
        <f t="shared" si="150"/>
        <v>0</v>
      </c>
      <c r="AS241" s="17">
        <f t="shared" si="134"/>
        <v>0</v>
      </c>
      <c r="AT241" s="28">
        <f t="shared" si="135"/>
        <v>0</v>
      </c>
      <c r="AU241" s="17">
        <f t="shared" si="136"/>
        <v>0</v>
      </c>
      <c r="AV241" s="28">
        <f t="shared" si="137"/>
        <v>0</v>
      </c>
      <c r="AW241" s="17">
        <f t="shared" si="124"/>
        <v>0</v>
      </c>
      <c r="AX241" s="28">
        <f t="shared" si="125"/>
        <v>0</v>
      </c>
      <c r="AY241" s="17">
        <f t="shared" si="126"/>
        <v>0</v>
      </c>
      <c r="AZ241" s="28">
        <f t="shared" si="127"/>
        <v>0</v>
      </c>
      <c r="BA241" s="27">
        <f t="shared" si="139"/>
        <v>0</v>
      </c>
      <c r="BB241" s="27">
        <f t="shared" si="129"/>
        <v>0</v>
      </c>
      <c r="BC241" s="27">
        <f t="shared" si="131"/>
        <v>0</v>
      </c>
      <c r="BD241" s="27">
        <f t="shared" si="132"/>
        <v>0</v>
      </c>
      <c r="BE241" s="27">
        <f t="shared" si="133"/>
        <v>0</v>
      </c>
      <c r="BF241" s="29">
        <f t="shared" si="140"/>
        <v>0</v>
      </c>
      <c r="BH241" s="30">
        <f t="shared" si="128"/>
        <v>0</v>
      </c>
      <c r="BM241" s="2">
        <f t="shared" si="151"/>
        <v>0</v>
      </c>
      <c r="BP241" s="2">
        <f t="shared" si="152"/>
        <v>0</v>
      </c>
    </row>
    <row r="242" spans="1:68" ht="14.45" customHeight="1" x14ac:dyDescent="0.25">
      <c r="A242" s="33" t="s">
        <v>269</v>
      </c>
      <c r="B242" s="23"/>
      <c r="C242" s="24"/>
      <c r="D242" s="24">
        <v>850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13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>
        <v>10000</v>
      </c>
      <c r="AC242" s="25"/>
      <c r="AD242" s="44">
        <f t="shared" ref="AD242:AD243" si="153">SUM(B242:AB242)</f>
        <v>10850</v>
      </c>
      <c r="AE242" s="26" t="s">
        <v>42</v>
      </c>
      <c r="AF242" s="27">
        <v>250</v>
      </c>
      <c r="AG242" s="17">
        <f t="shared" si="119"/>
        <v>0</v>
      </c>
      <c r="AH242" s="28">
        <f t="shared" si="120"/>
        <v>0</v>
      </c>
      <c r="AI242" s="17">
        <f t="shared" si="121"/>
        <v>0</v>
      </c>
      <c r="AJ242" s="28">
        <f t="shared" si="122"/>
        <v>0</v>
      </c>
      <c r="AK242" s="17">
        <f t="shared" si="130"/>
        <v>0</v>
      </c>
      <c r="AL242" s="28">
        <f t="shared" si="123"/>
        <v>0</v>
      </c>
      <c r="AM242" s="17">
        <f t="shared" si="138"/>
        <v>10000</v>
      </c>
      <c r="AN242" s="28">
        <f t="shared" ref="AN242:AN305" si="154">+AM242*AF242</f>
        <v>2500000</v>
      </c>
      <c r="AO242" s="17">
        <f t="shared" si="147"/>
        <v>0</v>
      </c>
      <c r="AP242" s="28"/>
      <c r="AQ242" s="17">
        <f t="shared" si="149"/>
        <v>0</v>
      </c>
      <c r="AR242" s="28"/>
      <c r="AS242" s="17">
        <f t="shared" si="134"/>
        <v>0</v>
      </c>
      <c r="AT242" s="28">
        <f t="shared" si="135"/>
        <v>0</v>
      </c>
      <c r="AU242" s="17">
        <f t="shared" si="136"/>
        <v>0</v>
      </c>
      <c r="AV242" s="28">
        <f t="shared" si="137"/>
        <v>0</v>
      </c>
      <c r="AW242" s="17">
        <f t="shared" si="124"/>
        <v>850</v>
      </c>
      <c r="AX242" s="28">
        <f t="shared" si="125"/>
        <v>212500</v>
      </c>
      <c r="AY242" s="17">
        <f t="shared" si="126"/>
        <v>0</v>
      </c>
      <c r="AZ242" s="28">
        <f t="shared" si="127"/>
        <v>0</v>
      </c>
      <c r="BA242" s="27">
        <f t="shared" si="139"/>
        <v>0</v>
      </c>
      <c r="BB242" s="27">
        <f t="shared" si="129"/>
        <v>2500000</v>
      </c>
      <c r="BC242" s="27">
        <f t="shared" si="131"/>
        <v>0</v>
      </c>
      <c r="BD242" s="27">
        <f t="shared" si="132"/>
        <v>0</v>
      </c>
      <c r="BE242" s="27">
        <f t="shared" si="133"/>
        <v>212500</v>
      </c>
      <c r="BF242" s="29">
        <f t="shared" si="140"/>
        <v>2500000</v>
      </c>
      <c r="BH242" s="30">
        <f t="shared" si="128"/>
        <v>10000</v>
      </c>
    </row>
    <row r="243" spans="1:68" ht="14.45" customHeight="1" x14ac:dyDescent="0.25">
      <c r="A243" s="33" t="s">
        <v>270</v>
      </c>
      <c r="B243" s="23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13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5"/>
      <c r="AD243" s="39">
        <f t="shared" si="153"/>
        <v>0</v>
      </c>
      <c r="AE243" s="40" t="s">
        <v>42</v>
      </c>
      <c r="AF243" s="27"/>
      <c r="AG243" s="17">
        <f t="shared" si="119"/>
        <v>0</v>
      </c>
      <c r="AH243" s="28">
        <f t="shared" si="120"/>
        <v>0</v>
      </c>
      <c r="AI243" s="17">
        <f t="shared" si="121"/>
        <v>0</v>
      </c>
      <c r="AJ243" s="28">
        <f t="shared" si="122"/>
        <v>0</v>
      </c>
      <c r="AK243" s="17">
        <f t="shared" si="130"/>
        <v>0</v>
      </c>
      <c r="AL243" s="28">
        <f t="shared" si="123"/>
        <v>0</v>
      </c>
      <c r="AM243" s="17">
        <f t="shared" si="138"/>
        <v>0</v>
      </c>
      <c r="AN243" s="28">
        <f t="shared" si="154"/>
        <v>0</v>
      </c>
      <c r="AO243" s="17"/>
      <c r="AP243" s="28"/>
      <c r="AQ243" s="17"/>
      <c r="AR243" s="28"/>
      <c r="AS243" s="17">
        <f t="shared" si="134"/>
        <v>0</v>
      </c>
      <c r="AT243" s="28">
        <f t="shared" si="135"/>
        <v>0</v>
      </c>
      <c r="AU243" s="17">
        <f t="shared" si="136"/>
        <v>0</v>
      </c>
      <c r="AV243" s="28">
        <f t="shared" si="137"/>
        <v>0</v>
      </c>
      <c r="AW243" s="17">
        <f t="shared" si="124"/>
        <v>0</v>
      </c>
      <c r="AX243" s="28">
        <f t="shared" si="125"/>
        <v>0</v>
      </c>
      <c r="AY243" s="17">
        <f t="shared" si="126"/>
        <v>0</v>
      </c>
      <c r="AZ243" s="28">
        <f t="shared" si="127"/>
        <v>0</v>
      </c>
      <c r="BA243" s="27"/>
      <c r="BB243" s="27">
        <f t="shared" si="129"/>
        <v>0</v>
      </c>
      <c r="BC243" s="27">
        <f t="shared" si="131"/>
        <v>0</v>
      </c>
      <c r="BD243" s="27">
        <f t="shared" si="132"/>
        <v>0</v>
      </c>
      <c r="BE243" s="27">
        <f t="shared" si="133"/>
        <v>0</v>
      </c>
      <c r="BF243" s="29"/>
      <c r="BH243" s="30">
        <f t="shared" si="128"/>
        <v>0</v>
      </c>
    </row>
    <row r="244" spans="1:68" ht="14.45" customHeight="1" x14ac:dyDescent="0.25">
      <c r="A244" s="33" t="s">
        <v>271</v>
      </c>
      <c r="B244" s="23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13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>
        <v>7000</v>
      </c>
      <c r="AC244" s="25"/>
      <c r="AD244" s="25"/>
      <c r="AE244" s="40" t="s">
        <v>42</v>
      </c>
      <c r="AF244" s="27">
        <v>350</v>
      </c>
      <c r="AG244" s="17">
        <f t="shared" si="119"/>
        <v>0</v>
      </c>
      <c r="AH244" s="28">
        <f t="shared" si="120"/>
        <v>0</v>
      </c>
      <c r="AI244" s="17">
        <f t="shared" si="121"/>
        <v>0</v>
      </c>
      <c r="AJ244" s="28">
        <f t="shared" si="122"/>
        <v>0</v>
      </c>
      <c r="AK244" s="17">
        <f t="shared" si="130"/>
        <v>0</v>
      </c>
      <c r="AL244" s="28">
        <f t="shared" si="123"/>
        <v>0</v>
      </c>
      <c r="AM244" s="17">
        <f t="shared" si="138"/>
        <v>7000</v>
      </c>
      <c r="AN244" s="28">
        <f t="shared" si="154"/>
        <v>2450000</v>
      </c>
      <c r="AO244" s="17"/>
      <c r="AP244" s="28"/>
      <c r="AQ244" s="17"/>
      <c r="AR244" s="28"/>
      <c r="AS244" s="17">
        <f t="shared" si="134"/>
        <v>0</v>
      </c>
      <c r="AT244" s="28">
        <f t="shared" si="135"/>
        <v>0</v>
      </c>
      <c r="AU244" s="17">
        <f t="shared" si="136"/>
        <v>0</v>
      </c>
      <c r="AV244" s="28">
        <f t="shared" si="137"/>
        <v>0</v>
      </c>
      <c r="AW244" s="17">
        <f t="shared" si="124"/>
        <v>0</v>
      </c>
      <c r="AX244" s="28">
        <f t="shared" si="125"/>
        <v>0</v>
      </c>
      <c r="AY244" s="17">
        <f t="shared" si="126"/>
        <v>0</v>
      </c>
      <c r="AZ244" s="28">
        <f t="shared" si="127"/>
        <v>0</v>
      </c>
      <c r="BA244" s="27"/>
      <c r="BB244" s="27">
        <f t="shared" si="129"/>
        <v>2450000</v>
      </c>
      <c r="BC244" s="27">
        <f t="shared" si="131"/>
        <v>0</v>
      </c>
      <c r="BD244" s="27">
        <f t="shared" si="132"/>
        <v>0</v>
      </c>
      <c r="BE244" s="27">
        <f t="shared" si="133"/>
        <v>0</v>
      </c>
      <c r="BF244" s="29"/>
      <c r="BH244" s="30">
        <f t="shared" si="128"/>
        <v>7000</v>
      </c>
    </row>
    <row r="245" spans="1:68" ht="14.45" customHeight="1" x14ac:dyDescent="0.25">
      <c r="A245" s="33" t="s">
        <v>272</v>
      </c>
      <c r="B245" s="23"/>
      <c r="C245" s="24"/>
      <c r="D245" s="24">
        <v>36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13">
        <v>400</v>
      </c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5"/>
      <c r="AD245" s="39">
        <f>SUM(B245:AB245)</f>
        <v>436</v>
      </c>
      <c r="AE245" s="26" t="s">
        <v>42</v>
      </c>
      <c r="AF245" s="27">
        <v>1821</v>
      </c>
      <c r="AG245" s="17">
        <f t="shared" si="119"/>
        <v>0</v>
      </c>
      <c r="AH245" s="28">
        <f t="shared" si="120"/>
        <v>0</v>
      </c>
      <c r="AI245" s="17">
        <f t="shared" si="121"/>
        <v>0</v>
      </c>
      <c r="AJ245" s="28">
        <f t="shared" si="122"/>
        <v>0</v>
      </c>
      <c r="AK245" s="17">
        <f t="shared" si="130"/>
        <v>400</v>
      </c>
      <c r="AL245" s="28">
        <f t="shared" si="123"/>
        <v>728400</v>
      </c>
      <c r="AM245" s="17">
        <f t="shared" si="138"/>
        <v>0</v>
      </c>
      <c r="AN245" s="28">
        <f t="shared" si="154"/>
        <v>0</v>
      </c>
      <c r="AO245" s="17">
        <f t="shared" ref="AO245:AO271" si="155">+B245</f>
        <v>0</v>
      </c>
      <c r="AP245" s="28"/>
      <c r="AQ245" s="17">
        <f t="shared" ref="AQ245:AQ271" si="156">+P245</f>
        <v>0</v>
      </c>
      <c r="AR245" s="28"/>
      <c r="AS245" s="17">
        <f t="shared" si="134"/>
        <v>0</v>
      </c>
      <c r="AT245" s="28">
        <f t="shared" si="135"/>
        <v>0</v>
      </c>
      <c r="AU245" s="17">
        <f t="shared" si="136"/>
        <v>0</v>
      </c>
      <c r="AV245" s="28">
        <f t="shared" si="137"/>
        <v>0</v>
      </c>
      <c r="AW245" s="17">
        <f t="shared" si="124"/>
        <v>36</v>
      </c>
      <c r="AX245" s="28">
        <f t="shared" si="125"/>
        <v>65556</v>
      </c>
      <c r="AY245" s="17">
        <f t="shared" si="126"/>
        <v>0</v>
      </c>
      <c r="AZ245" s="28">
        <f t="shared" si="127"/>
        <v>0</v>
      </c>
      <c r="BA245" s="27">
        <f t="shared" si="139"/>
        <v>0</v>
      </c>
      <c r="BB245" s="27">
        <f t="shared" si="129"/>
        <v>728400</v>
      </c>
      <c r="BC245" s="27">
        <f t="shared" si="131"/>
        <v>0</v>
      </c>
      <c r="BD245" s="27">
        <f t="shared" si="132"/>
        <v>0</v>
      </c>
      <c r="BE245" s="27">
        <f t="shared" si="133"/>
        <v>65556</v>
      </c>
      <c r="BF245" s="29">
        <f t="shared" si="140"/>
        <v>728400</v>
      </c>
      <c r="BH245" s="30">
        <f t="shared" si="128"/>
        <v>400</v>
      </c>
    </row>
    <row r="246" spans="1:68" x14ac:dyDescent="0.25">
      <c r="A246" s="33" t="s">
        <v>273</v>
      </c>
      <c r="B246" s="23"/>
      <c r="C246" s="24"/>
      <c r="D246" s="24">
        <v>158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13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5"/>
      <c r="AD246" s="25">
        <f t="shared" ref="AD246:AD270" si="157">SUM(B246:S246)</f>
        <v>158</v>
      </c>
      <c r="AE246" s="26" t="s">
        <v>42</v>
      </c>
      <c r="AF246" s="27">
        <f>1.07*1014*1.3</f>
        <v>1410.4740000000002</v>
      </c>
      <c r="AG246" s="17">
        <f t="shared" si="119"/>
        <v>0</v>
      </c>
      <c r="AH246" s="28">
        <f t="shared" si="120"/>
        <v>0</v>
      </c>
      <c r="AI246" s="17">
        <f t="shared" si="121"/>
        <v>0</v>
      </c>
      <c r="AJ246" s="28">
        <f t="shared" si="122"/>
        <v>0</v>
      </c>
      <c r="AK246" s="17">
        <f t="shared" si="130"/>
        <v>0</v>
      </c>
      <c r="AL246" s="28">
        <f t="shared" si="123"/>
        <v>0</v>
      </c>
      <c r="AM246" s="17">
        <f t="shared" si="138"/>
        <v>0</v>
      </c>
      <c r="AN246" s="28">
        <f t="shared" si="154"/>
        <v>0</v>
      </c>
      <c r="AO246" s="17">
        <f t="shared" si="155"/>
        <v>0</v>
      </c>
      <c r="AP246" s="28">
        <f t="shared" ref="AP246:AP270" si="158">+AO246*AF246</f>
        <v>0</v>
      </c>
      <c r="AQ246" s="17">
        <f t="shared" si="156"/>
        <v>0</v>
      </c>
      <c r="AR246" s="28">
        <f t="shared" ref="AR246:AR270" si="159">+AQ246*AF246</f>
        <v>0</v>
      </c>
      <c r="AS246" s="17">
        <f t="shared" si="134"/>
        <v>0</v>
      </c>
      <c r="AT246" s="28">
        <f t="shared" si="135"/>
        <v>0</v>
      </c>
      <c r="AU246" s="17">
        <f t="shared" si="136"/>
        <v>0</v>
      </c>
      <c r="AV246" s="28">
        <f t="shared" si="137"/>
        <v>0</v>
      </c>
      <c r="AW246" s="17">
        <f t="shared" si="124"/>
        <v>158</v>
      </c>
      <c r="AX246" s="28">
        <f t="shared" si="125"/>
        <v>222854.89200000002</v>
      </c>
      <c r="AY246" s="17">
        <f t="shared" si="126"/>
        <v>0</v>
      </c>
      <c r="AZ246" s="28">
        <f t="shared" si="127"/>
        <v>0</v>
      </c>
      <c r="BA246" s="27">
        <f t="shared" si="139"/>
        <v>0</v>
      </c>
      <c r="BB246" s="27">
        <f t="shared" si="129"/>
        <v>0</v>
      </c>
      <c r="BC246" s="27">
        <f t="shared" si="131"/>
        <v>0</v>
      </c>
      <c r="BD246" s="27">
        <f t="shared" si="132"/>
        <v>0</v>
      </c>
      <c r="BE246" s="27">
        <f t="shared" si="133"/>
        <v>222854.89200000002</v>
      </c>
      <c r="BF246" s="29">
        <f t="shared" si="140"/>
        <v>0</v>
      </c>
      <c r="BH246" s="30">
        <f t="shared" si="128"/>
        <v>0</v>
      </c>
      <c r="BM246" s="2">
        <f t="shared" ref="BM246:BM270" si="160">SUM(B246:S246)</f>
        <v>158</v>
      </c>
      <c r="BP246" s="2">
        <f t="shared" ref="BP246:BP270" si="161">SUM(B246:S246)</f>
        <v>158</v>
      </c>
    </row>
    <row r="247" spans="1:68" x14ac:dyDescent="0.25">
      <c r="A247" s="33" t="s">
        <v>274</v>
      </c>
      <c r="B247" s="23"/>
      <c r="C247" s="24"/>
      <c r="D247" s="24">
        <v>300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13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5"/>
      <c r="AD247" s="25">
        <f t="shared" si="157"/>
        <v>300</v>
      </c>
      <c r="AE247" s="26" t="s">
        <v>42</v>
      </c>
      <c r="AF247" s="27">
        <f>1.07*1000*1.2</f>
        <v>1284</v>
      </c>
      <c r="AG247" s="17">
        <f t="shared" si="119"/>
        <v>0</v>
      </c>
      <c r="AH247" s="28">
        <f t="shared" si="120"/>
        <v>0</v>
      </c>
      <c r="AI247" s="17">
        <f t="shared" si="121"/>
        <v>0</v>
      </c>
      <c r="AJ247" s="28">
        <f t="shared" si="122"/>
        <v>0</v>
      </c>
      <c r="AK247" s="17">
        <f t="shared" si="130"/>
        <v>0</v>
      </c>
      <c r="AL247" s="28">
        <f t="shared" si="123"/>
        <v>0</v>
      </c>
      <c r="AM247" s="17">
        <f t="shared" si="138"/>
        <v>0</v>
      </c>
      <c r="AN247" s="28">
        <f t="shared" si="154"/>
        <v>0</v>
      </c>
      <c r="AO247" s="17">
        <f t="shared" si="155"/>
        <v>0</v>
      </c>
      <c r="AP247" s="28">
        <f t="shared" si="158"/>
        <v>0</v>
      </c>
      <c r="AQ247" s="17">
        <f t="shared" si="156"/>
        <v>0</v>
      </c>
      <c r="AR247" s="28">
        <f t="shared" si="159"/>
        <v>0</v>
      </c>
      <c r="AS247" s="17">
        <f t="shared" si="134"/>
        <v>0</v>
      </c>
      <c r="AT247" s="28">
        <f t="shared" si="135"/>
        <v>0</v>
      </c>
      <c r="AU247" s="17">
        <f t="shared" si="136"/>
        <v>0</v>
      </c>
      <c r="AV247" s="28">
        <f t="shared" si="137"/>
        <v>0</v>
      </c>
      <c r="AW247" s="17">
        <f t="shared" si="124"/>
        <v>300</v>
      </c>
      <c r="AX247" s="28">
        <f t="shared" si="125"/>
        <v>385200</v>
      </c>
      <c r="AY247" s="17">
        <f t="shared" si="126"/>
        <v>0</v>
      </c>
      <c r="AZ247" s="28">
        <f t="shared" si="127"/>
        <v>0</v>
      </c>
      <c r="BA247" s="27">
        <f t="shared" si="139"/>
        <v>0</v>
      </c>
      <c r="BB247" s="27">
        <f t="shared" si="129"/>
        <v>0</v>
      </c>
      <c r="BC247" s="27">
        <f t="shared" si="131"/>
        <v>0</v>
      </c>
      <c r="BD247" s="27">
        <f t="shared" si="132"/>
        <v>0</v>
      </c>
      <c r="BE247" s="27">
        <f t="shared" si="133"/>
        <v>385200</v>
      </c>
      <c r="BF247" s="29">
        <f t="shared" si="140"/>
        <v>0</v>
      </c>
      <c r="BH247" s="30">
        <f t="shared" si="128"/>
        <v>0</v>
      </c>
      <c r="BM247" s="2">
        <f t="shared" si="160"/>
        <v>300</v>
      </c>
      <c r="BP247" s="2">
        <f t="shared" si="161"/>
        <v>300</v>
      </c>
    </row>
    <row r="248" spans="1:68" ht="14.45" hidden="1" customHeight="1" x14ac:dyDescent="0.25">
      <c r="A248" s="33" t="s">
        <v>275</v>
      </c>
      <c r="B248" s="23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13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5"/>
      <c r="AD248" s="25">
        <f t="shared" si="157"/>
        <v>0</v>
      </c>
      <c r="AE248" s="26" t="s">
        <v>42</v>
      </c>
      <c r="AF248" s="27"/>
      <c r="AG248" s="17">
        <f t="shared" si="119"/>
        <v>0</v>
      </c>
      <c r="AH248" s="28">
        <f t="shared" si="120"/>
        <v>0</v>
      </c>
      <c r="AI248" s="17">
        <f t="shared" si="121"/>
        <v>0</v>
      </c>
      <c r="AJ248" s="28">
        <f t="shared" si="122"/>
        <v>0</v>
      </c>
      <c r="AK248" s="17">
        <f t="shared" si="130"/>
        <v>0</v>
      </c>
      <c r="AL248" s="28">
        <f t="shared" si="123"/>
        <v>0</v>
      </c>
      <c r="AM248" s="17">
        <f t="shared" si="138"/>
        <v>0</v>
      </c>
      <c r="AN248" s="28">
        <f t="shared" si="154"/>
        <v>0</v>
      </c>
      <c r="AO248" s="17">
        <f t="shared" si="155"/>
        <v>0</v>
      </c>
      <c r="AP248" s="28">
        <f t="shared" si="158"/>
        <v>0</v>
      </c>
      <c r="AQ248" s="17">
        <f t="shared" si="156"/>
        <v>0</v>
      </c>
      <c r="AR248" s="28">
        <f t="shared" si="159"/>
        <v>0</v>
      </c>
      <c r="AS248" s="17">
        <f t="shared" si="134"/>
        <v>0</v>
      </c>
      <c r="AT248" s="28">
        <f t="shared" si="135"/>
        <v>0</v>
      </c>
      <c r="AU248" s="17">
        <f t="shared" si="136"/>
        <v>0</v>
      </c>
      <c r="AV248" s="28">
        <f t="shared" si="137"/>
        <v>0</v>
      </c>
      <c r="AW248" s="17">
        <f t="shared" si="124"/>
        <v>0</v>
      </c>
      <c r="AX248" s="28">
        <f t="shared" si="125"/>
        <v>0</v>
      </c>
      <c r="AY248" s="17">
        <f t="shared" si="126"/>
        <v>0</v>
      </c>
      <c r="AZ248" s="28">
        <f t="shared" si="127"/>
        <v>0</v>
      </c>
      <c r="BA248" s="27">
        <f t="shared" si="139"/>
        <v>0</v>
      </c>
      <c r="BB248" s="27">
        <f t="shared" si="129"/>
        <v>0</v>
      </c>
      <c r="BC248" s="27">
        <f t="shared" si="131"/>
        <v>0</v>
      </c>
      <c r="BD248" s="27">
        <f t="shared" si="132"/>
        <v>0</v>
      </c>
      <c r="BE248" s="27">
        <f t="shared" si="133"/>
        <v>0</v>
      </c>
      <c r="BF248" s="29">
        <f t="shared" si="140"/>
        <v>0</v>
      </c>
      <c r="BH248" s="30">
        <f t="shared" si="128"/>
        <v>0</v>
      </c>
      <c r="BM248" s="2">
        <f t="shared" si="160"/>
        <v>0</v>
      </c>
      <c r="BP248" s="2">
        <f t="shared" si="161"/>
        <v>0</v>
      </c>
    </row>
    <row r="249" spans="1:68" ht="14.45" hidden="1" customHeight="1" x14ac:dyDescent="0.25">
      <c r="A249" s="33" t="s">
        <v>276</v>
      </c>
      <c r="B249" s="23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13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5"/>
      <c r="AD249" s="25">
        <f t="shared" si="157"/>
        <v>0</v>
      </c>
      <c r="AE249" s="26" t="s">
        <v>42</v>
      </c>
      <c r="AF249" s="27"/>
      <c r="AG249" s="17">
        <f t="shared" si="119"/>
        <v>0</v>
      </c>
      <c r="AH249" s="28">
        <f t="shared" si="120"/>
        <v>0</v>
      </c>
      <c r="AI249" s="17">
        <f t="shared" si="121"/>
        <v>0</v>
      </c>
      <c r="AJ249" s="28">
        <f t="shared" si="122"/>
        <v>0</v>
      </c>
      <c r="AK249" s="17">
        <f t="shared" si="130"/>
        <v>0</v>
      </c>
      <c r="AL249" s="28">
        <f t="shared" si="123"/>
        <v>0</v>
      </c>
      <c r="AM249" s="17">
        <f t="shared" si="138"/>
        <v>0</v>
      </c>
      <c r="AN249" s="28">
        <f t="shared" si="154"/>
        <v>0</v>
      </c>
      <c r="AO249" s="17">
        <f t="shared" si="155"/>
        <v>0</v>
      </c>
      <c r="AP249" s="28">
        <f t="shared" si="158"/>
        <v>0</v>
      </c>
      <c r="AQ249" s="17">
        <f t="shared" si="156"/>
        <v>0</v>
      </c>
      <c r="AR249" s="28">
        <f t="shared" si="159"/>
        <v>0</v>
      </c>
      <c r="AS249" s="17">
        <f t="shared" si="134"/>
        <v>0</v>
      </c>
      <c r="AT249" s="28">
        <f t="shared" si="135"/>
        <v>0</v>
      </c>
      <c r="AU249" s="17">
        <f t="shared" si="136"/>
        <v>0</v>
      </c>
      <c r="AV249" s="28">
        <f t="shared" si="137"/>
        <v>0</v>
      </c>
      <c r="AW249" s="17">
        <f t="shared" si="124"/>
        <v>0</v>
      </c>
      <c r="AX249" s="28">
        <f t="shared" si="125"/>
        <v>0</v>
      </c>
      <c r="AY249" s="17">
        <f t="shared" si="126"/>
        <v>0</v>
      </c>
      <c r="AZ249" s="28">
        <f t="shared" si="127"/>
        <v>0</v>
      </c>
      <c r="BA249" s="27">
        <f t="shared" si="139"/>
        <v>0</v>
      </c>
      <c r="BB249" s="27">
        <f t="shared" si="129"/>
        <v>0</v>
      </c>
      <c r="BC249" s="27">
        <f t="shared" si="131"/>
        <v>0</v>
      </c>
      <c r="BD249" s="27">
        <f t="shared" si="132"/>
        <v>0</v>
      </c>
      <c r="BE249" s="27">
        <f t="shared" si="133"/>
        <v>0</v>
      </c>
      <c r="BF249" s="29">
        <f t="shared" si="140"/>
        <v>0</v>
      </c>
      <c r="BH249" s="30">
        <f t="shared" si="128"/>
        <v>0</v>
      </c>
      <c r="BM249" s="2">
        <f t="shared" si="160"/>
        <v>0</v>
      </c>
      <c r="BP249" s="2">
        <f t="shared" si="161"/>
        <v>0</v>
      </c>
    </row>
    <row r="250" spans="1:68" ht="14.45" hidden="1" customHeight="1" x14ac:dyDescent="0.25">
      <c r="A250" s="33" t="s">
        <v>277</v>
      </c>
      <c r="B250" s="23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13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5"/>
      <c r="AD250" s="25">
        <f t="shared" si="157"/>
        <v>0</v>
      </c>
      <c r="AE250" s="26" t="s">
        <v>42</v>
      </c>
      <c r="AF250" s="27"/>
      <c r="AG250" s="17">
        <f t="shared" si="119"/>
        <v>0</v>
      </c>
      <c r="AH250" s="28">
        <f t="shared" si="120"/>
        <v>0</v>
      </c>
      <c r="AI250" s="17">
        <f t="shared" si="121"/>
        <v>0</v>
      </c>
      <c r="AJ250" s="28">
        <f t="shared" si="122"/>
        <v>0</v>
      </c>
      <c r="AK250" s="17">
        <f t="shared" si="130"/>
        <v>0</v>
      </c>
      <c r="AL250" s="28">
        <f t="shared" si="123"/>
        <v>0</v>
      </c>
      <c r="AM250" s="17">
        <f t="shared" si="138"/>
        <v>0</v>
      </c>
      <c r="AN250" s="28">
        <f t="shared" si="154"/>
        <v>0</v>
      </c>
      <c r="AO250" s="17">
        <f t="shared" si="155"/>
        <v>0</v>
      </c>
      <c r="AP250" s="28">
        <f t="shared" si="158"/>
        <v>0</v>
      </c>
      <c r="AQ250" s="17">
        <f t="shared" si="156"/>
        <v>0</v>
      </c>
      <c r="AR250" s="28">
        <f t="shared" si="159"/>
        <v>0</v>
      </c>
      <c r="AS250" s="17">
        <f t="shared" si="134"/>
        <v>0</v>
      </c>
      <c r="AT250" s="28">
        <f t="shared" si="135"/>
        <v>0</v>
      </c>
      <c r="AU250" s="17">
        <f t="shared" si="136"/>
        <v>0</v>
      </c>
      <c r="AV250" s="28">
        <f t="shared" si="137"/>
        <v>0</v>
      </c>
      <c r="AW250" s="17">
        <f t="shared" si="124"/>
        <v>0</v>
      </c>
      <c r="AX250" s="28">
        <f t="shared" si="125"/>
        <v>0</v>
      </c>
      <c r="AY250" s="17">
        <f t="shared" si="126"/>
        <v>0</v>
      </c>
      <c r="AZ250" s="28">
        <f t="shared" si="127"/>
        <v>0</v>
      </c>
      <c r="BA250" s="27">
        <f t="shared" si="139"/>
        <v>0</v>
      </c>
      <c r="BB250" s="27">
        <f t="shared" si="129"/>
        <v>0</v>
      </c>
      <c r="BC250" s="27">
        <f t="shared" si="131"/>
        <v>0</v>
      </c>
      <c r="BD250" s="27">
        <f t="shared" si="132"/>
        <v>0</v>
      </c>
      <c r="BE250" s="27">
        <f t="shared" si="133"/>
        <v>0</v>
      </c>
      <c r="BF250" s="29">
        <f t="shared" si="140"/>
        <v>0</v>
      </c>
      <c r="BH250" s="30">
        <f t="shared" si="128"/>
        <v>0</v>
      </c>
      <c r="BM250" s="2">
        <f t="shared" si="160"/>
        <v>0</v>
      </c>
      <c r="BP250" s="2">
        <f t="shared" si="161"/>
        <v>0</v>
      </c>
    </row>
    <row r="251" spans="1:68" ht="14.45" hidden="1" customHeight="1" x14ac:dyDescent="0.25">
      <c r="A251" s="33" t="s">
        <v>278</v>
      </c>
      <c r="B251" s="23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13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5"/>
      <c r="AD251" s="25">
        <f t="shared" si="157"/>
        <v>0</v>
      </c>
      <c r="AE251" s="26" t="s">
        <v>42</v>
      </c>
      <c r="AF251" s="27"/>
      <c r="AG251" s="17">
        <f t="shared" si="119"/>
        <v>0</v>
      </c>
      <c r="AH251" s="28">
        <f t="shared" si="120"/>
        <v>0</v>
      </c>
      <c r="AI251" s="17">
        <f t="shared" si="121"/>
        <v>0</v>
      </c>
      <c r="AJ251" s="28">
        <f t="shared" si="122"/>
        <v>0</v>
      </c>
      <c r="AK251" s="17">
        <f t="shared" si="130"/>
        <v>0</v>
      </c>
      <c r="AL251" s="28">
        <f t="shared" si="123"/>
        <v>0</v>
      </c>
      <c r="AM251" s="17">
        <f t="shared" si="138"/>
        <v>0</v>
      </c>
      <c r="AN251" s="28">
        <f t="shared" si="154"/>
        <v>0</v>
      </c>
      <c r="AO251" s="17">
        <f t="shared" si="155"/>
        <v>0</v>
      </c>
      <c r="AP251" s="28">
        <f t="shared" si="158"/>
        <v>0</v>
      </c>
      <c r="AQ251" s="17">
        <f t="shared" si="156"/>
        <v>0</v>
      </c>
      <c r="AR251" s="28">
        <f t="shared" si="159"/>
        <v>0</v>
      </c>
      <c r="AS251" s="17">
        <f t="shared" si="134"/>
        <v>0</v>
      </c>
      <c r="AT251" s="28">
        <f t="shared" si="135"/>
        <v>0</v>
      </c>
      <c r="AU251" s="17">
        <f t="shared" si="136"/>
        <v>0</v>
      </c>
      <c r="AV251" s="28">
        <f t="shared" si="137"/>
        <v>0</v>
      </c>
      <c r="AW251" s="17">
        <f t="shared" si="124"/>
        <v>0</v>
      </c>
      <c r="AX251" s="28">
        <f t="shared" si="125"/>
        <v>0</v>
      </c>
      <c r="AY251" s="17">
        <f t="shared" si="126"/>
        <v>0</v>
      </c>
      <c r="AZ251" s="28">
        <f t="shared" si="127"/>
        <v>0</v>
      </c>
      <c r="BA251" s="27">
        <f t="shared" si="139"/>
        <v>0</v>
      </c>
      <c r="BB251" s="27">
        <f t="shared" si="129"/>
        <v>0</v>
      </c>
      <c r="BC251" s="27">
        <f t="shared" si="131"/>
        <v>0</v>
      </c>
      <c r="BD251" s="27">
        <f t="shared" si="132"/>
        <v>0</v>
      </c>
      <c r="BE251" s="27">
        <f t="shared" si="133"/>
        <v>0</v>
      </c>
      <c r="BF251" s="29">
        <f t="shared" si="140"/>
        <v>0</v>
      </c>
      <c r="BH251" s="30">
        <f t="shared" si="128"/>
        <v>0</v>
      </c>
      <c r="BM251" s="2">
        <f t="shared" si="160"/>
        <v>0</v>
      </c>
      <c r="BP251" s="2">
        <f t="shared" si="161"/>
        <v>0</v>
      </c>
    </row>
    <row r="252" spans="1:68" ht="14.45" hidden="1" customHeight="1" x14ac:dyDescent="0.25">
      <c r="A252" s="33" t="s">
        <v>279</v>
      </c>
      <c r="B252" s="23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13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5"/>
      <c r="AD252" s="25">
        <f t="shared" si="157"/>
        <v>0</v>
      </c>
      <c r="AE252" s="26" t="s">
        <v>42</v>
      </c>
      <c r="AF252" s="27"/>
      <c r="AG252" s="17">
        <f t="shared" si="119"/>
        <v>0</v>
      </c>
      <c r="AH252" s="28">
        <f t="shared" si="120"/>
        <v>0</v>
      </c>
      <c r="AI252" s="17">
        <f t="shared" si="121"/>
        <v>0</v>
      </c>
      <c r="AJ252" s="28">
        <f t="shared" si="122"/>
        <v>0</v>
      </c>
      <c r="AK252" s="17">
        <f t="shared" si="130"/>
        <v>0</v>
      </c>
      <c r="AL252" s="28">
        <f t="shared" si="123"/>
        <v>0</v>
      </c>
      <c r="AM252" s="17">
        <f t="shared" si="138"/>
        <v>0</v>
      </c>
      <c r="AN252" s="28">
        <f t="shared" si="154"/>
        <v>0</v>
      </c>
      <c r="AO252" s="17">
        <f t="shared" si="155"/>
        <v>0</v>
      </c>
      <c r="AP252" s="28">
        <f t="shared" si="158"/>
        <v>0</v>
      </c>
      <c r="AQ252" s="17">
        <f t="shared" si="156"/>
        <v>0</v>
      </c>
      <c r="AR252" s="28">
        <f t="shared" si="159"/>
        <v>0</v>
      </c>
      <c r="AS252" s="17">
        <f t="shared" si="134"/>
        <v>0</v>
      </c>
      <c r="AT252" s="28">
        <f t="shared" si="135"/>
        <v>0</v>
      </c>
      <c r="AU252" s="17">
        <f t="shared" si="136"/>
        <v>0</v>
      </c>
      <c r="AV252" s="28">
        <f t="shared" si="137"/>
        <v>0</v>
      </c>
      <c r="AW252" s="17">
        <f t="shared" si="124"/>
        <v>0</v>
      </c>
      <c r="AX252" s="28">
        <f t="shared" si="125"/>
        <v>0</v>
      </c>
      <c r="AY252" s="17">
        <f t="shared" si="126"/>
        <v>0</v>
      </c>
      <c r="AZ252" s="28">
        <f t="shared" si="127"/>
        <v>0</v>
      </c>
      <c r="BA252" s="27">
        <f t="shared" si="139"/>
        <v>0</v>
      </c>
      <c r="BB252" s="27">
        <f t="shared" si="129"/>
        <v>0</v>
      </c>
      <c r="BC252" s="27">
        <f t="shared" si="131"/>
        <v>0</v>
      </c>
      <c r="BD252" s="27">
        <f t="shared" si="132"/>
        <v>0</v>
      </c>
      <c r="BE252" s="27">
        <f t="shared" si="133"/>
        <v>0</v>
      </c>
      <c r="BF252" s="29">
        <f t="shared" si="140"/>
        <v>0</v>
      </c>
      <c r="BH252" s="30">
        <f t="shared" si="128"/>
        <v>0</v>
      </c>
      <c r="BM252" s="2">
        <f t="shared" si="160"/>
        <v>0</v>
      </c>
      <c r="BP252" s="2">
        <f t="shared" si="161"/>
        <v>0</v>
      </c>
    </row>
    <row r="253" spans="1:68" ht="14.45" hidden="1" customHeight="1" x14ac:dyDescent="0.25">
      <c r="A253" s="33" t="s">
        <v>280</v>
      </c>
      <c r="B253" s="23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13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5"/>
      <c r="AD253" s="25">
        <f t="shared" si="157"/>
        <v>0</v>
      </c>
      <c r="AE253" s="26" t="s">
        <v>42</v>
      </c>
      <c r="AF253" s="27"/>
      <c r="AG253" s="17">
        <f t="shared" si="119"/>
        <v>0</v>
      </c>
      <c r="AH253" s="28">
        <f t="shared" si="120"/>
        <v>0</v>
      </c>
      <c r="AI253" s="17">
        <f t="shared" si="121"/>
        <v>0</v>
      </c>
      <c r="AJ253" s="28">
        <f t="shared" si="122"/>
        <v>0</v>
      </c>
      <c r="AK253" s="17">
        <f t="shared" si="130"/>
        <v>0</v>
      </c>
      <c r="AL253" s="28">
        <f t="shared" si="123"/>
        <v>0</v>
      </c>
      <c r="AM253" s="17">
        <f t="shared" si="138"/>
        <v>0</v>
      </c>
      <c r="AN253" s="28">
        <f t="shared" si="154"/>
        <v>0</v>
      </c>
      <c r="AO253" s="17">
        <f t="shared" si="155"/>
        <v>0</v>
      </c>
      <c r="AP253" s="28">
        <f t="shared" si="158"/>
        <v>0</v>
      </c>
      <c r="AQ253" s="17">
        <f t="shared" si="156"/>
        <v>0</v>
      </c>
      <c r="AR253" s="28">
        <f t="shared" si="159"/>
        <v>0</v>
      </c>
      <c r="AS253" s="17">
        <f t="shared" si="134"/>
        <v>0</v>
      </c>
      <c r="AT253" s="28">
        <f t="shared" si="135"/>
        <v>0</v>
      </c>
      <c r="AU253" s="17">
        <f t="shared" si="136"/>
        <v>0</v>
      </c>
      <c r="AV253" s="28">
        <f t="shared" si="137"/>
        <v>0</v>
      </c>
      <c r="AW253" s="17">
        <f t="shared" si="124"/>
        <v>0</v>
      </c>
      <c r="AX253" s="28">
        <f t="shared" si="125"/>
        <v>0</v>
      </c>
      <c r="AY253" s="17">
        <f t="shared" si="126"/>
        <v>0</v>
      </c>
      <c r="AZ253" s="28">
        <f t="shared" si="127"/>
        <v>0</v>
      </c>
      <c r="BA253" s="27">
        <f t="shared" si="139"/>
        <v>0</v>
      </c>
      <c r="BB253" s="27">
        <f t="shared" si="129"/>
        <v>0</v>
      </c>
      <c r="BC253" s="27">
        <f t="shared" si="131"/>
        <v>0</v>
      </c>
      <c r="BD253" s="27">
        <f t="shared" si="132"/>
        <v>0</v>
      </c>
      <c r="BE253" s="27">
        <f t="shared" si="133"/>
        <v>0</v>
      </c>
      <c r="BF253" s="29">
        <f t="shared" si="140"/>
        <v>0</v>
      </c>
      <c r="BH253" s="30">
        <f t="shared" si="128"/>
        <v>0</v>
      </c>
      <c r="BM253" s="2">
        <f t="shared" si="160"/>
        <v>0</v>
      </c>
      <c r="BP253" s="2">
        <f t="shared" si="161"/>
        <v>0</v>
      </c>
    </row>
    <row r="254" spans="1:68" ht="14.45" hidden="1" customHeight="1" x14ac:dyDescent="0.25">
      <c r="A254" s="33" t="s">
        <v>281</v>
      </c>
      <c r="B254" s="23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13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5"/>
      <c r="AD254" s="25">
        <f t="shared" si="157"/>
        <v>0</v>
      </c>
      <c r="AE254" s="26" t="s">
        <v>42</v>
      </c>
      <c r="AF254" s="27"/>
      <c r="AG254" s="17">
        <f t="shared" si="119"/>
        <v>0</v>
      </c>
      <c r="AH254" s="28">
        <f t="shared" si="120"/>
        <v>0</v>
      </c>
      <c r="AI254" s="17">
        <f t="shared" si="121"/>
        <v>0</v>
      </c>
      <c r="AJ254" s="28">
        <f t="shared" si="122"/>
        <v>0</v>
      </c>
      <c r="AK254" s="17">
        <f t="shared" si="130"/>
        <v>0</v>
      </c>
      <c r="AL254" s="28">
        <f t="shared" si="123"/>
        <v>0</v>
      </c>
      <c r="AM254" s="17">
        <f t="shared" si="138"/>
        <v>0</v>
      </c>
      <c r="AN254" s="28">
        <f t="shared" si="154"/>
        <v>0</v>
      </c>
      <c r="AO254" s="17">
        <f t="shared" si="155"/>
        <v>0</v>
      </c>
      <c r="AP254" s="28">
        <f t="shared" si="158"/>
        <v>0</v>
      </c>
      <c r="AQ254" s="17">
        <f t="shared" si="156"/>
        <v>0</v>
      </c>
      <c r="AR254" s="28">
        <f t="shared" si="159"/>
        <v>0</v>
      </c>
      <c r="AS254" s="17">
        <f t="shared" si="134"/>
        <v>0</v>
      </c>
      <c r="AT254" s="28">
        <f t="shared" si="135"/>
        <v>0</v>
      </c>
      <c r="AU254" s="17">
        <f t="shared" si="136"/>
        <v>0</v>
      </c>
      <c r="AV254" s="28">
        <f t="shared" si="137"/>
        <v>0</v>
      </c>
      <c r="AW254" s="17">
        <f t="shared" si="124"/>
        <v>0</v>
      </c>
      <c r="AX254" s="28">
        <f t="shared" si="125"/>
        <v>0</v>
      </c>
      <c r="AY254" s="17">
        <f t="shared" si="126"/>
        <v>0</v>
      </c>
      <c r="AZ254" s="28">
        <f t="shared" si="127"/>
        <v>0</v>
      </c>
      <c r="BA254" s="27">
        <f t="shared" si="139"/>
        <v>0</v>
      </c>
      <c r="BB254" s="27">
        <f t="shared" si="129"/>
        <v>0</v>
      </c>
      <c r="BC254" s="27">
        <f t="shared" si="131"/>
        <v>0</v>
      </c>
      <c r="BD254" s="27">
        <f t="shared" si="132"/>
        <v>0</v>
      </c>
      <c r="BE254" s="27">
        <f t="shared" si="133"/>
        <v>0</v>
      </c>
      <c r="BF254" s="29">
        <f t="shared" si="140"/>
        <v>0</v>
      </c>
      <c r="BH254" s="30">
        <f t="shared" si="128"/>
        <v>0</v>
      </c>
      <c r="BM254" s="2">
        <f t="shared" si="160"/>
        <v>0</v>
      </c>
      <c r="BP254" s="2">
        <f t="shared" si="161"/>
        <v>0</v>
      </c>
    </row>
    <row r="255" spans="1:68" ht="14.45" hidden="1" customHeight="1" x14ac:dyDescent="0.25">
      <c r="A255" s="33" t="s">
        <v>282</v>
      </c>
      <c r="B255" s="23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13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5"/>
      <c r="AD255" s="25">
        <f t="shared" si="157"/>
        <v>0</v>
      </c>
      <c r="AE255" s="26" t="s">
        <v>42</v>
      </c>
      <c r="AF255" s="27"/>
      <c r="AG255" s="17">
        <f t="shared" si="119"/>
        <v>0</v>
      </c>
      <c r="AH255" s="28">
        <f t="shared" si="120"/>
        <v>0</v>
      </c>
      <c r="AI255" s="17">
        <f t="shared" si="121"/>
        <v>0</v>
      </c>
      <c r="AJ255" s="28">
        <f t="shared" si="122"/>
        <v>0</v>
      </c>
      <c r="AK255" s="17">
        <f t="shared" si="130"/>
        <v>0</v>
      </c>
      <c r="AL255" s="28">
        <f t="shared" si="123"/>
        <v>0</v>
      </c>
      <c r="AM255" s="17">
        <f t="shared" si="138"/>
        <v>0</v>
      </c>
      <c r="AN255" s="28">
        <f t="shared" si="154"/>
        <v>0</v>
      </c>
      <c r="AO255" s="17">
        <f t="shared" si="155"/>
        <v>0</v>
      </c>
      <c r="AP255" s="28">
        <f t="shared" si="158"/>
        <v>0</v>
      </c>
      <c r="AQ255" s="17">
        <f t="shared" si="156"/>
        <v>0</v>
      </c>
      <c r="AR255" s="28">
        <f t="shared" si="159"/>
        <v>0</v>
      </c>
      <c r="AS255" s="17">
        <f t="shared" si="134"/>
        <v>0</v>
      </c>
      <c r="AT255" s="28">
        <f t="shared" si="135"/>
        <v>0</v>
      </c>
      <c r="AU255" s="17">
        <f t="shared" si="136"/>
        <v>0</v>
      </c>
      <c r="AV255" s="28">
        <f t="shared" si="137"/>
        <v>0</v>
      </c>
      <c r="AW255" s="17">
        <f t="shared" si="124"/>
        <v>0</v>
      </c>
      <c r="AX255" s="28">
        <f t="shared" si="125"/>
        <v>0</v>
      </c>
      <c r="AY255" s="17">
        <f t="shared" si="126"/>
        <v>0</v>
      </c>
      <c r="AZ255" s="28">
        <f t="shared" si="127"/>
        <v>0</v>
      </c>
      <c r="BA255" s="27">
        <f t="shared" si="139"/>
        <v>0</v>
      </c>
      <c r="BB255" s="27">
        <f t="shared" si="129"/>
        <v>0</v>
      </c>
      <c r="BC255" s="27">
        <f t="shared" si="131"/>
        <v>0</v>
      </c>
      <c r="BD255" s="27">
        <f t="shared" si="132"/>
        <v>0</v>
      </c>
      <c r="BE255" s="27">
        <f t="shared" si="133"/>
        <v>0</v>
      </c>
      <c r="BF255" s="29">
        <f t="shared" si="140"/>
        <v>0</v>
      </c>
      <c r="BH255" s="30">
        <f t="shared" si="128"/>
        <v>0</v>
      </c>
      <c r="BM255" s="2">
        <f t="shared" si="160"/>
        <v>0</v>
      </c>
      <c r="BP255" s="2">
        <f t="shared" si="161"/>
        <v>0</v>
      </c>
    </row>
    <row r="256" spans="1:68" ht="14.45" hidden="1" customHeight="1" x14ac:dyDescent="0.25">
      <c r="A256" s="33" t="s">
        <v>283</v>
      </c>
      <c r="B256" s="23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13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5"/>
      <c r="AD256" s="25">
        <f t="shared" si="157"/>
        <v>0</v>
      </c>
      <c r="AE256" s="26" t="s">
        <v>42</v>
      </c>
      <c r="AF256" s="27"/>
      <c r="AG256" s="17">
        <f t="shared" si="119"/>
        <v>0</v>
      </c>
      <c r="AH256" s="28">
        <f t="shared" si="120"/>
        <v>0</v>
      </c>
      <c r="AI256" s="17">
        <f t="shared" si="121"/>
        <v>0</v>
      </c>
      <c r="AJ256" s="28">
        <f t="shared" si="122"/>
        <v>0</v>
      </c>
      <c r="AK256" s="17">
        <f t="shared" si="130"/>
        <v>0</v>
      </c>
      <c r="AL256" s="28">
        <f t="shared" si="123"/>
        <v>0</v>
      </c>
      <c r="AM256" s="17">
        <f t="shared" si="138"/>
        <v>0</v>
      </c>
      <c r="AN256" s="28">
        <f t="shared" si="154"/>
        <v>0</v>
      </c>
      <c r="AO256" s="17">
        <f t="shared" si="155"/>
        <v>0</v>
      </c>
      <c r="AP256" s="28">
        <f t="shared" si="158"/>
        <v>0</v>
      </c>
      <c r="AQ256" s="17">
        <f t="shared" si="156"/>
        <v>0</v>
      </c>
      <c r="AR256" s="28">
        <f t="shared" si="159"/>
        <v>0</v>
      </c>
      <c r="AS256" s="17">
        <f t="shared" si="134"/>
        <v>0</v>
      </c>
      <c r="AT256" s="28">
        <f t="shared" si="135"/>
        <v>0</v>
      </c>
      <c r="AU256" s="17">
        <f t="shared" si="136"/>
        <v>0</v>
      </c>
      <c r="AV256" s="28">
        <f t="shared" si="137"/>
        <v>0</v>
      </c>
      <c r="AW256" s="17">
        <f t="shared" si="124"/>
        <v>0</v>
      </c>
      <c r="AX256" s="28">
        <f t="shared" si="125"/>
        <v>0</v>
      </c>
      <c r="AY256" s="17">
        <f t="shared" si="126"/>
        <v>0</v>
      </c>
      <c r="AZ256" s="28">
        <f t="shared" si="127"/>
        <v>0</v>
      </c>
      <c r="BA256" s="27">
        <f t="shared" si="139"/>
        <v>0</v>
      </c>
      <c r="BB256" s="27">
        <f t="shared" si="129"/>
        <v>0</v>
      </c>
      <c r="BC256" s="27">
        <f t="shared" si="131"/>
        <v>0</v>
      </c>
      <c r="BD256" s="27">
        <f t="shared" si="132"/>
        <v>0</v>
      </c>
      <c r="BE256" s="27">
        <f t="shared" si="133"/>
        <v>0</v>
      </c>
      <c r="BF256" s="29">
        <f t="shared" si="140"/>
        <v>0</v>
      </c>
      <c r="BH256" s="30">
        <f t="shared" si="128"/>
        <v>0</v>
      </c>
      <c r="BM256" s="2">
        <f t="shared" si="160"/>
        <v>0</v>
      </c>
      <c r="BP256" s="2">
        <f t="shared" si="161"/>
        <v>0</v>
      </c>
    </row>
    <row r="257" spans="1:68" ht="14.45" hidden="1" customHeight="1" x14ac:dyDescent="0.25">
      <c r="A257" s="33" t="s">
        <v>284</v>
      </c>
      <c r="B257" s="23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13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5"/>
      <c r="AD257" s="25">
        <f t="shared" si="157"/>
        <v>0</v>
      </c>
      <c r="AE257" s="26" t="s">
        <v>42</v>
      </c>
      <c r="AF257" s="27"/>
      <c r="AG257" s="17">
        <f t="shared" si="119"/>
        <v>0</v>
      </c>
      <c r="AH257" s="28">
        <f t="shared" si="120"/>
        <v>0</v>
      </c>
      <c r="AI257" s="17">
        <f t="shared" si="121"/>
        <v>0</v>
      </c>
      <c r="AJ257" s="28">
        <f t="shared" si="122"/>
        <v>0</v>
      </c>
      <c r="AK257" s="17">
        <f t="shared" si="130"/>
        <v>0</v>
      </c>
      <c r="AL257" s="28">
        <f t="shared" si="123"/>
        <v>0</v>
      </c>
      <c r="AM257" s="17">
        <f t="shared" si="138"/>
        <v>0</v>
      </c>
      <c r="AN257" s="28">
        <f t="shared" si="154"/>
        <v>0</v>
      </c>
      <c r="AO257" s="17">
        <f t="shared" si="155"/>
        <v>0</v>
      </c>
      <c r="AP257" s="28">
        <f t="shared" si="158"/>
        <v>0</v>
      </c>
      <c r="AQ257" s="17">
        <f t="shared" si="156"/>
        <v>0</v>
      </c>
      <c r="AR257" s="28">
        <f t="shared" si="159"/>
        <v>0</v>
      </c>
      <c r="AS257" s="17">
        <f t="shared" si="134"/>
        <v>0</v>
      </c>
      <c r="AT257" s="28">
        <f t="shared" si="135"/>
        <v>0</v>
      </c>
      <c r="AU257" s="17">
        <f t="shared" si="136"/>
        <v>0</v>
      </c>
      <c r="AV257" s="28">
        <f t="shared" si="137"/>
        <v>0</v>
      </c>
      <c r="AW257" s="17">
        <f t="shared" si="124"/>
        <v>0</v>
      </c>
      <c r="AX257" s="28">
        <f t="shared" si="125"/>
        <v>0</v>
      </c>
      <c r="AY257" s="17">
        <f t="shared" si="126"/>
        <v>0</v>
      </c>
      <c r="AZ257" s="28">
        <f t="shared" si="127"/>
        <v>0</v>
      </c>
      <c r="BA257" s="27">
        <f t="shared" si="139"/>
        <v>0</v>
      </c>
      <c r="BB257" s="27">
        <f t="shared" si="129"/>
        <v>0</v>
      </c>
      <c r="BC257" s="27">
        <f t="shared" si="131"/>
        <v>0</v>
      </c>
      <c r="BD257" s="27">
        <f t="shared" si="132"/>
        <v>0</v>
      </c>
      <c r="BE257" s="27">
        <f t="shared" si="133"/>
        <v>0</v>
      </c>
      <c r="BF257" s="29">
        <f t="shared" si="140"/>
        <v>0</v>
      </c>
      <c r="BH257" s="30">
        <f t="shared" si="128"/>
        <v>0</v>
      </c>
      <c r="BM257" s="2">
        <f t="shared" si="160"/>
        <v>0</v>
      </c>
      <c r="BP257" s="2">
        <f t="shared" si="161"/>
        <v>0</v>
      </c>
    </row>
    <row r="258" spans="1:68" ht="14.45" hidden="1" customHeight="1" x14ac:dyDescent="0.25">
      <c r="A258" s="33" t="s">
        <v>285</v>
      </c>
      <c r="B258" s="23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13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5"/>
      <c r="AD258" s="25">
        <f t="shared" si="157"/>
        <v>0</v>
      </c>
      <c r="AE258" s="26" t="s">
        <v>42</v>
      </c>
      <c r="AF258" s="27"/>
      <c r="AG258" s="17">
        <f t="shared" si="119"/>
        <v>0</v>
      </c>
      <c r="AH258" s="28">
        <f t="shared" si="120"/>
        <v>0</v>
      </c>
      <c r="AI258" s="17">
        <f t="shared" si="121"/>
        <v>0</v>
      </c>
      <c r="AJ258" s="28">
        <f t="shared" si="122"/>
        <v>0</v>
      </c>
      <c r="AK258" s="17">
        <f t="shared" si="130"/>
        <v>0</v>
      </c>
      <c r="AL258" s="28">
        <f t="shared" si="123"/>
        <v>0</v>
      </c>
      <c r="AM258" s="17">
        <f t="shared" si="138"/>
        <v>0</v>
      </c>
      <c r="AN258" s="28">
        <f t="shared" si="154"/>
        <v>0</v>
      </c>
      <c r="AO258" s="17">
        <f t="shared" si="155"/>
        <v>0</v>
      </c>
      <c r="AP258" s="28">
        <f t="shared" si="158"/>
        <v>0</v>
      </c>
      <c r="AQ258" s="17">
        <f t="shared" si="156"/>
        <v>0</v>
      </c>
      <c r="AR258" s="28">
        <f t="shared" si="159"/>
        <v>0</v>
      </c>
      <c r="AS258" s="17">
        <f t="shared" si="134"/>
        <v>0</v>
      </c>
      <c r="AT258" s="28">
        <f t="shared" si="135"/>
        <v>0</v>
      </c>
      <c r="AU258" s="17">
        <f t="shared" si="136"/>
        <v>0</v>
      </c>
      <c r="AV258" s="28">
        <f t="shared" si="137"/>
        <v>0</v>
      </c>
      <c r="AW258" s="17">
        <f t="shared" si="124"/>
        <v>0</v>
      </c>
      <c r="AX258" s="28">
        <f t="shared" si="125"/>
        <v>0</v>
      </c>
      <c r="AY258" s="17">
        <f t="shared" si="126"/>
        <v>0</v>
      </c>
      <c r="AZ258" s="28">
        <f t="shared" si="127"/>
        <v>0</v>
      </c>
      <c r="BA258" s="27">
        <f t="shared" si="139"/>
        <v>0</v>
      </c>
      <c r="BB258" s="27">
        <f t="shared" si="129"/>
        <v>0</v>
      </c>
      <c r="BC258" s="27">
        <f t="shared" si="131"/>
        <v>0</v>
      </c>
      <c r="BD258" s="27">
        <f t="shared" si="132"/>
        <v>0</v>
      </c>
      <c r="BE258" s="27">
        <f t="shared" si="133"/>
        <v>0</v>
      </c>
      <c r="BF258" s="29">
        <f t="shared" si="140"/>
        <v>0</v>
      </c>
      <c r="BH258" s="30">
        <f t="shared" si="128"/>
        <v>0</v>
      </c>
      <c r="BM258" s="2">
        <f t="shared" si="160"/>
        <v>0</v>
      </c>
      <c r="BP258" s="2">
        <f t="shared" si="161"/>
        <v>0</v>
      </c>
    </row>
    <row r="259" spans="1:68" ht="14.45" hidden="1" customHeight="1" x14ac:dyDescent="0.25">
      <c r="A259" s="33" t="s">
        <v>286</v>
      </c>
      <c r="B259" s="23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13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5"/>
      <c r="AD259" s="25">
        <f t="shared" si="157"/>
        <v>0</v>
      </c>
      <c r="AE259" s="26" t="s">
        <v>42</v>
      </c>
      <c r="AF259" s="27"/>
      <c r="AG259" s="17">
        <f t="shared" si="119"/>
        <v>0</v>
      </c>
      <c r="AH259" s="28">
        <f t="shared" si="120"/>
        <v>0</v>
      </c>
      <c r="AI259" s="17">
        <f t="shared" si="121"/>
        <v>0</v>
      </c>
      <c r="AJ259" s="28">
        <f t="shared" si="122"/>
        <v>0</v>
      </c>
      <c r="AK259" s="17">
        <f t="shared" si="130"/>
        <v>0</v>
      </c>
      <c r="AL259" s="28">
        <f t="shared" si="123"/>
        <v>0</v>
      </c>
      <c r="AM259" s="17">
        <f t="shared" si="138"/>
        <v>0</v>
      </c>
      <c r="AN259" s="28">
        <f t="shared" si="154"/>
        <v>0</v>
      </c>
      <c r="AO259" s="17">
        <f t="shared" si="155"/>
        <v>0</v>
      </c>
      <c r="AP259" s="28">
        <f t="shared" si="158"/>
        <v>0</v>
      </c>
      <c r="AQ259" s="17">
        <f t="shared" si="156"/>
        <v>0</v>
      </c>
      <c r="AR259" s="28">
        <f t="shared" si="159"/>
        <v>0</v>
      </c>
      <c r="AS259" s="17">
        <f t="shared" si="134"/>
        <v>0</v>
      </c>
      <c r="AT259" s="28">
        <f t="shared" si="135"/>
        <v>0</v>
      </c>
      <c r="AU259" s="17">
        <f t="shared" si="136"/>
        <v>0</v>
      </c>
      <c r="AV259" s="28">
        <f t="shared" si="137"/>
        <v>0</v>
      </c>
      <c r="AW259" s="17">
        <f t="shared" si="124"/>
        <v>0</v>
      </c>
      <c r="AX259" s="28">
        <f t="shared" si="125"/>
        <v>0</v>
      </c>
      <c r="AY259" s="17">
        <f t="shared" si="126"/>
        <v>0</v>
      </c>
      <c r="AZ259" s="28">
        <f t="shared" si="127"/>
        <v>0</v>
      </c>
      <c r="BA259" s="27">
        <f t="shared" si="139"/>
        <v>0</v>
      </c>
      <c r="BB259" s="27">
        <f t="shared" si="129"/>
        <v>0</v>
      </c>
      <c r="BC259" s="27">
        <f t="shared" si="131"/>
        <v>0</v>
      </c>
      <c r="BD259" s="27">
        <f t="shared" si="132"/>
        <v>0</v>
      </c>
      <c r="BE259" s="27">
        <f t="shared" si="133"/>
        <v>0</v>
      </c>
      <c r="BF259" s="29">
        <f t="shared" si="140"/>
        <v>0</v>
      </c>
      <c r="BH259" s="30">
        <f t="shared" si="128"/>
        <v>0</v>
      </c>
      <c r="BM259" s="2">
        <f t="shared" si="160"/>
        <v>0</v>
      </c>
      <c r="BP259" s="2">
        <f t="shared" si="161"/>
        <v>0</v>
      </c>
    </row>
    <row r="260" spans="1:68" ht="14.45" hidden="1" customHeight="1" x14ac:dyDescent="0.25">
      <c r="A260" s="38" t="s">
        <v>287</v>
      </c>
      <c r="B260" s="23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13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5"/>
      <c r="AD260" s="25">
        <f t="shared" si="157"/>
        <v>0</v>
      </c>
      <c r="AE260" s="26" t="s">
        <v>42</v>
      </c>
      <c r="AF260" s="27"/>
      <c r="AG260" s="17">
        <f t="shared" si="119"/>
        <v>0</v>
      </c>
      <c r="AH260" s="28">
        <f t="shared" si="120"/>
        <v>0</v>
      </c>
      <c r="AI260" s="17">
        <f t="shared" si="121"/>
        <v>0</v>
      </c>
      <c r="AJ260" s="28">
        <f t="shared" si="122"/>
        <v>0</v>
      </c>
      <c r="AK260" s="17">
        <f t="shared" si="130"/>
        <v>0</v>
      </c>
      <c r="AL260" s="28">
        <f t="shared" si="123"/>
        <v>0</v>
      </c>
      <c r="AM260" s="17">
        <f t="shared" si="138"/>
        <v>0</v>
      </c>
      <c r="AN260" s="28">
        <f t="shared" si="154"/>
        <v>0</v>
      </c>
      <c r="AO260" s="17">
        <f t="shared" si="155"/>
        <v>0</v>
      </c>
      <c r="AP260" s="28">
        <f t="shared" si="158"/>
        <v>0</v>
      </c>
      <c r="AQ260" s="17">
        <f t="shared" si="156"/>
        <v>0</v>
      </c>
      <c r="AR260" s="28">
        <f t="shared" si="159"/>
        <v>0</v>
      </c>
      <c r="AS260" s="17">
        <f t="shared" si="134"/>
        <v>0</v>
      </c>
      <c r="AT260" s="28">
        <f t="shared" si="135"/>
        <v>0</v>
      </c>
      <c r="AU260" s="17">
        <f t="shared" si="136"/>
        <v>0</v>
      </c>
      <c r="AV260" s="28">
        <f t="shared" si="137"/>
        <v>0</v>
      </c>
      <c r="AW260" s="17">
        <f t="shared" si="124"/>
        <v>0</v>
      </c>
      <c r="AX260" s="28">
        <f t="shared" si="125"/>
        <v>0</v>
      </c>
      <c r="AY260" s="17">
        <f t="shared" si="126"/>
        <v>0</v>
      </c>
      <c r="AZ260" s="28">
        <f t="shared" si="127"/>
        <v>0</v>
      </c>
      <c r="BA260" s="27">
        <f t="shared" si="139"/>
        <v>0</v>
      </c>
      <c r="BB260" s="27">
        <f t="shared" si="129"/>
        <v>0</v>
      </c>
      <c r="BC260" s="27">
        <f t="shared" si="131"/>
        <v>0</v>
      </c>
      <c r="BD260" s="27">
        <f t="shared" si="132"/>
        <v>0</v>
      </c>
      <c r="BE260" s="27">
        <f t="shared" si="133"/>
        <v>0</v>
      </c>
      <c r="BF260" s="29">
        <f t="shared" si="140"/>
        <v>0</v>
      </c>
      <c r="BH260" s="30">
        <f t="shared" si="128"/>
        <v>0</v>
      </c>
      <c r="BM260" s="2">
        <f t="shared" si="160"/>
        <v>0</v>
      </c>
      <c r="BP260" s="2">
        <f t="shared" si="161"/>
        <v>0</v>
      </c>
    </row>
    <row r="261" spans="1:68" ht="14.45" hidden="1" customHeight="1" x14ac:dyDescent="0.25">
      <c r="A261" s="38" t="s">
        <v>288</v>
      </c>
      <c r="B261" s="23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13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5"/>
      <c r="AD261" s="25">
        <f t="shared" si="157"/>
        <v>0</v>
      </c>
      <c r="AE261" s="26" t="s">
        <v>42</v>
      </c>
      <c r="AF261" s="27"/>
      <c r="AG261" s="17">
        <f t="shared" si="119"/>
        <v>0</v>
      </c>
      <c r="AH261" s="28">
        <f t="shared" si="120"/>
        <v>0</v>
      </c>
      <c r="AI261" s="17">
        <f t="shared" si="121"/>
        <v>0</v>
      </c>
      <c r="AJ261" s="28">
        <f t="shared" si="122"/>
        <v>0</v>
      </c>
      <c r="AK261" s="17">
        <f t="shared" si="130"/>
        <v>0</v>
      </c>
      <c r="AL261" s="28">
        <f t="shared" si="123"/>
        <v>0</v>
      </c>
      <c r="AM261" s="17">
        <f t="shared" si="138"/>
        <v>0</v>
      </c>
      <c r="AN261" s="28">
        <f t="shared" si="154"/>
        <v>0</v>
      </c>
      <c r="AO261" s="17">
        <f t="shared" si="155"/>
        <v>0</v>
      </c>
      <c r="AP261" s="28">
        <f t="shared" si="158"/>
        <v>0</v>
      </c>
      <c r="AQ261" s="17">
        <f t="shared" si="156"/>
        <v>0</v>
      </c>
      <c r="AR261" s="28">
        <f t="shared" si="159"/>
        <v>0</v>
      </c>
      <c r="AS261" s="17">
        <f t="shared" si="134"/>
        <v>0</v>
      </c>
      <c r="AT261" s="28">
        <f t="shared" si="135"/>
        <v>0</v>
      </c>
      <c r="AU261" s="17">
        <f t="shared" si="136"/>
        <v>0</v>
      </c>
      <c r="AV261" s="28">
        <f t="shared" si="137"/>
        <v>0</v>
      </c>
      <c r="AW261" s="17">
        <f t="shared" si="124"/>
        <v>0</v>
      </c>
      <c r="AX261" s="28">
        <f t="shared" si="125"/>
        <v>0</v>
      </c>
      <c r="AY261" s="17">
        <f t="shared" si="126"/>
        <v>0</v>
      </c>
      <c r="AZ261" s="28">
        <f t="shared" si="127"/>
        <v>0</v>
      </c>
      <c r="BA261" s="27">
        <f t="shared" si="139"/>
        <v>0</v>
      </c>
      <c r="BB261" s="27">
        <f t="shared" si="129"/>
        <v>0</v>
      </c>
      <c r="BC261" s="27">
        <f t="shared" si="131"/>
        <v>0</v>
      </c>
      <c r="BD261" s="27">
        <f t="shared" si="132"/>
        <v>0</v>
      </c>
      <c r="BE261" s="27">
        <f t="shared" si="133"/>
        <v>0</v>
      </c>
      <c r="BF261" s="29">
        <f t="shared" si="140"/>
        <v>0</v>
      </c>
      <c r="BH261" s="30">
        <f t="shared" si="128"/>
        <v>0</v>
      </c>
      <c r="BM261" s="2">
        <f t="shared" si="160"/>
        <v>0</v>
      </c>
      <c r="BP261" s="2">
        <f t="shared" si="161"/>
        <v>0</v>
      </c>
    </row>
    <row r="262" spans="1:68" ht="14.45" hidden="1" customHeight="1" x14ac:dyDescent="0.25">
      <c r="A262" s="38" t="s">
        <v>289</v>
      </c>
      <c r="B262" s="23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13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5"/>
      <c r="AD262" s="25">
        <f t="shared" si="157"/>
        <v>0</v>
      </c>
      <c r="AE262" s="26" t="s">
        <v>42</v>
      </c>
      <c r="AF262" s="27"/>
      <c r="AG262" s="17">
        <f t="shared" si="119"/>
        <v>0</v>
      </c>
      <c r="AH262" s="28">
        <f t="shared" si="120"/>
        <v>0</v>
      </c>
      <c r="AI262" s="17">
        <f t="shared" si="121"/>
        <v>0</v>
      </c>
      <c r="AJ262" s="28">
        <f t="shared" si="122"/>
        <v>0</v>
      </c>
      <c r="AK262" s="17">
        <f t="shared" si="130"/>
        <v>0</v>
      </c>
      <c r="AL262" s="28">
        <f t="shared" si="123"/>
        <v>0</v>
      </c>
      <c r="AM262" s="17">
        <f t="shared" si="138"/>
        <v>0</v>
      </c>
      <c r="AN262" s="28">
        <f t="shared" si="154"/>
        <v>0</v>
      </c>
      <c r="AO262" s="17">
        <f t="shared" si="155"/>
        <v>0</v>
      </c>
      <c r="AP262" s="28">
        <f t="shared" si="158"/>
        <v>0</v>
      </c>
      <c r="AQ262" s="17">
        <f t="shared" si="156"/>
        <v>0</v>
      </c>
      <c r="AR262" s="28">
        <f t="shared" si="159"/>
        <v>0</v>
      </c>
      <c r="AS262" s="17">
        <f t="shared" si="134"/>
        <v>0</v>
      </c>
      <c r="AT262" s="28">
        <f t="shared" si="135"/>
        <v>0</v>
      </c>
      <c r="AU262" s="17">
        <f t="shared" si="136"/>
        <v>0</v>
      </c>
      <c r="AV262" s="28">
        <f t="shared" si="137"/>
        <v>0</v>
      </c>
      <c r="AW262" s="17">
        <f t="shared" si="124"/>
        <v>0</v>
      </c>
      <c r="AX262" s="28">
        <f t="shared" si="125"/>
        <v>0</v>
      </c>
      <c r="AY262" s="17">
        <f t="shared" si="126"/>
        <v>0</v>
      </c>
      <c r="AZ262" s="28">
        <f t="shared" si="127"/>
        <v>0</v>
      </c>
      <c r="BA262" s="27">
        <f t="shared" si="139"/>
        <v>0</v>
      </c>
      <c r="BB262" s="27">
        <f t="shared" si="129"/>
        <v>0</v>
      </c>
      <c r="BC262" s="27">
        <f t="shared" si="131"/>
        <v>0</v>
      </c>
      <c r="BD262" s="27">
        <f t="shared" si="132"/>
        <v>0</v>
      </c>
      <c r="BE262" s="27">
        <f t="shared" si="133"/>
        <v>0</v>
      </c>
      <c r="BF262" s="29">
        <f t="shared" si="140"/>
        <v>0</v>
      </c>
      <c r="BH262" s="30">
        <f t="shared" si="128"/>
        <v>0</v>
      </c>
      <c r="BM262" s="2">
        <f t="shared" si="160"/>
        <v>0</v>
      </c>
      <c r="BP262" s="2">
        <f t="shared" si="161"/>
        <v>0</v>
      </c>
    </row>
    <row r="263" spans="1:68" ht="14.45" hidden="1" customHeight="1" x14ac:dyDescent="0.25">
      <c r="A263" s="38" t="s">
        <v>290</v>
      </c>
      <c r="B263" s="23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13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5"/>
      <c r="AD263" s="25">
        <f t="shared" si="157"/>
        <v>0</v>
      </c>
      <c r="AE263" s="26" t="s">
        <v>42</v>
      </c>
      <c r="AF263" s="27"/>
      <c r="AG263" s="17">
        <f t="shared" si="119"/>
        <v>0</v>
      </c>
      <c r="AH263" s="28">
        <f t="shared" si="120"/>
        <v>0</v>
      </c>
      <c r="AI263" s="17">
        <f t="shared" si="121"/>
        <v>0</v>
      </c>
      <c r="AJ263" s="28">
        <f t="shared" si="122"/>
        <v>0</v>
      </c>
      <c r="AK263" s="17">
        <f t="shared" si="130"/>
        <v>0</v>
      </c>
      <c r="AL263" s="28">
        <f t="shared" si="123"/>
        <v>0</v>
      </c>
      <c r="AM263" s="17">
        <f t="shared" si="138"/>
        <v>0</v>
      </c>
      <c r="AN263" s="28">
        <f t="shared" si="154"/>
        <v>0</v>
      </c>
      <c r="AO263" s="17">
        <f t="shared" si="155"/>
        <v>0</v>
      </c>
      <c r="AP263" s="28">
        <f t="shared" si="158"/>
        <v>0</v>
      </c>
      <c r="AQ263" s="17">
        <f t="shared" si="156"/>
        <v>0</v>
      </c>
      <c r="AR263" s="28">
        <f t="shared" si="159"/>
        <v>0</v>
      </c>
      <c r="AS263" s="17">
        <f t="shared" si="134"/>
        <v>0</v>
      </c>
      <c r="AT263" s="28">
        <f t="shared" si="135"/>
        <v>0</v>
      </c>
      <c r="AU263" s="17">
        <f t="shared" si="136"/>
        <v>0</v>
      </c>
      <c r="AV263" s="28">
        <f t="shared" si="137"/>
        <v>0</v>
      </c>
      <c r="AW263" s="17">
        <f t="shared" si="124"/>
        <v>0</v>
      </c>
      <c r="AX263" s="28">
        <f t="shared" si="125"/>
        <v>0</v>
      </c>
      <c r="AY263" s="17">
        <f t="shared" si="126"/>
        <v>0</v>
      </c>
      <c r="AZ263" s="28">
        <f t="shared" si="127"/>
        <v>0</v>
      </c>
      <c r="BA263" s="27">
        <f t="shared" si="139"/>
        <v>0</v>
      </c>
      <c r="BB263" s="27">
        <f t="shared" si="129"/>
        <v>0</v>
      </c>
      <c r="BC263" s="27">
        <f t="shared" si="131"/>
        <v>0</v>
      </c>
      <c r="BD263" s="27">
        <f t="shared" si="132"/>
        <v>0</v>
      </c>
      <c r="BE263" s="27">
        <f t="shared" si="133"/>
        <v>0</v>
      </c>
      <c r="BF263" s="29">
        <f t="shared" si="140"/>
        <v>0</v>
      </c>
      <c r="BH263" s="30">
        <f t="shared" si="128"/>
        <v>0</v>
      </c>
      <c r="BM263" s="2">
        <f t="shared" si="160"/>
        <v>0</v>
      </c>
      <c r="BP263" s="2">
        <f t="shared" si="161"/>
        <v>0</v>
      </c>
    </row>
    <row r="264" spans="1:68" ht="14.45" hidden="1" customHeight="1" x14ac:dyDescent="0.25">
      <c r="A264" s="38" t="s">
        <v>291</v>
      </c>
      <c r="B264" s="23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13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5"/>
      <c r="AD264" s="25">
        <f t="shared" si="157"/>
        <v>0</v>
      </c>
      <c r="AE264" s="26" t="s">
        <v>42</v>
      </c>
      <c r="AF264" s="27"/>
      <c r="AG264" s="17">
        <f t="shared" ref="AG264:AG327" si="162">SUM(F264:L264)-G264</f>
        <v>0</v>
      </c>
      <c r="AH264" s="28">
        <f t="shared" ref="AH264:AH327" si="163">+AG264*AF264</f>
        <v>0</v>
      </c>
      <c r="AI264" s="17">
        <f t="shared" ref="AI264:AI327" si="164">SUM(T264:Y264)-U264</f>
        <v>0</v>
      </c>
      <c r="AJ264" s="28">
        <f t="shared" ref="AJ264:AJ327" si="165">+AI264*AF264</f>
        <v>0</v>
      </c>
      <c r="AK264" s="17">
        <f t="shared" si="130"/>
        <v>0</v>
      </c>
      <c r="AL264" s="28">
        <f t="shared" ref="AL264:AL327" si="166">+AK264*AF264</f>
        <v>0</v>
      </c>
      <c r="AM264" s="17">
        <f t="shared" si="138"/>
        <v>0</v>
      </c>
      <c r="AN264" s="28">
        <f t="shared" si="154"/>
        <v>0</v>
      </c>
      <c r="AO264" s="17">
        <f t="shared" si="155"/>
        <v>0</v>
      </c>
      <c r="AP264" s="28">
        <f t="shared" si="158"/>
        <v>0</v>
      </c>
      <c r="AQ264" s="17">
        <f t="shared" si="156"/>
        <v>0</v>
      </c>
      <c r="AR264" s="28">
        <f t="shared" si="159"/>
        <v>0</v>
      </c>
      <c r="AS264" s="17">
        <f t="shared" si="134"/>
        <v>0</v>
      </c>
      <c r="AT264" s="28">
        <f t="shared" si="135"/>
        <v>0</v>
      </c>
      <c r="AU264" s="17">
        <f t="shared" si="136"/>
        <v>0</v>
      </c>
      <c r="AV264" s="28">
        <f t="shared" si="137"/>
        <v>0</v>
      </c>
      <c r="AW264" s="17">
        <f t="shared" ref="AW264:AW327" si="167">+D264</f>
        <v>0</v>
      </c>
      <c r="AX264" s="28">
        <f t="shared" ref="AX264:AX327" si="168">+AW264*AF264</f>
        <v>0</v>
      </c>
      <c r="AY264" s="17">
        <f t="shared" ref="AY264:AY327" si="169">+R264</f>
        <v>0</v>
      </c>
      <c r="AZ264" s="28">
        <f t="shared" ref="AZ264:AZ327" si="170">+AY264*AF264</f>
        <v>0</v>
      </c>
      <c r="BA264" s="27">
        <f t="shared" si="139"/>
        <v>0</v>
      </c>
      <c r="BB264" s="27">
        <f t="shared" si="129"/>
        <v>0</v>
      </c>
      <c r="BC264" s="27">
        <f t="shared" si="131"/>
        <v>0</v>
      </c>
      <c r="BD264" s="27">
        <f t="shared" si="132"/>
        <v>0</v>
      </c>
      <c r="BE264" s="27">
        <f t="shared" si="133"/>
        <v>0</v>
      </c>
      <c r="BF264" s="29">
        <f t="shared" si="140"/>
        <v>0</v>
      </c>
      <c r="BH264" s="30">
        <f t="shared" ref="BH264:BH327" si="171">+B264+C264+E264+G264+M264+N264+O264+(P264+Q264+S264+U264+Z264+AA264+AB264)</f>
        <v>0</v>
      </c>
      <c r="BM264" s="2">
        <f t="shared" si="160"/>
        <v>0</v>
      </c>
      <c r="BP264" s="2">
        <f t="shared" si="161"/>
        <v>0</v>
      </c>
    </row>
    <row r="265" spans="1:68" ht="14.45" hidden="1" customHeight="1" x14ac:dyDescent="0.25">
      <c r="A265" s="33" t="s">
        <v>292</v>
      </c>
      <c r="B265" s="23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13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5"/>
      <c r="AD265" s="25">
        <f t="shared" si="157"/>
        <v>0</v>
      </c>
      <c r="AE265" s="26" t="s">
        <v>42</v>
      </c>
      <c r="AF265" s="27"/>
      <c r="AG265" s="17">
        <f t="shared" si="162"/>
        <v>0</v>
      </c>
      <c r="AH265" s="28">
        <f t="shared" si="163"/>
        <v>0</v>
      </c>
      <c r="AI265" s="17">
        <f t="shared" si="164"/>
        <v>0</v>
      </c>
      <c r="AJ265" s="28">
        <f t="shared" si="165"/>
        <v>0</v>
      </c>
      <c r="AK265" s="17">
        <f t="shared" si="130"/>
        <v>0</v>
      </c>
      <c r="AL265" s="28">
        <f t="shared" si="166"/>
        <v>0</v>
      </c>
      <c r="AM265" s="17">
        <f t="shared" si="138"/>
        <v>0</v>
      </c>
      <c r="AN265" s="28">
        <f t="shared" si="154"/>
        <v>0</v>
      </c>
      <c r="AO265" s="17">
        <f t="shared" si="155"/>
        <v>0</v>
      </c>
      <c r="AP265" s="28">
        <f t="shared" si="158"/>
        <v>0</v>
      </c>
      <c r="AQ265" s="17">
        <f t="shared" si="156"/>
        <v>0</v>
      </c>
      <c r="AR265" s="28">
        <f t="shared" si="159"/>
        <v>0</v>
      </c>
      <c r="AS265" s="17">
        <f t="shared" si="134"/>
        <v>0</v>
      </c>
      <c r="AT265" s="28">
        <f t="shared" si="135"/>
        <v>0</v>
      </c>
      <c r="AU265" s="17">
        <f t="shared" si="136"/>
        <v>0</v>
      </c>
      <c r="AV265" s="28">
        <f t="shared" si="137"/>
        <v>0</v>
      </c>
      <c r="AW265" s="17">
        <f t="shared" si="167"/>
        <v>0</v>
      </c>
      <c r="AX265" s="28">
        <f t="shared" si="168"/>
        <v>0</v>
      </c>
      <c r="AY265" s="17">
        <f t="shared" si="169"/>
        <v>0</v>
      </c>
      <c r="AZ265" s="28">
        <f t="shared" si="170"/>
        <v>0</v>
      </c>
      <c r="BA265" s="27">
        <f t="shared" si="139"/>
        <v>0</v>
      </c>
      <c r="BB265" s="27">
        <f t="shared" ref="BB265:BB328" si="172">+AL265+AN265</f>
        <v>0</v>
      </c>
      <c r="BC265" s="27">
        <f t="shared" si="131"/>
        <v>0</v>
      </c>
      <c r="BD265" s="27">
        <f t="shared" si="132"/>
        <v>0</v>
      </c>
      <c r="BE265" s="27">
        <f t="shared" si="133"/>
        <v>0</v>
      </c>
      <c r="BF265" s="29">
        <f t="shared" si="140"/>
        <v>0</v>
      </c>
      <c r="BH265" s="30">
        <f t="shared" si="171"/>
        <v>0</v>
      </c>
      <c r="BM265" s="2">
        <f t="shared" si="160"/>
        <v>0</v>
      </c>
      <c r="BP265" s="2">
        <f t="shared" si="161"/>
        <v>0</v>
      </c>
    </row>
    <row r="266" spans="1:68" ht="14.45" hidden="1" customHeight="1" x14ac:dyDescent="0.25">
      <c r="A266" s="38" t="s">
        <v>293</v>
      </c>
      <c r="B266" s="23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13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5"/>
      <c r="AD266" s="25">
        <f t="shared" si="157"/>
        <v>0</v>
      </c>
      <c r="AE266" s="26" t="s">
        <v>42</v>
      </c>
      <c r="AF266" s="27"/>
      <c r="AG266" s="17">
        <f t="shared" si="162"/>
        <v>0</v>
      </c>
      <c r="AH266" s="28">
        <f t="shared" si="163"/>
        <v>0</v>
      </c>
      <c r="AI266" s="17">
        <f t="shared" si="164"/>
        <v>0</v>
      </c>
      <c r="AJ266" s="28">
        <f t="shared" si="165"/>
        <v>0</v>
      </c>
      <c r="AK266" s="17">
        <f t="shared" ref="AK266:AK329" si="173">+N266+O266+G266</f>
        <v>0</v>
      </c>
      <c r="AL266" s="28">
        <f t="shared" si="166"/>
        <v>0</v>
      </c>
      <c r="AM266" s="17">
        <f t="shared" si="138"/>
        <v>0</v>
      </c>
      <c r="AN266" s="28">
        <f t="shared" si="154"/>
        <v>0</v>
      </c>
      <c r="AO266" s="17">
        <f t="shared" si="155"/>
        <v>0</v>
      </c>
      <c r="AP266" s="28">
        <f t="shared" si="158"/>
        <v>0</v>
      </c>
      <c r="AQ266" s="17">
        <f t="shared" si="156"/>
        <v>0</v>
      </c>
      <c r="AR266" s="28">
        <f t="shared" si="159"/>
        <v>0</v>
      </c>
      <c r="AS266" s="17">
        <f t="shared" si="134"/>
        <v>0</v>
      </c>
      <c r="AT266" s="28">
        <f t="shared" si="135"/>
        <v>0</v>
      </c>
      <c r="AU266" s="17">
        <f t="shared" si="136"/>
        <v>0</v>
      </c>
      <c r="AV266" s="28">
        <f t="shared" si="137"/>
        <v>0</v>
      </c>
      <c r="AW266" s="17">
        <f t="shared" si="167"/>
        <v>0</v>
      </c>
      <c r="AX266" s="28">
        <f t="shared" si="168"/>
        <v>0</v>
      </c>
      <c r="AY266" s="17">
        <f t="shared" si="169"/>
        <v>0</v>
      </c>
      <c r="AZ266" s="28">
        <f t="shared" si="170"/>
        <v>0</v>
      </c>
      <c r="BA266" s="27">
        <f t="shared" si="139"/>
        <v>0</v>
      </c>
      <c r="BB266" s="27">
        <f t="shared" si="172"/>
        <v>0</v>
      </c>
      <c r="BC266" s="27">
        <f t="shared" ref="BC266:BC329" si="174">+AP266+AR266</f>
        <v>0</v>
      </c>
      <c r="BD266" s="27">
        <f t="shared" ref="BD266:BD329" si="175">+AT266+AV266</f>
        <v>0</v>
      </c>
      <c r="BE266" s="27">
        <f t="shared" ref="BE266:BE329" si="176">+AX266+AZ266</f>
        <v>0</v>
      </c>
      <c r="BF266" s="29">
        <f t="shared" si="140"/>
        <v>0</v>
      </c>
      <c r="BH266" s="30">
        <f t="shared" si="171"/>
        <v>0</v>
      </c>
      <c r="BM266" s="2">
        <f t="shared" si="160"/>
        <v>0</v>
      </c>
      <c r="BP266" s="2">
        <f t="shared" si="161"/>
        <v>0</v>
      </c>
    </row>
    <row r="267" spans="1:68" ht="14.45" hidden="1" customHeight="1" x14ac:dyDescent="0.25">
      <c r="A267" s="33" t="s">
        <v>294</v>
      </c>
      <c r="B267" s="23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13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5"/>
      <c r="AD267" s="25">
        <f t="shared" si="157"/>
        <v>0</v>
      </c>
      <c r="AE267" s="26" t="s">
        <v>42</v>
      </c>
      <c r="AF267" s="27"/>
      <c r="AG267" s="17">
        <f t="shared" si="162"/>
        <v>0</v>
      </c>
      <c r="AH267" s="28">
        <f t="shared" si="163"/>
        <v>0</v>
      </c>
      <c r="AI267" s="17">
        <f t="shared" si="164"/>
        <v>0</v>
      </c>
      <c r="AJ267" s="28">
        <f t="shared" si="165"/>
        <v>0</v>
      </c>
      <c r="AK267" s="17">
        <f t="shared" si="173"/>
        <v>0</v>
      </c>
      <c r="AL267" s="28">
        <f t="shared" si="166"/>
        <v>0</v>
      </c>
      <c r="AM267" s="17">
        <f t="shared" si="138"/>
        <v>0</v>
      </c>
      <c r="AN267" s="28">
        <f t="shared" si="154"/>
        <v>0</v>
      </c>
      <c r="AO267" s="17">
        <f t="shared" si="155"/>
        <v>0</v>
      </c>
      <c r="AP267" s="28">
        <f t="shared" si="158"/>
        <v>0</v>
      </c>
      <c r="AQ267" s="17">
        <f t="shared" si="156"/>
        <v>0</v>
      </c>
      <c r="AR267" s="28">
        <f t="shared" si="159"/>
        <v>0</v>
      </c>
      <c r="AS267" s="17">
        <f t="shared" ref="AS267:AS330" si="177">+C267</f>
        <v>0</v>
      </c>
      <c r="AT267" s="28">
        <f t="shared" ref="AT267:AT330" si="178">+AS267*AF267</f>
        <v>0</v>
      </c>
      <c r="AU267" s="17">
        <f t="shared" ref="AU267:AU330" si="179">+Q267</f>
        <v>0</v>
      </c>
      <c r="AV267" s="28">
        <f t="shared" ref="AV267:AV330" si="180">+AU267*AF267</f>
        <v>0</v>
      </c>
      <c r="AW267" s="17">
        <f t="shared" si="167"/>
        <v>0</v>
      </c>
      <c r="AX267" s="28">
        <f t="shared" si="168"/>
        <v>0</v>
      </c>
      <c r="AY267" s="17">
        <f t="shared" si="169"/>
        <v>0</v>
      </c>
      <c r="AZ267" s="28">
        <f t="shared" si="170"/>
        <v>0</v>
      </c>
      <c r="BA267" s="27">
        <f t="shared" si="139"/>
        <v>0</v>
      </c>
      <c r="BB267" s="27">
        <f t="shared" si="172"/>
        <v>0</v>
      </c>
      <c r="BC267" s="27">
        <f t="shared" si="174"/>
        <v>0</v>
      </c>
      <c r="BD267" s="27">
        <f t="shared" si="175"/>
        <v>0</v>
      </c>
      <c r="BE267" s="27">
        <f t="shared" si="176"/>
        <v>0</v>
      </c>
      <c r="BF267" s="29">
        <f t="shared" si="140"/>
        <v>0</v>
      </c>
      <c r="BH267" s="30">
        <f t="shared" si="171"/>
        <v>0</v>
      </c>
      <c r="BM267" s="2">
        <f t="shared" si="160"/>
        <v>0</v>
      </c>
      <c r="BP267" s="2">
        <f t="shared" si="161"/>
        <v>0</v>
      </c>
    </row>
    <row r="268" spans="1:68" ht="14.45" hidden="1" customHeight="1" x14ac:dyDescent="0.25">
      <c r="A268" s="33" t="s">
        <v>295</v>
      </c>
      <c r="B268" s="23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13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5"/>
      <c r="AD268" s="25">
        <f t="shared" si="157"/>
        <v>0</v>
      </c>
      <c r="AE268" s="26" t="s">
        <v>42</v>
      </c>
      <c r="AF268" s="27"/>
      <c r="AG268" s="17">
        <f t="shared" si="162"/>
        <v>0</v>
      </c>
      <c r="AH268" s="28">
        <f t="shared" si="163"/>
        <v>0</v>
      </c>
      <c r="AI268" s="17">
        <f t="shared" si="164"/>
        <v>0</v>
      </c>
      <c r="AJ268" s="28">
        <f t="shared" si="165"/>
        <v>0</v>
      </c>
      <c r="AK268" s="17">
        <f t="shared" si="173"/>
        <v>0</v>
      </c>
      <c r="AL268" s="28">
        <f t="shared" si="166"/>
        <v>0</v>
      </c>
      <c r="AM268" s="17">
        <f t="shared" ref="AM268:AM331" si="181">+AA268+AB268+U268</f>
        <v>0</v>
      </c>
      <c r="AN268" s="28">
        <f t="shared" si="154"/>
        <v>0</v>
      </c>
      <c r="AO268" s="17">
        <f t="shared" si="155"/>
        <v>0</v>
      </c>
      <c r="AP268" s="28">
        <f t="shared" si="158"/>
        <v>0</v>
      </c>
      <c r="AQ268" s="17">
        <f t="shared" si="156"/>
        <v>0</v>
      </c>
      <c r="AR268" s="28">
        <f t="shared" si="159"/>
        <v>0</v>
      </c>
      <c r="AS268" s="17">
        <f t="shared" si="177"/>
        <v>0</v>
      </c>
      <c r="AT268" s="28">
        <f t="shared" si="178"/>
        <v>0</v>
      </c>
      <c r="AU268" s="17">
        <f t="shared" si="179"/>
        <v>0</v>
      </c>
      <c r="AV268" s="28">
        <f t="shared" si="180"/>
        <v>0</v>
      </c>
      <c r="AW268" s="17">
        <f t="shared" si="167"/>
        <v>0</v>
      </c>
      <c r="AX268" s="28">
        <f t="shared" si="168"/>
        <v>0</v>
      </c>
      <c r="AY268" s="17">
        <f t="shared" si="169"/>
        <v>0</v>
      </c>
      <c r="AZ268" s="28">
        <f t="shared" si="170"/>
        <v>0</v>
      </c>
      <c r="BA268" s="27">
        <f t="shared" si="139"/>
        <v>0</v>
      </c>
      <c r="BB268" s="27">
        <f t="shared" si="172"/>
        <v>0</v>
      </c>
      <c r="BC268" s="27">
        <f t="shared" si="174"/>
        <v>0</v>
      </c>
      <c r="BD268" s="27">
        <f t="shared" si="175"/>
        <v>0</v>
      </c>
      <c r="BE268" s="27">
        <f t="shared" si="176"/>
        <v>0</v>
      </c>
      <c r="BF268" s="29">
        <f t="shared" si="140"/>
        <v>0</v>
      </c>
      <c r="BH268" s="30">
        <f t="shared" si="171"/>
        <v>0</v>
      </c>
      <c r="BM268" s="2">
        <f t="shared" si="160"/>
        <v>0</v>
      </c>
      <c r="BP268" s="2">
        <f t="shared" si="161"/>
        <v>0</v>
      </c>
    </row>
    <row r="269" spans="1:68" ht="14.45" hidden="1" customHeight="1" x14ac:dyDescent="0.25">
      <c r="A269" s="33" t="s">
        <v>296</v>
      </c>
      <c r="B269" s="23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13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5"/>
      <c r="AD269" s="25">
        <f t="shared" si="157"/>
        <v>0</v>
      </c>
      <c r="AE269" s="26" t="s">
        <v>42</v>
      </c>
      <c r="AF269" s="27"/>
      <c r="AG269" s="17">
        <f t="shared" si="162"/>
        <v>0</v>
      </c>
      <c r="AH269" s="28">
        <f t="shared" si="163"/>
        <v>0</v>
      </c>
      <c r="AI269" s="17">
        <f t="shared" si="164"/>
        <v>0</v>
      </c>
      <c r="AJ269" s="28">
        <f t="shared" si="165"/>
        <v>0</v>
      </c>
      <c r="AK269" s="17">
        <f t="shared" si="173"/>
        <v>0</v>
      </c>
      <c r="AL269" s="28">
        <f t="shared" si="166"/>
        <v>0</v>
      </c>
      <c r="AM269" s="17">
        <f t="shared" si="181"/>
        <v>0</v>
      </c>
      <c r="AN269" s="28">
        <f t="shared" si="154"/>
        <v>0</v>
      </c>
      <c r="AO269" s="17">
        <f t="shared" si="155"/>
        <v>0</v>
      </c>
      <c r="AP269" s="28">
        <f t="shared" si="158"/>
        <v>0</v>
      </c>
      <c r="AQ269" s="17">
        <f t="shared" si="156"/>
        <v>0</v>
      </c>
      <c r="AR269" s="28">
        <f t="shared" si="159"/>
        <v>0</v>
      </c>
      <c r="AS269" s="17">
        <f t="shared" si="177"/>
        <v>0</v>
      </c>
      <c r="AT269" s="28">
        <f t="shared" si="178"/>
        <v>0</v>
      </c>
      <c r="AU269" s="17">
        <f t="shared" si="179"/>
        <v>0</v>
      </c>
      <c r="AV269" s="28">
        <f t="shared" si="180"/>
        <v>0</v>
      </c>
      <c r="AW269" s="17">
        <f t="shared" si="167"/>
        <v>0</v>
      </c>
      <c r="AX269" s="28">
        <f t="shared" si="168"/>
        <v>0</v>
      </c>
      <c r="AY269" s="17">
        <f t="shared" si="169"/>
        <v>0</v>
      </c>
      <c r="AZ269" s="28">
        <f t="shared" si="170"/>
        <v>0</v>
      </c>
      <c r="BA269" s="27">
        <f t="shared" si="139"/>
        <v>0</v>
      </c>
      <c r="BB269" s="27">
        <f t="shared" si="172"/>
        <v>0</v>
      </c>
      <c r="BC269" s="27">
        <f t="shared" si="174"/>
        <v>0</v>
      </c>
      <c r="BD269" s="27">
        <f t="shared" si="175"/>
        <v>0</v>
      </c>
      <c r="BE269" s="27">
        <f t="shared" si="176"/>
        <v>0</v>
      </c>
      <c r="BF269" s="29">
        <f t="shared" si="140"/>
        <v>0</v>
      </c>
      <c r="BH269" s="30">
        <f t="shared" si="171"/>
        <v>0</v>
      </c>
      <c r="BM269" s="2">
        <f t="shared" si="160"/>
        <v>0</v>
      </c>
      <c r="BP269" s="2">
        <f t="shared" si="161"/>
        <v>0</v>
      </c>
    </row>
    <row r="270" spans="1:68" ht="14.45" hidden="1" customHeight="1" x14ac:dyDescent="0.25">
      <c r="A270" s="33" t="s">
        <v>297</v>
      </c>
      <c r="B270" s="23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13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5"/>
      <c r="AD270" s="25">
        <f t="shared" si="157"/>
        <v>0</v>
      </c>
      <c r="AE270" s="26" t="s">
        <v>42</v>
      </c>
      <c r="AF270" s="27"/>
      <c r="AG270" s="17">
        <f t="shared" si="162"/>
        <v>0</v>
      </c>
      <c r="AH270" s="28">
        <f t="shared" si="163"/>
        <v>0</v>
      </c>
      <c r="AI270" s="17">
        <f t="shared" si="164"/>
        <v>0</v>
      </c>
      <c r="AJ270" s="28">
        <f t="shared" si="165"/>
        <v>0</v>
      </c>
      <c r="AK270" s="17">
        <f t="shared" si="173"/>
        <v>0</v>
      </c>
      <c r="AL270" s="28">
        <f t="shared" si="166"/>
        <v>0</v>
      </c>
      <c r="AM270" s="17">
        <f t="shared" si="181"/>
        <v>0</v>
      </c>
      <c r="AN270" s="28">
        <f t="shared" si="154"/>
        <v>0</v>
      </c>
      <c r="AO270" s="17">
        <f t="shared" si="155"/>
        <v>0</v>
      </c>
      <c r="AP270" s="28">
        <f t="shared" si="158"/>
        <v>0</v>
      </c>
      <c r="AQ270" s="17">
        <f t="shared" si="156"/>
        <v>0</v>
      </c>
      <c r="AR270" s="28">
        <f t="shared" si="159"/>
        <v>0</v>
      </c>
      <c r="AS270" s="17">
        <f t="shared" si="177"/>
        <v>0</v>
      </c>
      <c r="AT270" s="28">
        <f t="shared" si="178"/>
        <v>0</v>
      </c>
      <c r="AU270" s="17">
        <f t="shared" si="179"/>
        <v>0</v>
      </c>
      <c r="AV270" s="28">
        <f t="shared" si="180"/>
        <v>0</v>
      </c>
      <c r="AW270" s="17">
        <f t="shared" si="167"/>
        <v>0</v>
      </c>
      <c r="AX270" s="28">
        <f t="shared" si="168"/>
        <v>0</v>
      </c>
      <c r="AY270" s="17">
        <f t="shared" si="169"/>
        <v>0</v>
      </c>
      <c r="AZ270" s="28">
        <f t="shared" si="170"/>
        <v>0</v>
      </c>
      <c r="BA270" s="27">
        <f t="shared" si="139"/>
        <v>0</v>
      </c>
      <c r="BB270" s="27">
        <f t="shared" si="172"/>
        <v>0</v>
      </c>
      <c r="BC270" s="27">
        <f t="shared" si="174"/>
        <v>0</v>
      </c>
      <c r="BD270" s="27">
        <f t="shared" si="175"/>
        <v>0</v>
      </c>
      <c r="BE270" s="27">
        <f t="shared" si="176"/>
        <v>0</v>
      </c>
      <c r="BF270" s="29">
        <f t="shared" si="140"/>
        <v>0</v>
      </c>
      <c r="BH270" s="30">
        <f t="shared" si="171"/>
        <v>0</v>
      </c>
      <c r="BM270" s="2">
        <f t="shared" si="160"/>
        <v>0</v>
      </c>
      <c r="BP270" s="2">
        <f t="shared" si="161"/>
        <v>0</v>
      </c>
    </row>
    <row r="271" spans="1:68" ht="14.45" customHeight="1" x14ac:dyDescent="0.25">
      <c r="A271" s="33" t="s">
        <v>298</v>
      </c>
      <c r="B271" s="23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13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>
        <v>1</v>
      </c>
      <c r="AC271" s="25"/>
      <c r="AD271" s="25"/>
      <c r="AE271" s="26" t="s">
        <v>42</v>
      </c>
      <c r="AF271" s="27">
        <v>180000</v>
      </c>
      <c r="AG271" s="17">
        <f t="shared" si="162"/>
        <v>0</v>
      </c>
      <c r="AH271" s="28">
        <f t="shared" si="163"/>
        <v>0</v>
      </c>
      <c r="AI271" s="17">
        <f t="shared" si="164"/>
        <v>0</v>
      </c>
      <c r="AJ271" s="28">
        <f t="shared" si="165"/>
        <v>0</v>
      </c>
      <c r="AK271" s="17">
        <f t="shared" si="173"/>
        <v>0</v>
      </c>
      <c r="AL271" s="28">
        <f t="shared" si="166"/>
        <v>0</v>
      </c>
      <c r="AM271" s="17">
        <f t="shared" si="181"/>
        <v>1</v>
      </c>
      <c r="AN271" s="28">
        <f t="shared" si="154"/>
        <v>180000</v>
      </c>
      <c r="AO271" s="17">
        <f t="shared" si="155"/>
        <v>0</v>
      </c>
      <c r="AP271" s="28"/>
      <c r="AQ271" s="17">
        <f t="shared" si="156"/>
        <v>0</v>
      </c>
      <c r="AR271" s="28"/>
      <c r="AS271" s="17">
        <f t="shared" si="177"/>
        <v>0</v>
      </c>
      <c r="AT271" s="28">
        <f t="shared" si="178"/>
        <v>0</v>
      </c>
      <c r="AU271" s="17">
        <f t="shared" si="179"/>
        <v>0</v>
      </c>
      <c r="AV271" s="28">
        <f t="shared" si="180"/>
        <v>0</v>
      </c>
      <c r="AW271" s="17">
        <f t="shared" si="167"/>
        <v>0</v>
      </c>
      <c r="AX271" s="28">
        <f t="shared" si="168"/>
        <v>0</v>
      </c>
      <c r="AY271" s="17">
        <f t="shared" si="169"/>
        <v>0</v>
      </c>
      <c r="AZ271" s="28">
        <f t="shared" si="170"/>
        <v>0</v>
      </c>
      <c r="BA271" s="27">
        <f t="shared" si="139"/>
        <v>0</v>
      </c>
      <c r="BB271" s="27">
        <f t="shared" si="172"/>
        <v>180000</v>
      </c>
      <c r="BC271" s="27">
        <f t="shared" si="174"/>
        <v>0</v>
      </c>
      <c r="BD271" s="27">
        <f t="shared" si="175"/>
        <v>0</v>
      </c>
      <c r="BE271" s="27">
        <f t="shared" si="176"/>
        <v>0</v>
      </c>
      <c r="BF271" s="29">
        <f t="shared" si="140"/>
        <v>180000</v>
      </c>
      <c r="BH271" s="30">
        <f t="shared" si="171"/>
        <v>1</v>
      </c>
    </row>
    <row r="272" spans="1:68" ht="14.45" customHeight="1" x14ac:dyDescent="0.25">
      <c r="A272" s="33" t="s">
        <v>299</v>
      </c>
      <c r="B272" s="23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13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>
        <v>2</v>
      </c>
      <c r="AC272" s="25"/>
      <c r="AD272" s="25"/>
      <c r="AE272" s="26"/>
      <c r="AF272" s="27">
        <v>180000</v>
      </c>
      <c r="AG272" s="17">
        <f t="shared" si="162"/>
        <v>0</v>
      </c>
      <c r="AH272" s="28">
        <f t="shared" si="163"/>
        <v>0</v>
      </c>
      <c r="AI272" s="17">
        <f t="shared" si="164"/>
        <v>0</v>
      </c>
      <c r="AJ272" s="28">
        <f t="shared" si="165"/>
        <v>0</v>
      </c>
      <c r="AK272" s="17">
        <f t="shared" si="173"/>
        <v>0</v>
      </c>
      <c r="AL272" s="28">
        <f t="shared" si="166"/>
        <v>0</v>
      </c>
      <c r="AM272" s="17">
        <f t="shared" si="181"/>
        <v>2</v>
      </c>
      <c r="AN272" s="28">
        <f t="shared" si="154"/>
        <v>360000</v>
      </c>
      <c r="AO272" s="17"/>
      <c r="AP272" s="28"/>
      <c r="AQ272" s="17"/>
      <c r="AR272" s="28"/>
      <c r="AS272" s="17">
        <f t="shared" si="177"/>
        <v>0</v>
      </c>
      <c r="AT272" s="28">
        <f t="shared" si="178"/>
        <v>0</v>
      </c>
      <c r="AU272" s="17">
        <f t="shared" si="179"/>
        <v>0</v>
      </c>
      <c r="AV272" s="28">
        <f t="shared" si="180"/>
        <v>0</v>
      </c>
      <c r="AW272" s="17">
        <f t="shared" si="167"/>
        <v>0</v>
      </c>
      <c r="AX272" s="28">
        <f t="shared" si="168"/>
        <v>0</v>
      </c>
      <c r="AY272" s="17">
        <f t="shared" si="169"/>
        <v>0</v>
      </c>
      <c r="AZ272" s="28">
        <f t="shared" si="170"/>
        <v>0</v>
      </c>
      <c r="BA272" s="27"/>
      <c r="BB272" s="27">
        <f t="shared" si="172"/>
        <v>360000</v>
      </c>
      <c r="BC272" s="27">
        <f t="shared" si="174"/>
        <v>0</v>
      </c>
      <c r="BD272" s="27">
        <f t="shared" si="175"/>
        <v>0</v>
      </c>
      <c r="BE272" s="27">
        <f t="shared" si="176"/>
        <v>0</v>
      </c>
      <c r="BF272" s="29"/>
      <c r="BH272" s="30">
        <f t="shared" si="171"/>
        <v>2</v>
      </c>
    </row>
    <row r="273" spans="1:68" ht="14.45" customHeight="1" x14ac:dyDescent="0.25">
      <c r="A273" s="33" t="s">
        <v>300</v>
      </c>
      <c r="B273" s="23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13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>
        <v>1</v>
      </c>
      <c r="AC273" s="25"/>
      <c r="AD273" s="25"/>
      <c r="AE273" s="26" t="s">
        <v>42</v>
      </c>
      <c r="AF273" s="27">
        <v>180000</v>
      </c>
      <c r="AG273" s="17">
        <f t="shared" si="162"/>
        <v>0</v>
      </c>
      <c r="AH273" s="28">
        <f t="shared" si="163"/>
        <v>0</v>
      </c>
      <c r="AI273" s="17">
        <f t="shared" si="164"/>
        <v>0</v>
      </c>
      <c r="AJ273" s="28">
        <f t="shared" si="165"/>
        <v>0</v>
      </c>
      <c r="AK273" s="17">
        <f t="shared" si="173"/>
        <v>0</v>
      </c>
      <c r="AL273" s="28">
        <f t="shared" si="166"/>
        <v>0</v>
      </c>
      <c r="AM273" s="17">
        <f t="shared" si="181"/>
        <v>1</v>
      </c>
      <c r="AN273" s="28">
        <f t="shared" si="154"/>
        <v>180000</v>
      </c>
      <c r="AO273" s="17">
        <f t="shared" ref="AO273:AO328" si="182">+B273</f>
        <v>0</v>
      </c>
      <c r="AP273" s="28"/>
      <c r="AQ273" s="17">
        <f t="shared" ref="AQ273:AQ328" si="183">+P273</f>
        <v>0</v>
      </c>
      <c r="AR273" s="28"/>
      <c r="AS273" s="17">
        <f t="shared" si="177"/>
        <v>0</v>
      </c>
      <c r="AT273" s="28">
        <f t="shared" si="178"/>
        <v>0</v>
      </c>
      <c r="AU273" s="17">
        <f t="shared" si="179"/>
        <v>0</v>
      </c>
      <c r="AV273" s="28">
        <f t="shared" si="180"/>
        <v>0</v>
      </c>
      <c r="AW273" s="17">
        <f t="shared" si="167"/>
        <v>0</v>
      </c>
      <c r="AX273" s="28">
        <f t="shared" si="168"/>
        <v>0</v>
      </c>
      <c r="AY273" s="17">
        <f t="shared" si="169"/>
        <v>0</v>
      </c>
      <c r="AZ273" s="28">
        <f t="shared" si="170"/>
        <v>0</v>
      </c>
      <c r="BA273" s="27">
        <f t="shared" si="139"/>
        <v>0</v>
      </c>
      <c r="BB273" s="27">
        <f t="shared" si="172"/>
        <v>180000</v>
      </c>
      <c r="BC273" s="27">
        <f t="shared" si="174"/>
        <v>0</v>
      </c>
      <c r="BD273" s="27">
        <f t="shared" si="175"/>
        <v>0</v>
      </c>
      <c r="BE273" s="27">
        <f t="shared" si="176"/>
        <v>0</v>
      </c>
      <c r="BF273" s="29">
        <f t="shared" si="140"/>
        <v>180000</v>
      </c>
      <c r="BH273" s="30">
        <f t="shared" si="171"/>
        <v>1</v>
      </c>
    </row>
    <row r="274" spans="1:68" ht="14.45" customHeight="1" x14ac:dyDescent="0.25">
      <c r="A274" s="33" t="s">
        <v>282</v>
      </c>
      <c r="B274" s="23"/>
      <c r="C274" s="24"/>
      <c r="D274" s="24">
        <v>69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13"/>
      <c r="P274" s="24"/>
      <c r="Q274" s="24"/>
      <c r="R274" s="24">
        <v>150</v>
      </c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5"/>
      <c r="AD274" s="25"/>
      <c r="AE274" s="26" t="s">
        <v>42</v>
      </c>
      <c r="AF274" s="27">
        <v>4000</v>
      </c>
      <c r="AG274" s="17">
        <f t="shared" si="162"/>
        <v>0</v>
      </c>
      <c r="AH274" s="28">
        <f t="shared" si="163"/>
        <v>0</v>
      </c>
      <c r="AI274" s="17">
        <f t="shared" si="164"/>
        <v>0</v>
      </c>
      <c r="AJ274" s="28">
        <f t="shared" si="165"/>
        <v>0</v>
      </c>
      <c r="AK274" s="17">
        <f t="shared" si="173"/>
        <v>0</v>
      </c>
      <c r="AL274" s="28">
        <f t="shared" si="166"/>
        <v>0</v>
      </c>
      <c r="AM274" s="17">
        <f t="shared" si="181"/>
        <v>0</v>
      </c>
      <c r="AN274" s="28">
        <f t="shared" si="154"/>
        <v>0</v>
      </c>
      <c r="AO274" s="17">
        <f t="shared" si="182"/>
        <v>0</v>
      </c>
      <c r="AP274" s="28"/>
      <c r="AQ274" s="17">
        <f t="shared" si="183"/>
        <v>0</v>
      </c>
      <c r="AR274" s="28"/>
      <c r="AS274" s="17">
        <f t="shared" si="177"/>
        <v>0</v>
      </c>
      <c r="AT274" s="28">
        <f t="shared" si="178"/>
        <v>0</v>
      </c>
      <c r="AU274" s="17">
        <f t="shared" si="179"/>
        <v>0</v>
      </c>
      <c r="AV274" s="28">
        <f t="shared" si="180"/>
        <v>0</v>
      </c>
      <c r="AW274" s="17">
        <f t="shared" si="167"/>
        <v>69</v>
      </c>
      <c r="AX274" s="28">
        <f t="shared" si="168"/>
        <v>276000</v>
      </c>
      <c r="AY274" s="17">
        <f t="shared" si="169"/>
        <v>150</v>
      </c>
      <c r="AZ274" s="28">
        <f t="shared" si="170"/>
        <v>600000</v>
      </c>
      <c r="BA274" s="27">
        <f t="shared" si="139"/>
        <v>0</v>
      </c>
      <c r="BB274" s="27">
        <f t="shared" si="172"/>
        <v>0</v>
      </c>
      <c r="BC274" s="27">
        <f t="shared" si="174"/>
        <v>0</v>
      </c>
      <c r="BD274" s="27">
        <f t="shared" si="175"/>
        <v>0</v>
      </c>
      <c r="BE274" s="27">
        <f t="shared" si="176"/>
        <v>876000</v>
      </c>
      <c r="BF274" s="29">
        <f t="shared" si="140"/>
        <v>0</v>
      </c>
      <c r="BH274" s="30">
        <f t="shared" si="171"/>
        <v>0</v>
      </c>
    </row>
    <row r="275" spans="1:68" ht="14.45" customHeight="1" x14ac:dyDescent="0.25">
      <c r="A275" s="33" t="s">
        <v>301</v>
      </c>
      <c r="B275" s="23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13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5"/>
      <c r="AD275" s="25"/>
      <c r="AE275" s="26" t="s">
        <v>42</v>
      </c>
      <c r="AF275" s="34">
        <v>26777</v>
      </c>
      <c r="AG275" s="17">
        <f t="shared" si="162"/>
        <v>0</v>
      </c>
      <c r="AH275" s="28">
        <f t="shared" si="163"/>
        <v>0</v>
      </c>
      <c r="AI275" s="17">
        <f t="shared" si="164"/>
        <v>0</v>
      </c>
      <c r="AJ275" s="28">
        <f t="shared" si="165"/>
        <v>0</v>
      </c>
      <c r="AK275" s="17">
        <f t="shared" si="173"/>
        <v>0</v>
      </c>
      <c r="AL275" s="28">
        <f t="shared" si="166"/>
        <v>0</v>
      </c>
      <c r="AM275" s="17">
        <f t="shared" si="181"/>
        <v>0</v>
      </c>
      <c r="AN275" s="28">
        <f t="shared" si="154"/>
        <v>0</v>
      </c>
      <c r="AO275" s="17">
        <f t="shared" si="182"/>
        <v>0</v>
      </c>
      <c r="AP275" s="28"/>
      <c r="AQ275" s="17">
        <f t="shared" si="183"/>
        <v>0</v>
      </c>
      <c r="AR275" s="28"/>
      <c r="AS275" s="17">
        <f t="shared" si="177"/>
        <v>0</v>
      </c>
      <c r="AT275" s="28">
        <f t="shared" si="178"/>
        <v>0</v>
      </c>
      <c r="AU275" s="17">
        <f t="shared" si="179"/>
        <v>0</v>
      </c>
      <c r="AV275" s="28">
        <f t="shared" si="180"/>
        <v>0</v>
      </c>
      <c r="AW275" s="17">
        <f t="shared" si="167"/>
        <v>0</v>
      </c>
      <c r="AX275" s="28">
        <f t="shared" si="168"/>
        <v>0</v>
      </c>
      <c r="AY275" s="17">
        <f t="shared" si="169"/>
        <v>0</v>
      </c>
      <c r="AZ275" s="28">
        <f t="shared" si="170"/>
        <v>0</v>
      </c>
      <c r="BA275" s="27">
        <f t="shared" si="139"/>
        <v>0</v>
      </c>
      <c r="BB275" s="27">
        <f t="shared" si="172"/>
        <v>0</v>
      </c>
      <c r="BC275" s="27">
        <f t="shared" si="174"/>
        <v>0</v>
      </c>
      <c r="BD275" s="27">
        <f t="shared" si="175"/>
        <v>0</v>
      </c>
      <c r="BE275" s="27">
        <f t="shared" si="176"/>
        <v>0</v>
      </c>
      <c r="BF275" s="29">
        <f t="shared" si="140"/>
        <v>0</v>
      </c>
      <c r="BH275" s="30">
        <f t="shared" si="171"/>
        <v>0</v>
      </c>
    </row>
    <row r="276" spans="1:68" ht="14.45" customHeight="1" x14ac:dyDescent="0.25">
      <c r="A276" s="33" t="s">
        <v>302</v>
      </c>
      <c r="B276" s="23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13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5"/>
      <c r="AD276" s="25"/>
      <c r="AE276" s="26"/>
      <c r="AF276" s="34">
        <v>13533</v>
      </c>
      <c r="AG276" s="17">
        <f t="shared" si="162"/>
        <v>0</v>
      </c>
      <c r="AH276" s="28">
        <f t="shared" si="163"/>
        <v>0</v>
      </c>
      <c r="AI276" s="17">
        <f t="shared" si="164"/>
        <v>0</v>
      </c>
      <c r="AJ276" s="28">
        <f t="shared" si="165"/>
        <v>0</v>
      </c>
      <c r="AK276" s="17">
        <f t="shared" si="173"/>
        <v>0</v>
      </c>
      <c r="AL276" s="28">
        <f t="shared" si="166"/>
        <v>0</v>
      </c>
      <c r="AM276" s="17">
        <f t="shared" si="181"/>
        <v>0</v>
      </c>
      <c r="AN276" s="28">
        <f t="shared" si="154"/>
        <v>0</v>
      </c>
      <c r="AO276" s="17">
        <f t="shared" si="182"/>
        <v>0</v>
      </c>
      <c r="AP276" s="28"/>
      <c r="AQ276" s="17">
        <f t="shared" si="183"/>
        <v>0</v>
      </c>
      <c r="AR276" s="28"/>
      <c r="AS276" s="17">
        <f t="shared" si="177"/>
        <v>0</v>
      </c>
      <c r="AT276" s="28">
        <f t="shared" si="178"/>
        <v>0</v>
      </c>
      <c r="AU276" s="17">
        <f t="shared" si="179"/>
        <v>0</v>
      </c>
      <c r="AV276" s="28">
        <f t="shared" si="180"/>
        <v>0</v>
      </c>
      <c r="AW276" s="17">
        <f t="shared" si="167"/>
        <v>0</v>
      </c>
      <c r="AX276" s="28">
        <f t="shared" si="168"/>
        <v>0</v>
      </c>
      <c r="AY276" s="17">
        <f t="shared" si="169"/>
        <v>0</v>
      </c>
      <c r="AZ276" s="28">
        <f t="shared" si="170"/>
        <v>0</v>
      </c>
      <c r="BA276" s="27">
        <f t="shared" si="139"/>
        <v>0</v>
      </c>
      <c r="BB276" s="27">
        <f t="shared" si="172"/>
        <v>0</v>
      </c>
      <c r="BC276" s="27">
        <f t="shared" si="174"/>
        <v>0</v>
      </c>
      <c r="BD276" s="27">
        <f t="shared" si="175"/>
        <v>0</v>
      </c>
      <c r="BE276" s="27">
        <f t="shared" si="176"/>
        <v>0</v>
      </c>
      <c r="BF276" s="29">
        <f t="shared" si="140"/>
        <v>0</v>
      </c>
      <c r="BH276" s="30">
        <f t="shared" si="171"/>
        <v>0</v>
      </c>
    </row>
    <row r="277" spans="1:68" x14ac:dyDescent="0.25">
      <c r="A277" s="33" t="s">
        <v>303</v>
      </c>
      <c r="B277" s="23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13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5"/>
      <c r="AD277" s="25">
        <f t="shared" ref="AD277:AD289" si="184">SUM(B277:S277)</f>
        <v>0</v>
      </c>
      <c r="AE277" s="26" t="s">
        <v>42</v>
      </c>
      <c r="AF277" s="27">
        <v>5500</v>
      </c>
      <c r="AG277" s="17">
        <f t="shared" si="162"/>
        <v>0</v>
      </c>
      <c r="AH277" s="28">
        <f t="shared" si="163"/>
        <v>0</v>
      </c>
      <c r="AI277" s="17">
        <f t="shared" si="164"/>
        <v>0</v>
      </c>
      <c r="AJ277" s="28">
        <f t="shared" si="165"/>
        <v>0</v>
      </c>
      <c r="AK277" s="17">
        <f t="shared" si="173"/>
        <v>0</v>
      </c>
      <c r="AL277" s="28">
        <f t="shared" si="166"/>
        <v>0</v>
      </c>
      <c r="AM277" s="17">
        <f t="shared" si="181"/>
        <v>0</v>
      </c>
      <c r="AN277" s="28">
        <f t="shared" si="154"/>
        <v>0</v>
      </c>
      <c r="AO277" s="17">
        <f t="shared" si="182"/>
        <v>0</v>
      </c>
      <c r="AP277" s="28">
        <f t="shared" ref="AP277:AP289" si="185">+AO277*AF277</f>
        <v>0</v>
      </c>
      <c r="AQ277" s="17">
        <f t="shared" si="183"/>
        <v>0</v>
      </c>
      <c r="AR277" s="28">
        <f t="shared" ref="AR277:AR289" si="186">+AQ277*AF277</f>
        <v>0</v>
      </c>
      <c r="AS277" s="17">
        <f t="shared" si="177"/>
        <v>0</v>
      </c>
      <c r="AT277" s="28">
        <f t="shared" si="178"/>
        <v>0</v>
      </c>
      <c r="AU277" s="17">
        <f t="shared" si="179"/>
        <v>0</v>
      </c>
      <c r="AV277" s="28">
        <f t="shared" si="180"/>
        <v>0</v>
      </c>
      <c r="AW277" s="17">
        <f t="shared" si="167"/>
        <v>0</v>
      </c>
      <c r="AX277" s="28">
        <f t="shared" si="168"/>
        <v>0</v>
      </c>
      <c r="AY277" s="17">
        <f t="shared" si="169"/>
        <v>0</v>
      </c>
      <c r="AZ277" s="28">
        <f t="shared" si="170"/>
        <v>0</v>
      </c>
      <c r="BA277" s="27">
        <f t="shared" si="139"/>
        <v>0</v>
      </c>
      <c r="BB277" s="27">
        <f t="shared" si="172"/>
        <v>0</v>
      </c>
      <c r="BC277" s="27">
        <f t="shared" si="174"/>
        <v>0</v>
      </c>
      <c r="BD277" s="27">
        <f t="shared" si="175"/>
        <v>0</v>
      </c>
      <c r="BE277" s="27">
        <f t="shared" si="176"/>
        <v>0</v>
      </c>
      <c r="BF277" s="29">
        <f t="shared" si="140"/>
        <v>0</v>
      </c>
      <c r="BH277" s="30">
        <f t="shared" si="171"/>
        <v>0</v>
      </c>
      <c r="BM277" s="2">
        <f t="shared" ref="BM277:BM289" si="187">SUM(B277:S277)</f>
        <v>0</v>
      </c>
      <c r="BP277" s="2">
        <f t="shared" ref="BP277:BP289" si="188">SUM(B277:S277)</f>
        <v>0</v>
      </c>
    </row>
    <row r="278" spans="1:68" ht="14.45" hidden="1" customHeight="1" x14ac:dyDescent="0.25">
      <c r="A278" s="33" t="s">
        <v>304</v>
      </c>
      <c r="B278" s="23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13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5"/>
      <c r="AD278" s="25">
        <f t="shared" si="184"/>
        <v>0</v>
      </c>
      <c r="AE278" s="26" t="s">
        <v>42</v>
      </c>
      <c r="AF278" s="27"/>
      <c r="AG278" s="17">
        <f t="shared" si="162"/>
        <v>0</v>
      </c>
      <c r="AH278" s="28">
        <f t="shared" si="163"/>
        <v>0</v>
      </c>
      <c r="AI278" s="17">
        <f t="shared" si="164"/>
        <v>0</v>
      </c>
      <c r="AJ278" s="28">
        <f t="shared" si="165"/>
        <v>0</v>
      </c>
      <c r="AK278" s="17">
        <f t="shared" si="173"/>
        <v>0</v>
      </c>
      <c r="AL278" s="28">
        <f t="shared" si="166"/>
        <v>0</v>
      </c>
      <c r="AM278" s="17">
        <f t="shared" si="181"/>
        <v>0</v>
      </c>
      <c r="AN278" s="28">
        <f t="shared" si="154"/>
        <v>0</v>
      </c>
      <c r="AO278" s="17">
        <f t="shared" si="182"/>
        <v>0</v>
      </c>
      <c r="AP278" s="28">
        <f t="shared" si="185"/>
        <v>0</v>
      </c>
      <c r="AQ278" s="17">
        <f t="shared" si="183"/>
        <v>0</v>
      </c>
      <c r="AR278" s="28">
        <f t="shared" si="186"/>
        <v>0</v>
      </c>
      <c r="AS278" s="17">
        <f t="shared" si="177"/>
        <v>0</v>
      </c>
      <c r="AT278" s="28">
        <f t="shared" si="178"/>
        <v>0</v>
      </c>
      <c r="AU278" s="17">
        <f t="shared" si="179"/>
        <v>0</v>
      </c>
      <c r="AV278" s="28">
        <f t="shared" si="180"/>
        <v>0</v>
      </c>
      <c r="AW278" s="17">
        <f t="shared" si="167"/>
        <v>0</v>
      </c>
      <c r="AX278" s="28">
        <f t="shared" si="168"/>
        <v>0</v>
      </c>
      <c r="AY278" s="17">
        <f t="shared" si="169"/>
        <v>0</v>
      </c>
      <c r="AZ278" s="28">
        <f t="shared" si="170"/>
        <v>0</v>
      </c>
      <c r="BA278" s="27">
        <f t="shared" si="139"/>
        <v>0</v>
      </c>
      <c r="BB278" s="27">
        <f t="shared" si="172"/>
        <v>0</v>
      </c>
      <c r="BC278" s="27">
        <f t="shared" si="174"/>
        <v>0</v>
      </c>
      <c r="BD278" s="27">
        <f t="shared" si="175"/>
        <v>0</v>
      </c>
      <c r="BE278" s="27">
        <f t="shared" si="176"/>
        <v>0</v>
      </c>
      <c r="BF278" s="29">
        <f t="shared" si="140"/>
        <v>0</v>
      </c>
      <c r="BH278" s="30">
        <f t="shared" si="171"/>
        <v>0</v>
      </c>
      <c r="BM278" s="2">
        <f t="shared" si="187"/>
        <v>0</v>
      </c>
      <c r="BP278" s="2">
        <f t="shared" si="188"/>
        <v>0</v>
      </c>
    </row>
    <row r="279" spans="1:68" ht="14.45" hidden="1" customHeight="1" x14ac:dyDescent="0.25">
      <c r="A279" s="33" t="s">
        <v>305</v>
      </c>
      <c r="B279" s="23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13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5"/>
      <c r="AD279" s="25">
        <f t="shared" si="184"/>
        <v>0</v>
      </c>
      <c r="AE279" s="26" t="s">
        <v>42</v>
      </c>
      <c r="AF279" s="27"/>
      <c r="AG279" s="17">
        <f t="shared" si="162"/>
        <v>0</v>
      </c>
      <c r="AH279" s="28">
        <f t="shared" si="163"/>
        <v>0</v>
      </c>
      <c r="AI279" s="17">
        <f t="shared" si="164"/>
        <v>0</v>
      </c>
      <c r="AJ279" s="28">
        <f t="shared" si="165"/>
        <v>0</v>
      </c>
      <c r="AK279" s="17">
        <f t="shared" si="173"/>
        <v>0</v>
      </c>
      <c r="AL279" s="28">
        <f t="shared" si="166"/>
        <v>0</v>
      </c>
      <c r="AM279" s="17">
        <f t="shared" si="181"/>
        <v>0</v>
      </c>
      <c r="AN279" s="28">
        <f t="shared" si="154"/>
        <v>0</v>
      </c>
      <c r="AO279" s="17">
        <f t="shared" si="182"/>
        <v>0</v>
      </c>
      <c r="AP279" s="28">
        <f t="shared" si="185"/>
        <v>0</v>
      </c>
      <c r="AQ279" s="17">
        <f t="shared" si="183"/>
        <v>0</v>
      </c>
      <c r="AR279" s="28">
        <f t="shared" si="186"/>
        <v>0</v>
      </c>
      <c r="AS279" s="17">
        <f t="shared" si="177"/>
        <v>0</v>
      </c>
      <c r="AT279" s="28">
        <f t="shared" si="178"/>
        <v>0</v>
      </c>
      <c r="AU279" s="17">
        <f t="shared" si="179"/>
        <v>0</v>
      </c>
      <c r="AV279" s="28">
        <f t="shared" si="180"/>
        <v>0</v>
      </c>
      <c r="AW279" s="17">
        <f t="shared" si="167"/>
        <v>0</v>
      </c>
      <c r="AX279" s="28">
        <f t="shared" si="168"/>
        <v>0</v>
      </c>
      <c r="AY279" s="17">
        <f t="shared" si="169"/>
        <v>0</v>
      </c>
      <c r="AZ279" s="28">
        <f t="shared" si="170"/>
        <v>0</v>
      </c>
      <c r="BA279" s="27">
        <f t="shared" si="139"/>
        <v>0</v>
      </c>
      <c r="BB279" s="27">
        <f t="shared" si="172"/>
        <v>0</v>
      </c>
      <c r="BC279" s="27">
        <f t="shared" si="174"/>
        <v>0</v>
      </c>
      <c r="BD279" s="27">
        <f t="shared" si="175"/>
        <v>0</v>
      </c>
      <c r="BE279" s="27">
        <f t="shared" si="176"/>
        <v>0</v>
      </c>
      <c r="BF279" s="29">
        <f t="shared" si="140"/>
        <v>0</v>
      </c>
      <c r="BH279" s="30">
        <f t="shared" si="171"/>
        <v>0</v>
      </c>
      <c r="BM279" s="2">
        <f t="shared" si="187"/>
        <v>0</v>
      </c>
      <c r="BP279" s="2">
        <f t="shared" si="188"/>
        <v>0</v>
      </c>
    </row>
    <row r="280" spans="1:68" ht="14.45" hidden="1" customHeight="1" x14ac:dyDescent="0.25">
      <c r="A280" s="33" t="s">
        <v>306</v>
      </c>
      <c r="B280" s="23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13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5"/>
      <c r="AD280" s="25">
        <f t="shared" si="184"/>
        <v>0</v>
      </c>
      <c r="AE280" s="26" t="s">
        <v>42</v>
      </c>
      <c r="AF280" s="27"/>
      <c r="AG280" s="17">
        <f t="shared" si="162"/>
        <v>0</v>
      </c>
      <c r="AH280" s="28">
        <f t="shared" si="163"/>
        <v>0</v>
      </c>
      <c r="AI280" s="17">
        <f t="shared" si="164"/>
        <v>0</v>
      </c>
      <c r="AJ280" s="28">
        <f t="shared" si="165"/>
        <v>0</v>
      </c>
      <c r="AK280" s="17">
        <f t="shared" si="173"/>
        <v>0</v>
      </c>
      <c r="AL280" s="28">
        <f t="shared" si="166"/>
        <v>0</v>
      </c>
      <c r="AM280" s="17">
        <f t="shared" si="181"/>
        <v>0</v>
      </c>
      <c r="AN280" s="28">
        <f t="shared" si="154"/>
        <v>0</v>
      </c>
      <c r="AO280" s="17">
        <f t="shared" si="182"/>
        <v>0</v>
      </c>
      <c r="AP280" s="28">
        <f t="shared" si="185"/>
        <v>0</v>
      </c>
      <c r="AQ280" s="17">
        <f t="shared" si="183"/>
        <v>0</v>
      </c>
      <c r="AR280" s="28">
        <f t="shared" si="186"/>
        <v>0</v>
      </c>
      <c r="AS280" s="17">
        <f t="shared" si="177"/>
        <v>0</v>
      </c>
      <c r="AT280" s="28">
        <f t="shared" si="178"/>
        <v>0</v>
      </c>
      <c r="AU280" s="17">
        <f t="shared" si="179"/>
        <v>0</v>
      </c>
      <c r="AV280" s="28">
        <f t="shared" si="180"/>
        <v>0</v>
      </c>
      <c r="AW280" s="17">
        <f t="shared" si="167"/>
        <v>0</v>
      </c>
      <c r="AX280" s="28">
        <f t="shared" si="168"/>
        <v>0</v>
      </c>
      <c r="AY280" s="17">
        <f t="shared" si="169"/>
        <v>0</v>
      </c>
      <c r="AZ280" s="28">
        <f t="shared" si="170"/>
        <v>0</v>
      </c>
      <c r="BA280" s="27">
        <f t="shared" si="139"/>
        <v>0</v>
      </c>
      <c r="BB280" s="27">
        <f t="shared" si="172"/>
        <v>0</v>
      </c>
      <c r="BC280" s="27">
        <f t="shared" si="174"/>
        <v>0</v>
      </c>
      <c r="BD280" s="27">
        <f t="shared" si="175"/>
        <v>0</v>
      </c>
      <c r="BE280" s="27">
        <f t="shared" si="176"/>
        <v>0</v>
      </c>
      <c r="BF280" s="29">
        <f t="shared" si="140"/>
        <v>0</v>
      </c>
      <c r="BH280" s="30">
        <f t="shared" si="171"/>
        <v>0</v>
      </c>
      <c r="BM280" s="2">
        <f t="shared" si="187"/>
        <v>0</v>
      </c>
      <c r="BP280" s="2">
        <f t="shared" si="188"/>
        <v>0</v>
      </c>
    </row>
    <row r="281" spans="1:68" ht="14.45" hidden="1" customHeight="1" x14ac:dyDescent="0.25">
      <c r="A281" s="33" t="s">
        <v>307</v>
      </c>
      <c r="B281" s="23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13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5"/>
      <c r="AD281" s="25">
        <f t="shared" si="184"/>
        <v>0</v>
      </c>
      <c r="AE281" s="26" t="s">
        <v>42</v>
      </c>
      <c r="AF281" s="27"/>
      <c r="AG281" s="17">
        <f t="shared" si="162"/>
        <v>0</v>
      </c>
      <c r="AH281" s="28">
        <f t="shared" si="163"/>
        <v>0</v>
      </c>
      <c r="AI281" s="17">
        <f t="shared" si="164"/>
        <v>0</v>
      </c>
      <c r="AJ281" s="28">
        <f t="shared" si="165"/>
        <v>0</v>
      </c>
      <c r="AK281" s="17">
        <f t="shared" si="173"/>
        <v>0</v>
      </c>
      <c r="AL281" s="28">
        <f t="shared" si="166"/>
        <v>0</v>
      </c>
      <c r="AM281" s="17">
        <f t="shared" si="181"/>
        <v>0</v>
      </c>
      <c r="AN281" s="28">
        <f t="shared" si="154"/>
        <v>0</v>
      </c>
      <c r="AO281" s="17">
        <f t="shared" si="182"/>
        <v>0</v>
      </c>
      <c r="AP281" s="28">
        <f t="shared" si="185"/>
        <v>0</v>
      </c>
      <c r="AQ281" s="17">
        <f t="shared" si="183"/>
        <v>0</v>
      </c>
      <c r="AR281" s="28">
        <f t="shared" si="186"/>
        <v>0</v>
      </c>
      <c r="AS281" s="17">
        <f t="shared" si="177"/>
        <v>0</v>
      </c>
      <c r="AT281" s="28">
        <f t="shared" si="178"/>
        <v>0</v>
      </c>
      <c r="AU281" s="17">
        <f t="shared" si="179"/>
        <v>0</v>
      </c>
      <c r="AV281" s="28">
        <f t="shared" si="180"/>
        <v>0</v>
      </c>
      <c r="AW281" s="17">
        <f t="shared" si="167"/>
        <v>0</v>
      </c>
      <c r="AX281" s="28">
        <f t="shared" si="168"/>
        <v>0</v>
      </c>
      <c r="AY281" s="17">
        <f t="shared" si="169"/>
        <v>0</v>
      </c>
      <c r="AZ281" s="28">
        <f t="shared" si="170"/>
        <v>0</v>
      </c>
      <c r="BA281" s="27">
        <f t="shared" si="139"/>
        <v>0</v>
      </c>
      <c r="BB281" s="27">
        <f t="shared" si="172"/>
        <v>0</v>
      </c>
      <c r="BC281" s="27">
        <f t="shared" si="174"/>
        <v>0</v>
      </c>
      <c r="BD281" s="27">
        <f t="shared" si="175"/>
        <v>0</v>
      </c>
      <c r="BE281" s="27">
        <f t="shared" si="176"/>
        <v>0</v>
      </c>
      <c r="BF281" s="29">
        <f t="shared" si="140"/>
        <v>0</v>
      </c>
      <c r="BH281" s="30">
        <f t="shared" si="171"/>
        <v>0</v>
      </c>
      <c r="BM281" s="2">
        <f t="shared" si="187"/>
        <v>0</v>
      </c>
      <c r="BP281" s="2">
        <f t="shared" si="188"/>
        <v>0</v>
      </c>
    </row>
    <row r="282" spans="1:68" ht="14.45" hidden="1" customHeight="1" x14ac:dyDescent="0.25">
      <c r="A282" s="33" t="s">
        <v>308</v>
      </c>
      <c r="B282" s="23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13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5"/>
      <c r="AD282" s="25">
        <f t="shared" si="184"/>
        <v>0</v>
      </c>
      <c r="AE282" s="26" t="s">
        <v>42</v>
      </c>
      <c r="AF282" s="27"/>
      <c r="AG282" s="17">
        <f t="shared" si="162"/>
        <v>0</v>
      </c>
      <c r="AH282" s="28">
        <f t="shared" si="163"/>
        <v>0</v>
      </c>
      <c r="AI282" s="17">
        <f t="shared" si="164"/>
        <v>0</v>
      </c>
      <c r="AJ282" s="28">
        <f t="shared" si="165"/>
        <v>0</v>
      </c>
      <c r="AK282" s="17">
        <f t="shared" si="173"/>
        <v>0</v>
      </c>
      <c r="AL282" s="28">
        <f t="shared" si="166"/>
        <v>0</v>
      </c>
      <c r="AM282" s="17">
        <f t="shared" si="181"/>
        <v>0</v>
      </c>
      <c r="AN282" s="28">
        <f t="shared" si="154"/>
        <v>0</v>
      </c>
      <c r="AO282" s="17">
        <f t="shared" si="182"/>
        <v>0</v>
      </c>
      <c r="AP282" s="28">
        <f t="shared" si="185"/>
        <v>0</v>
      </c>
      <c r="AQ282" s="17">
        <f t="shared" si="183"/>
        <v>0</v>
      </c>
      <c r="AR282" s="28">
        <f t="shared" si="186"/>
        <v>0</v>
      </c>
      <c r="AS282" s="17">
        <f t="shared" si="177"/>
        <v>0</v>
      </c>
      <c r="AT282" s="28">
        <f t="shared" si="178"/>
        <v>0</v>
      </c>
      <c r="AU282" s="17">
        <f t="shared" si="179"/>
        <v>0</v>
      </c>
      <c r="AV282" s="28">
        <f t="shared" si="180"/>
        <v>0</v>
      </c>
      <c r="AW282" s="17">
        <f t="shared" si="167"/>
        <v>0</v>
      </c>
      <c r="AX282" s="28">
        <f t="shared" si="168"/>
        <v>0</v>
      </c>
      <c r="AY282" s="17">
        <f t="shared" si="169"/>
        <v>0</v>
      </c>
      <c r="AZ282" s="28">
        <f t="shared" si="170"/>
        <v>0</v>
      </c>
      <c r="BA282" s="27">
        <f t="shared" ref="BA282:BA355" si="189">+AH282+AJ282</f>
        <v>0</v>
      </c>
      <c r="BB282" s="27">
        <f t="shared" si="172"/>
        <v>0</v>
      </c>
      <c r="BC282" s="27">
        <f t="shared" si="174"/>
        <v>0</v>
      </c>
      <c r="BD282" s="27">
        <f t="shared" si="175"/>
        <v>0</v>
      </c>
      <c r="BE282" s="27">
        <f t="shared" si="176"/>
        <v>0</v>
      </c>
      <c r="BF282" s="29">
        <f t="shared" si="140"/>
        <v>0</v>
      </c>
      <c r="BH282" s="30">
        <f t="shared" si="171"/>
        <v>0</v>
      </c>
      <c r="BM282" s="2">
        <f t="shared" si="187"/>
        <v>0</v>
      </c>
      <c r="BP282" s="2">
        <f t="shared" si="188"/>
        <v>0</v>
      </c>
    </row>
    <row r="283" spans="1:68" ht="14.45" hidden="1" customHeight="1" x14ac:dyDescent="0.25">
      <c r="A283" s="33" t="s">
        <v>309</v>
      </c>
      <c r="B283" s="23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13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5"/>
      <c r="AD283" s="25">
        <f t="shared" si="184"/>
        <v>0</v>
      </c>
      <c r="AE283" s="26" t="s">
        <v>42</v>
      </c>
      <c r="AF283" s="27"/>
      <c r="AG283" s="17">
        <f t="shared" si="162"/>
        <v>0</v>
      </c>
      <c r="AH283" s="28">
        <f t="shared" si="163"/>
        <v>0</v>
      </c>
      <c r="AI283" s="17">
        <f t="shared" si="164"/>
        <v>0</v>
      </c>
      <c r="AJ283" s="28">
        <f t="shared" si="165"/>
        <v>0</v>
      </c>
      <c r="AK283" s="17">
        <f t="shared" si="173"/>
        <v>0</v>
      </c>
      <c r="AL283" s="28">
        <f t="shared" si="166"/>
        <v>0</v>
      </c>
      <c r="AM283" s="17">
        <f t="shared" si="181"/>
        <v>0</v>
      </c>
      <c r="AN283" s="28">
        <f t="shared" si="154"/>
        <v>0</v>
      </c>
      <c r="AO283" s="17">
        <f t="shared" si="182"/>
        <v>0</v>
      </c>
      <c r="AP283" s="28">
        <f t="shared" si="185"/>
        <v>0</v>
      </c>
      <c r="AQ283" s="17">
        <f t="shared" si="183"/>
        <v>0</v>
      </c>
      <c r="AR283" s="28">
        <f t="shared" si="186"/>
        <v>0</v>
      </c>
      <c r="AS283" s="17">
        <f t="shared" si="177"/>
        <v>0</v>
      </c>
      <c r="AT283" s="28">
        <f t="shared" si="178"/>
        <v>0</v>
      </c>
      <c r="AU283" s="17">
        <f t="shared" si="179"/>
        <v>0</v>
      </c>
      <c r="AV283" s="28">
        <f t="shared" si="180"/>
        <v>0</v>
      </c>
      <c r="AW283" s="17">
        <f t="shared" si="167"/>
        <v>0</v>
      </c>
      <c r="AX283" s="28">
        <f t="shared" si="168"/>
        <v>0</v>
      </c>
      <c r="AY283" s="17">
        <f t="shared" si="169"/>
        <v>0</v>
      </c>
      <c r="AZ283" s="28">
        <f t="shared" si="170"/>
        <v>0</v>
      </c>
      <c r="BA283" s="27">
        <f t="shared" si="189"/>
        <v>0</v>
      </c>
      <c r="BB283" s="27">
        <f t="shared" si="172"/>
        <v>0</v>
      </c>
      <c r="BC283" s="27">
        <f t="shared" si="174"/>
        <v>0</v>
      </c>
      <c r="BD283" s="27">
        <f t="shared" si="175"/>
        <v>0</v>
      </c>
      <c r="BE283" s="27">
        <f t="shared" si="176"/>
        <v>0</v>
      </c>
      <c r="BF283" s="29">
        <f t="shared" ref="BF283:BF356" si="190">+BB283+BA283*5%+BD283*30%</f>
        <v>0</v>
      </c>
      <c r="BH283" s="30">
        <f t="shared" si="171"/>
        <v>0</v>
      </c>
      <c r="BM283" s="2">
        <f t="shared" si="187"/>
        <v>0</v>
      </c>
      <c r="BP283" s="2">
        <f t="shared" si="188"/>
        <v>0</v>
      </c>
    </row>
    <row r="284" spans="1:68" ht="14.45" hidden="1" customHeight="1" x14ac:dyDescent="0.25">
      <c r="A284" s="33" t="s">
        <v>310</v>
      </c>
      <c r="B284" s="23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13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5"/>
      <c r="AD284" s="25">
        <f t="shared" si="184"/>
        <v>0</v>
      </c>
      <c r="AE284" s="26" t="s">
        <v>42</v>
      </c>
      <c r="AF284" s="27"/>
      <c r="AG284" s="17">
        <f t="shared" si="162"/>
        <v>0</v>
      </c>
      <c r="AH284" s="28">
        <f t="shared" si="163"/>
        <v>0</v>
      </c>
      <c r="AI284" s="17">
        <f t="shared" si="164"/>
        <v>0</v>
      </c>
      <c r="AJ284" s="28">
        <f t="shared" si="165"/>
        <v>0</v>
      </c>
      <c r="AK284" s="17">
        <f t="shared" si="173"/>
        <v>0</v>
      </c>
      <c r="AL284" s="28">
        <f t="shared" si="166"/>
        <v>0</v>
      </c>
      <c r="AM284" s="17">
        <f t="shared" si="181"/>
        <v>0</v>
      </c>
      <c r="AN284" s="28">
        <f t="shared" si="154"/>
        <v>0</v>
      </c>
      <c r="AO284" s="17">
        <f t="shared" si="182"/>
        <v>0</v>
      </c>
      <c r="AP284" s="28">
        <f t="shared" si="185"/>
        <v>0</v>
      </c>
      <c r="AQ284" s="17">
        <f t="shared" si="183"/>
        <v>0</v>
      </c>
      <c r="AR284" s="28">
        <f t="shared" si="186"/>
        <v>0</v>
      </c>
      <c r="AS284" s="17">
        <f t="shared" si="177"/>
        <v>0</v>
      </c>
      <c r="AT284" s="28">
        <f t="shared" si="178"/>
        <v>0</v>
      </c>
      <c r="AU284" s="17">
        <f t="shared" si="179"/>
        <v>0</v>
      </c>
      <c r="AV284" s="28">
        <f t="shared" si="180"/>
        <v>0</v>
      </c>
      <c r="AW284" s="17">
        <f t="shared" si="167"/>
        <v>0</v>
      </c>
      <c r="AX284" s="28">
        <f t="shared" si="168"/>
        <v>0</v>
      </c>
      <c r="AY284" s="17">
        <f t="shared" si="169"/>
        <v>0</v>
      </c>
      <c r="AZ284" s="28">
        <f t="shared" si="170"/>
        <v>0</v>
      </c>
      <c r="BA284" s="27">
        <f t="shared" si="189"/>
        <v>0</v>
      </c>
      <c r="BB284" s="27">
        <f t="shared" si="172"/>
        <v>0</v>
      </c>
      <c r="BC284" s="27">
        <f t="shared" si="174"/>
        <v>0</v>
      </c>
      <c r="BD284" s="27">
        <f t="shared" si="175"/>
        <v>0</v>
      </c>
      <c r="BE284" s="27">
        <f t="shared" si="176"/>
        <v>0</v>
      </c>
      <c r="BF284" s="29">
        <f t="shared" si="190"/>
        <v>0</v>
      </c>
      <c r="BH284" s="30">
        <f t="shared" si="171"/>
        <v>0</v>
      </c>
      <c r="BM284" s="2">
        <f t="shared" si="187"/>
        <v>0</v>
      </c>
      <c r="BP284" s="2">
        <f t="shared" si="188"/>
        <v>0</v>
      </c>
    </row>
    <row r="285" spans="1:68" ht="14.45" hidden="1" customHeight="1" x14ac:dyDescent="0.25">
      <c r="A285" s="33" t="s">
        <v>311</v>
      </c>
      <c r="B285" s="23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13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5"/>
      <c r="AD285" s="25">
        <f t="shared" si="184"/>
        <v>0</v>
      </c>
      <c r="AE285" s="26" t="s">
        <v>42</v>
      </c>
      <c r="AF285" s="27"/>
      <c r="AG285" s="17">
        <f t="shared" si="162"/>
        <v>0</v>
      </c>
      <c r="AH285" s="28">
        <f t="shared" si="163"/>
        <v>0</v>
      </c>
      <c r="AI285" s="17">
        <f t="shared" si="164"/>
        <v>0</v>
      </c>
      <c r="AJ285" s="28">
        <f t="shared" si="165"/>
        <v>0</v>
      </c>
      <c r="AK285" s="17">
        <f t="shared" si="173"/>
        <v>0</v>
      </c>
      <c r="AL285" s="28">
        <f t="shared" si="166"/>
        <v>0</v>
      </c>
      <c r="AM285" s="17">
        <f t="shared" si="181"/>
        <v>0</v>
      </c>
      <c r="AN285" s="28">
        <f t="shared" si="154"/>
        <v>0</v>
      </c>
      <c r="AO285" s="17">
        <f t="shared" si="182"/>
        <v>0</v>
      </c>
      <c r="AP285" s="28">
        <f t="shared" si="185"/>
        <v>0</v>
      </c>
      <c r="AQ285" s="17">
        <f t="shared" si="183"/>
        <v>0</v>
      </c>
      <c r="AR285" s="28">
        <f t="shared" si="186"/>
        <v>0</v>
      </c>
      <c r="AS285" s="17">
        <f t="shared" si="177"/>
        <v>0</v>
      </c>
      <c r="AT285" s="28">
        <f t="shared" si="178"/>
        <v>0</v>
      </c>
      <c r="AU285" s="17">
        <f t="shared" si="179"/>
        <v>0</v>
      </c>
      <c r="AV285" s="28">
        <f t="shared" si="180"/>
        <v>0</v>
      </c>
      <c r="AW285" s="17">
        <f t="shared" si="167"/>
        <v>0</v>
      </c>
      <c r="AX285" s="28">
        <f t="shared" si="168"/>
        <v>0</v>
      </c>
      <c r="AY285" s="17">
        <f t="shared" si="169"/>
        <v>0</v>
      </c>
      <c r="AZ285" s="28">
        <f t="shared" si="170"/>
        <v>0</v>
      </c>
      <c r="BA285" s="27">
        <f t="shared" si="189"/>
        <v>0</v>
      </c>
      <c r="BB285" s="27">
        <f t="shared" si="172"/>
        <v>0</v>
      </c>
      <c r="BC285" s="27">
        <f t="shared" si="174"/>
        <v>0</v>
      </c>
      <c r="BD285" s="27">
        <f t="shared" si="175"/>
        <v>0</v>
      </c>
      <c r="BE285" s="27">
        <f t="shared" si="176"/>
        <v>0</v>
      </c>
      <c r="BF285" s="29">
        <f t="shared" si="190"/>
        <v>0</v>
      </c>
      <c r="BH285" s="30">
        <f t="shared" si="171"/>
        <v>0</v>
      </c>
      <c r="BM285" s="2">
        <f t="shared" si="187"/>
        <v>0</v>
      </c>
      <c r="BP285" s="2">
        <f t="shared" si="188"/>
        <v>0</v>
      </c>
    </row>
    <row r="286" spans="1:68" x14ac:dyDescent="0.25">
      <c r="A286" s="33" t="s">
        <v>312</v>
      </c>
      <c r="B286" s="23"/>
      <c r="C286" s="24"/>
      <c r="D286" s="24">
        <v>138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13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5"/>
      <c r="AD286" s="25">
        <f t="shared" si="184"/>
        <v>138</v>
      </c>
      <c r="AE286" s="26" t="s">
        <v>42</v>
      </c>
      <c r="AF286" s="27">
        <v>2750</v>
      </c>
      <c r="AG286" s="17">
        <f t="shared" si="162"/>
        <v>0</v>
      </c>
      <c r="AH286" s="28">
        <f t="shared" si="163"/>
        <v>0</v>
      </c>
      <c r="AI286" s="17">
        <f t="shared" si="164"/>
        <v>0</v>
      </c>
      <c r="AJ286" s="28">
        <f t="shared" si="165"/>
        <v>0</v>
      </c>
      <c r="AK286" s="17">
        <f t="shared" si="173"/>
        <v>0</v>
      </c>
      <c r="AL286" s="28">
        <f t="shared" si="166"/>
        <v>0</v>
      </c>
      <c r="AM286" s="17">
        <f t="shared" si="181"/>
        <v>0</v>
      </c>
      <c r="AN286" s="28">
        <f t="shared" si="154"/>
        <v>0</v>
      </c>
      <c r="AO286" s="17">
        <f t="shared" si="182"/>
        <v>0</v>
      </c>
      <c r="AP286" s="28">
        <f t="shared" si="185"/>
        <v>0</v>
      </c>
      <c r="AQ286" s="17">
        <f t="shared" si="183"/>
        <v>0</v>
      </c>
      <c r="AR286" s="28">
        <f t="shared" si="186"/>
        <v>0</v>
      </c>
      <c r="AS286" s="17">
        <f t="shared" si="177"/>
        <v>0</v>
      </c>
      <c r="AT286" s="28">
        <f t="shared" si="178"/>
        <v>0</v>
      </c>
      <c r="AU286" s="17">
        <f t="shared" si="179"/>
        <v>0</v>
      </c>
      <c r="AV286" s="28">
        <f t="shared" si="180"/>
        <v>0</v>
      </c>
      <c r="AW286" s="17">
        <f t="shared" si="167"/>
        <v>138</v>
      </c>
      <c r="AX286" s="28">
        <f t="shared" si="168"/>
        <v>379500</v>
      </c>
      <c r="AY286" s="17">
        <f t="shared" si="169"/>
        <v>0</v>
      </c>
      <c r="AZ286" s="28">
        <f t="shared" si="170"/>
        <v>0</v>
      </c>
      <c r="BA286" s="27">
        <f t="shared" si="189"/>
        <v>0</v>
      </c>
      <c r="BB286" s="27">
        <f t="shared" si="172"/>
        <v>0</v>
      </c>
      <c r="BC286" s="27">
        <f t="shared" si="174"/>
        <v>0</v>
      </c>
      <c r="BD286" s="27">
        <f t="shared" si="175"/>
        <v>0</v>
      </c>
      <c r="BE286" s="27">
        <f t="shared" si="176"/>
        <v>379500</v>
      </c>
      <c r="BF286" s="29">
        <f t="shared" si="190"/>
        <v>0</v>
      </c>
      <c r="BH286" s="30">
        <f t="shared" si="171"/>
        <v>0</v>
      </c>
      <c r="BM286" s="2">
        <f t="shared" si="187"/>
        <v>138</v>
      </c>
      <c r="BP286" s="2">
        <f t="shared" si="188"/>
        <v>138</v>
      </c>
    </row>
    <row r="287" spans="1:68" ht="14.45" hidden="1" customHeight="1" x14ac:dyDescent="0.25">
      <c r="A287" s="33" t="s">
        <v>313</v>
      </c>
      <c r="B287" s="23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13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5"/>
      <c r="AD287" s="25">
        <f t="shared" si="184"/>
        <v>0</v>
      </c>
      <c r="AE287" s="26" t="s">
        <v>42</v>
      </c>
      <c r="AF287" s="27"/>
      <c r="AG287" s="17">
        <f t="shared" si="162"/>
        <v>0</v>
      </c>
      <c r="AH287" s="28">
        <f t="shared" si="163"/>
        <v>0</v>
      </c>
      <c r="AI287" s="17">
        <f t="shared" si="164"/>
        <v>0</v>
      </c>
      <c r="AJ287" s="28">
        <f t="shared" si="165"/>
        <v>0</v>
      </c>
      <c r="AK287" s="17">
        <f t="shared" si="173"/>
        <v>0</v>
      </c>
      <c r="AL287" s="28">
        <f t="shared" si="166"/>
        <v>0</v>
      </c>
      <c r="AM287" s="17">
        <f t="shared" si="181"/>
        <v>0</v>
      </c>
      <c r="AN287" s="28">
        <f t="shared" si="154"/>
        <v>0</v>
      </c>
      <c r="AO287" s="17">
        <f t="shared" si="182"/>
        <v>0</v>
      </c>
      <c r="AP287" s="28">
        <f t="shared" si="185"/>
        <v>0</v>
      </c>
      <c r="AQ287" s="17">
        <f t="shared" si="183"/>
        <v>0</v>
      </c>
      <c r="AR287" s="28">
        <f t="shared" si="186"/>
        <v>0</v>
      </c>
      <c r="AS287" s="17">
        <f t="shared" si="177"/>
        <v>0</v>
      </c>
      <c r="AT287" s="28">
        <f t="shared" si="178"/>
        <v>0</v>
      </c>
      <c r="AU287" s="17">
        <f t="shared" si="179"/>
        <v>0</v>
      </c>
      <c r="AV287" s="28">
        <f t="shared" si="180"/>
        <v>0</v>
      </c>
      <c r="AW287" s="17">
        <f t="shared" si="167"/>
        <v>0</v>
      </c>
      <c r="AX287" s="28">
        <f t="shared" si="168"/>
        <v>0</v>
      </c>
      <c r="AY287" s="17">
        <f t="shared" si="169"/>
        <v>0</v>
      </c>
      <c r="AZ287" s="28">
        <f t="shared" si="170"/>
        <v>0</v>
      </c>
      <c r="BA287" s="27">
        <f t="shared" si="189"/>
        <v>0</v>
      </c>
      <c r="BB287" s="27">
        <f t="shared" si="172"/>
        <v>0</v>
      </c>
      <c r="BC287" s="27">
        <f t="shared" si="174"/>
        <v>0</v>
      </c>
      <c r="BD287" s="27">
        <f t="shared" si="175"/>
        <v>0</v>
      </c>
      <c r="BE287" s="27">
        <f t="shared" si="176"/>
        <v>0</v>
      </c>
      <c r="BF287" s="29">
        <f t="shared" si="190"/>
        <v>0</v>
      </c>
      <c r="BH287" s="30">
        <f t="shared" si="171"/>
        <v>0</v>
      </c>
      <c r="BM287" s="2">
        <f t="shared" si="187"/>
        <v>0</v>
      </c>
      <c r="BP287" s="2">
        <f t="shared" si="188"/>
        <v>0</v>
      </c>
    </row>
    <row r="288" spans="1:68" ht="14.45" hidden="1" customHeight="1" x14ac:dyDescent="0.25">
      <c r="A288" s="33" t="s">
        <v>314</v>
      </c>
      <c r="B288" s="23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13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5"/>
      <c r="AD288" s="25">
        <f t="shared" si="184"/>
        <v>0</v>
      </c>
      <c r="AE288" s="26" t="s">
        <v>42</v>
      </c>
      <c r="AF288" s="27"/>
      <c r="AG288" s="17">
        <f t="shared" si="162"/>
        <v>0</v>
      </c>
      <c r="AH288" s="28">
        <f t="shared" si="163"/>
        <v>0</v>
      </c>
      <c r="AI288" s="17">
        <f t="shared" si="164"/>
        <v>0</v>
      </c>
      <c r="AJ288" s="28">
        <f t="shared" si="165"/>
        <v>0</v>
      </c>
      <c r="AK288" s="17">
        <f t="shared" si="173"/>
        <v>0</v>
      </c>
      <c r="AL288" s="28">
        <f t="shared" si="166"/>
        <v>0</v>
      </c>
      <c r="AM288" s="17">
        <f t="shared" si="181"/>
        <v>0</v>
      </c>
      <c r="AN288" s="28">
        <f t="shared" si="154"/>
        <v>0</v>
      </c>
      <c r="AO288" s="17">
        <f t="shared" si="182"/>
        <v>0</v>
      </c>
      <c r="AP288" s="28">
        <f t="shared" si="185"/>
        <v>0</v>
      </c>
      <c r="AQ288" s="17">
        <f t="shared" si="183"/>
        <v>0</v>
      </c>
      <c r="AR288" s="28">
        <f t="shared" si="186"/>
        <v>0</v>
      </c>
      <c r="AS288" s="17">
        <f t="shared" si="177"/>
        <v>0</v>
      </c>
      <c r="AT288" s="28">
        <f t="shared" si="178"/>
        <v>0</v>
      </c>
      <c r="AU288" s="17">
        <f t="shared" si="179"/>
        <v>0</v>
      </c>
      <c r="AV288" s="28">
        <f t="shared" si="180"/>
        <v>0</v>
      </c>
      <c r="AW288" s="17">
        <f t="shared" si="167"/>
        <v>0</v>
      </c>
      <c r="AX288" s="28">
        <f t="shared" si="168"/>
        <v>0</v>
      </c>
      <c r="AY288" s="17">
        <f t="shared" si="169"/>
        <v>0</v>
      </c>
      <c r="AZ288" s="28">
        <f t="shared" si="170"/>
        <v>0</v>
      </c>
      <c r="BA288" s="27">
        <f t="shared" si="189"/>
        <v>0</v>
      </c>
      <c r="BB288" s="27">
        <f t="shared" si="172"/>
        <v>0</v>
      </c>
      <c r="BC288" s="27">
        <f t="shared" si="174"/>
        <v>0</v>
      </c>
      <c r="BD288" s="27">
        <f t="shared" si="175"/>
        <v>0</v>
      </c>
      <c r="BE288" s="27">
        <f t="shared" si="176"/>
        <v>0</v>
      </c>
      <c r="BF288" s="29">
        <f t="shared" si="190"/>
        <v>0</v>
      </c>
      <c r="BH288" s="30">
        <f t="shared" si="171"/>
        <v>0</v>
      </c>
      <c r="BM288" s="2">
        <f t="shared" si="187"/>
        <v>0</v>
      </c>
      <c r="BP288" s="2">
        <f t="shared" si="188"/>
        <v>0</v>
      </c>
    </row>
    <row r="289" spans="1:68" ht="14.45" hidden="1" customHeight="1" x14ac:dyDescent="0.25">
      <c r="A289" s="33" t="s">
        <v>314</v>
      </c>
      <c r="B289" s="23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13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5"/>
      <c r="AD289" s="25">
        <f t="shared" si="184"/>
        <v>0</v>
      </c>
      <c r="AE289" s="26" t="s">
        <v>42</v>
      </c>
      <c r="AF289" s="27"/>
      <c r="AG289" s="17">
        <f t="shared" si="162"/>
        <v>0</v>
      </c>
      <c r="AH289" s="28">
        <f t="shared" si="163"/>
        <v>0</v>
      </c>
      <c r="AI289" s="17">
        <f t="shared" si="164"/>
        <v>0</v>
      </c>
      <c r="AJ289" s="28">
        <f t="shared" si="165"/>
        <v>0</v>
      </c>
      <c r="AK289" s="17">
        <f t="shared" si="173"/>
        <v>0</v>
      </c>
      <c r="AL289" s="28">
        <f t="shared" si="166"/>
        <v>0</v>
      </c>
      <c r="AM289" s="17">
        <f t="shared" si="181"/>
        <v>0</v>
      </c>
      <c r="AN289" s="28">
        <f t="shared" si="154"/>
        <v>0</v>
      </c>
      <c r="AO289" s="17">
        <f t="shared" si="182"/>
        <v>0</v>
      </c>
      <c r="AP289" s="28">
        <f t="shared" si="185"/>
        <v>0</v>
      </c>
      <c r="AQ289" s="17">
        <f t="shared" si="183"/>
        <v>0</v>
      </c>
      <c r="AR289" s="28">
        <f t="shared" si="186"/>
        <v>0</v>
      </c>
      <c r="AS289" s="17">
        <f t="shared" si="177"/>
        <v>0</v>
      </c>
      <c r="AT289" s="28">
        <f t="shared" si="178"/>
        <v>0</v>
      </c>
      <c r="AU289" s="17">
        <f t="shared" si="179"/>
        <v>0</v>
      </c>
      <c r="AV289" s="28">
        <f t="shared" si="180"/>
        <v>0</v>
      </c>
      <c r="AW289" s="17">
        <f t="shared" si="167"/>
        <v>0</v>
      </c>
      <c r="AX289" s="28">
        <f t="shared" si="168"/>
        <v>0</v>
      </c>
      <c r="AY289" s="17">
        <f t="shared" si="169"/>
        <v>0</v>
      </c>
      <c r="AZ289" s="28">
        <f t="shared" si="170"/>
        <v>0</v>
      </c>
      <c r="BA289" s="27">
        <f t="shared" si="189"/>
        <v>0</v>
      </c>
      <c r="BB289" s="27">
        <f t="shared" si="172"/>
        <v>0</v>
      </c>
      <c r="BC289" s="27">
        <f t="shared" si="174"/>
        <v>0</v>
      </c>
      <c r="BD289" s="27">
        <f t="shared" si="175"/>
        <v>0</v>
      </c>
      <c r="BE289" s="27">
        <f t="shared" si="176"/>
        <v>0</v>
      </c>
      <c r="BF289" s="29">
        <f t="shared" si="190"/>
        <v>0</v>
      </c>
      <c r="BH289" s="30">
        <f t="shared" si="171"/>
        <v>0</v>
      </c>
      <c r="BM289" s="2">
        <f t="shared" si="187"/>
        <v>0</v>
      </c>
      <c r="BP289" s="2">
        <f t="shared" si="188"/>
        <v>0</v>
      </c>
    </row>
    <row r="290" spans="1:68" ht="14.45" customHeight="1" x14ac:dyDescent="0.25">
      <c r="A290" s="33" t="s">
        <v>315</v>
      </c>
      <c r="B290" s="23"/>
      <c r="C290" s="24"/>
      <c r="D290" s="24">
        <v>38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13"/>
      <c r="P290" s="24"/>
      <c r="Q290" s="24"/>
      <c r="R290" s="24">
        <v>187</v>
      </c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5"/>
      <c r="AD290" s="39">
        <f>SUM(B290:AB290)</f>
        <v>225</v>
      </c>
      <c r="AE290" s="26" t="s">
        <v>42</v>
      </c>
      <c r="AF290" s="27">
        <v>2750</v>
      </c>
      <c r="AG290" s="17">
        <f t="shared" si="162"/>
        <v>0</v>
      </c>
      <c r="AH290" s="28">
        <f t="shared" si="163"/>
        <v>0</v>
      </c>
      <c r="AI290" s="17">
        <f t="shared" si="164"/>
        <v>0</v>
      </c>
      <c r="AJ290" s="28">
        <f t="shared" si="165"/>
        <v>0</v>
      </c>
      <c r="AK290" s="17">
        <f t="shared" si="173"/>
        <v>0</v>
      </c>
      <c r="AL290" s="28">
        <f t="shared" si="166"/>
        <v>0</v>
      </c>
      <c r="AM290" s="17">
        <f t="shared" si="181"/>
        <v>0</v>
      </c>
      <c r="AN290" s="28">
        <f t="shared" si="154"/>
        <v>0</v>
      </c>
      <c r="AO290" s="17">
        <f t="shared" si="182"/>
        <v>0</v>
      </c>
      <c r="AP290" s="28"/>
      <c r="AQ290" s="17">
        <f t="shared" si="183"/>
        <v>0</v>
      </c>
      <c r="AR290" s="28"/>
      <c r="AS290" s="17">
        <f t="shared" si="177"/>
        <v>0</v>
      </c>
      <c r="AT290" s="28">
        <f t="shared" si="178"/>
        <v>0</v>
      </c>
      <c r="AU290" s="17">
        <f t="shared" si="179"/>
        <v>0</v>
      </c>
      <c r="AV290" s="28">
        <f t="shared" si="180"/>
        <v>0</v>
      </c>
      <c r="AW290" s="17">
        <f t="shared" si="167"/>
        <v>38</v>
      </c>
      <c r="AX290" s="28">
        <f t="shared" si="168"/>
        <v>104500</v>
      </c>
      <c r="AY290" s="17">
        <f t="shared" si="169"/>
        <v>187</v>
      </c>
      <c r="AZ290" s="28">
        <f t="shared" si="170"/>
        <v>514250</v>
      </c>
      <c r="BA290" s="27">
        <f t="shared" si="189"/>
        <v>0</v>
      </c>
      <c r="BB290" s="27">
        <f t="shared" si="172"/>
        <v>0</v>
      </c>
      <c r="BC290" s="27">
        <f t="shared" si="174"/>
        <v>0</v>
      </c>
      <c r="BD290" s="27">
        <f t="shared" si="175"/>
        <v>0</v>
      </c>
      <c r="BE290" s="27">
        <f t="shared" si="176"/>
        <v>618750</v>
      </c>
      <c r="BF290" s="29">
        <f t="shared" si="190"/>
        <v>0</v>
      </c>
      <c r="BH290" s="30">
        <f t="shared" si="171"/>
        <v>0</v>
      </c>
    </row>
    <row r="291" spans="1:68" x14ac:dyDescent="0.25">
      <c r="A291" s="33" t="s">
        <v>316</v>
      </c>
      <c r="B291" s="23"/>
      <c r="C291" s="24"/>
      <c r="D291" s="24">
        <v>96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13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5"/>
      <c r="AD291" s="25">
        <f t="shared" ref="AD291:AD306" si="191">SUM(B291:S291)</f>
        <v>96</v>
      </c>
      <c r="AE291" s="26" t="s">
        <v>42</v>
      </c>
      <c r="AF291" s="27">
        <v>4500</v>
      </c>
      <c r="AG291" s="17">
        <f t="shared" si="162"/>
        <v>0</v>
      </c>
      <c r="AH291" s="28">
        <f t="shared" si="163"/>
        <v>0</v>
      </c>
      <c r="AI291" s="17">
        <f t="shared" si="164"/>
        <v>0</v>
      </c>
      <c r="AJ291" s="28">
        <f t="shared" si="165"/>
        <v>0</v>
      </c>
      <c r="AK291" s="17">
        <f t="shared" si="173"/>
        <v>0</v>
      </c>
      <c r="AL291" s="28">
        <f t="shared" si="166"/>
        <v>0</v>
      </c>
      <c r="AM291" s="17">
        <f t="shared" si="181"/>
        <v>0</v>
      </c>
      <c r="AN291" s="28">
        <f t="shared" si="154"/>
        <v>0</v>
      </c>
      <c r="AO291" s="17">
        <f t="shared" si="182"/>
        <v>0</v>
      </c>
      <c r="AP291" s="28">
        <f t="shared" ref="AP291:AP328" si="192">+AO291*AF291</f>
        <v>0</v>
      </c>
      <c r="AQ291" s="17">
        <f t="shared" si="183"/>
        <v>0</v>
      </c>
      <c r="AR291" s="28">
        <f t="shared" ref="AR291:AR328" si="193">+AQ291*AF291</f>
        <v>0</v>
      </c>
      <c r="AS291" s="17">
        <f t="shared" si="177"/>
        <v>0</v>
      </c>
      <c r="AT291" s="28">
        <f t="shared" si="178"/>
        <v>0</v>
      </c>
      <c r="AU291" s="17">
        <f t="shared" si="179"/>
        <v>0</v>
      </c>
      <c r="AV291" s="28">
        <f t="shared" si="180"/>
        <v>0</v>
      </c>
      <c r="AW291" s="17">
        <f t="shared" si="167"/>
        <v>96</v>
      </c>
      <c r="AX291" s="28">
        <f t="shared" si="168"/>
        <v>432000</v>
      </c>
      <c r="AY291" s="17">
        <f t="shared" si="169"/>
        <v>0</v>
      </c>
      <c r="AZ291" s="28">
        <f t="shared" si="170"/>
        <v>0</v>
      </c>
      <c r="BA291" s="27">
        <f t="shared" si="189"/>
        <v>0</v>
      </c>
      <c r="BB291" s="27">
        <f t="shared" si="172"/>
        <v>0</v>
      </c>
      <c r="BC291" s="27">
        <f t="shared" si="174"/>
        <v>0</v>
      </c>
      <c r="BD291" s="27">
        <f t="shared" si="175"/>
        <v>0</v>
      </c>
      <c r="BE291" s="27">
        <f t="shared" si="176"/>
        <v>432000</v>
      </c>
      <c r="BF291" s="29">
        <f t="shared" si="190"/>
        <v>0</v>
      </c>
      <c r="BH291" s="30">
        <f t="shared" si="171"/>
        <v>0</v>
      </c>
      <c r="BM291" s="2">
        <f t="shared" ref="BM291:BM328" si="194">SUM(B291:S291)</f>
        <v>96</v>
      </c>
      <c r="BP291" s="2">
        <f t="shared" ref="BP291:BP328" si="195">SUM(B291:S291)</f>
        <v>96</v>
      </c>
    </row>
    <row r="292" spans="1:68" ht="14.45" hidden="1" customHeight="1" x14ac:dyDescent="0.25">
      <c r="A292" s="33" t="s">
        <v>317</v>
      </c>
      <c r="B292" s="23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13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5"/>
      <c r="AD292" s="25">
        <f t="shared" si="191"/>
        <v>0</v>
      </c>
      <c r="AE292" s="26" t="s">
        <v>42</v>
      </c>
      <c r="AF292" s="27"/>
      <c r="AG292" s="17">
        <f t="shared" si="162"/>
        <v>0</v>
      </c>
      <c r="AH292" s="28">
        <f t="shared" si="163"/>
        <v>0</v>
      </c>
      <c r="AI292" s="17">
        <f t="shared" si="164"/>
        <v>0</v>
      </c>
      <c r="AJ292" s="28">
        <f t="shared" si="165"/>
        <v>0</v>
      </c>
      <c r="AK292" s="17">
        <f t="shared" si="173"/>
        <v>0</v>
      </c>
      <c r="AL292" s="28">
        <f t="shared" si="166"/>
        <v>0</v>
      </c>
      <c r="AM292" s="17">
        <f t="shared" si="181"/>
        <v>0</v>
      </c>
      <c r="AN292" s="28">
        <f t="shared" si="154"/>
        <v>0</v>
      </c>
      <c r="AO292" s="17">
        <f t="shared" si="182"/>
        <v>0</v>
      </c>
      <c r="AP292" s="28">
        <f t="shared" si="192"/>
        <v>0</v>
      </c>
      <c r="AQ292" s="17">
        <f t="shared" si="183"/>
        <v>0</v>
      </c>
      <c r="AR292" s="28">
        <f t="shared" si="193"/>
        <v>0</v>
      </c>
      <c r="AS292" s="17">
        <f t="shared" si="177"/>
        <v>0</v>
      </c>
      <c r="AT292" s="28">
        <f t="shared" si="178"/>
        <v>0</v>
      </c>
      <c r="AU292" s="17">
        <f t="shared" si="179"/>
        <v>0</v>
      </c>
      <c r="AV292" s="28">
        <f t="shared" si="180"/>
        <v>0</v>
      </c>
      <c r="AW292" s="17">
        <f t="shared" si="167"/>
        <v>0</v>
      </c>
      <c r="AX292" s="28">
        <f t="shared" si="168"/>
        <v>0</v>
      </c>
      <c r="AY292" s="17">
        <f t="shared" si="169"/>
        <v>0</v>
      </c>
      <c r="AZ292" s="28">
        <f t="shared" si="170"/>
        <v>0</v>
      </c>
      <c r="BA292" s="27">
        <f t="shared" si="189"/>
        <v>0</v>
      </c>
      <c r="BB292" s="27">
        <f t="shared" si="172"/>
        <v>0</v>
      </c>
      <c r="BC292" s="27">
        <f t="shared" si="174"/>
        <v>0</v>
      </c>
      <c r="BD292" s="27">
        <f t="shared" si="175"/>
        <v>0</v>
      </c>
      <c r="BE292" s="27">
        <f t="shared" si="176"/>
        <v>0</v>
      </c>
      <c r="BF292" s="29">
        <f t="shared" si="190"/>
        <v>0</v>
      </c>
      <c r="BH292" s="30">
        <f t="shared" si="171"/>
        <v>0</v>
      </c>
      <c r="BM292" s="2">
        <f t="shared" si="194"/>
        <v>0</v>
      </c>
      <c r="BP292" s="2">
        <f t="shared" si="195"/>
        <v>0</v>
      </c>
    </row>
    <row r="293" spans="1:68" x14ac:dyDescent="0.25">
      <c r="A293" s="33" t="s">
        <v>318</v>
      </c>
      <c r="B293" s="23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13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5"/>
      <c r="AD293" s="25">
        <f t="shared" si="191"/>
        <v>0</v>
      </c>
      <c r="AE293" s="26" t="s">
        <v>42</v>
      </c>
      <c r="AF293" s="27">
        <v>2750</v>
      </c>
      <c r="AG293" s="17">
        <f t="shared" si="162"/>
        <v>0</v>
      </c>
      <c r="AH293" s="28">
        <f t="shared" si="163"/>
        <v>0</v>
      </c>
      <c r="AI293" s="17">
        <f t="shared" si="164"/>
        <v>0</v>
      </c>
      <c r="AJ293" s="28">
        <f t="shared" si="165"/>
        <v>0</v>
      </c>
      <c r="AK293" s="17">
        <f t="shared" si="173"/>
        <v>0</v>
      </c>
      <c r="AL293" s="28">
        <f t="shared" si="166"/>
        <v>0</v>
      </c>
      <c r="AM293" s="17">
        <f t="shared" si="181"/>
        <v>0</v>
      </c>
      <c r="AN293" s="28">
        <f t="shared" si="154"/>
        <v>0</v>
      </c>
      <c r="AO293" s="17">
        <f t="shared" si="182"/>
        <v>0</v>
      </c>
      <c r="AP293" s="28">
        <f t="shared" si="192"/>
        <v>0</v>
      </c>
      <c r="AQ293" s="17">
        <f t="shared" si="183"/>
        <v>0</v>
      </c>
      <c r="AR293" s="28">
        <f t="shared" si="193"/>
        <v>0</v>
      </c>
      <c r="AS293" s="17">
        <f t="shared" si="177"/>
        <v>0</v>
      </c>
      <c r="AT293" s="28">
        <f t="shared" si="178"/>
        <v>0</v>
      </c>
      <c r="AU293" s="17">
        <f t="shared" si="179"/>
        <v>0</v>
      </c>
      <c r="AV293" s="28">
        <f t="shared" si="180"/>
        <v>0</v>
      </c>
      <c r="AW293" s="17">
        <f t="shared" si="167"/>
        <v>0</v>
      </c>
      <c r="AX293" s="28">
        <f t="shared" si="168"/>
        <v>0</v>
      </c>
      <c r="AY293" s="17">
        <f t="shared" si="169"/>
        <v>0</v>
      </c>
      <c r="AZ293" s="28">
        <f t="shared" si="170"/>
        <v>0</v>
      </c>
      <c r="BA293" s="27">
        <f t="shared" si="189"/>
        <v>0</v>
      </c>
      <c r="BB293" s="27">
        <f t="shared" si="172"/>
        <v>0</v>
      </c>
      <c r="BC293" s="27">
        <f t="shared" si="174"/>
        <v>0</v>
      </c>
      <c r="BD293" s="27">
        <f t="shared" si="175"/>
        <v>0</v>
      </c>
      <c r="BE293" s="27">
        <f t="shared" si="176"/>
        <v>0</v>
      </c>
      <c r="BF293" s="29">
        <f t="shared" si="190"/>
        <v>0</v>
      </c>
      <c r="BH293" s="30">
        <f t="shared" si="171"/>
        <v>0</v>
      </c>
      <c r="BM293" s="2">
        <f t="shared" si="194"/>
        <v>0</v>
      </c>
      <c r="BP293" s="2">
        <f t="shared" si="195"/>
        <v>0</v>
      </c>
    </row>
    <row r="294" spans="1:68" ht="14.45" hidden="1" customHeight="1" x14ac:dyDescent="0.25">
      <c r="A294" s="33" t="s">
        <v>319</v>
      </c>
      <c r="B294" s="23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13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5"/>
      <c r="AD294" s="25">
        <f t="shared" si="191"/>
        <v>0</v>
      </c>
      <c r="AE294" s="26" t="s">
        <v>42</v>
      </c>
      <c r="AF294" s="27"/>
      <c r="AG294" s="17">
        <f t="shared" si="162"/>
        <v>0</v>
      </c>
      <c r="AH294" s="28">
        <f t="shared" si="163"/>
        <v>0</v>
      </c>
      <c r="AI294" s="17">
        <f t="shared" si="164"/>
        <v>0</v>
      </c>
      <c r="AJ294" s="28">
        <f t="shared" si="165"/>
        <v>0</v>
      </c>
      <c r="AK294" s="17">
        <f t="shared" si="173"/>
        <v>0</v>
      </c>
      <c r="AL294" s="28">
        <f t="shared" si="166"/>
        <v>0</v>
      </c>
      <c r="AM294" s="17">
        <f t="shared" si="181"/>
        <v>0</v>
      </c>
      <c r="AN294" s="28">
        <f t="shared" si="154"/>
        <v>0</v>
      </c>
      <c r="AO294" s="17">
        <f t="shared" si="182"/>
        <v>0</v>
      </c>
      <c r="AP294" s="28">
        <f t="shared" si="192"/>
        <v>0</v>
      </c>
      <c r="AQ294" s="17">
        <f t="shared" si="183"/>
        <v>0</v>
      </c>
      <c r="AR294" s="28">
        <f t="shared" si="193"/>
        <v>0</v>
      </c>
      <c r="AS294" s="17">
        <f t="shared" si="177"/>
        <v>0</v>
      </c>
      <c r="AT294" s="28">
        <f t="shared" si="178"/>
        <v>0</v>
      </c>
      <c r="AU294" s="17">
        <f t="shared" si="179"/>
        <v>0</v>
      </c>
      <c r="AV294" s="28">
        <f t="shared" si="180"/>
        <v>0</v>
      </c>
      <c r="AW294" s="17">
        <f t="shared" si="167"/>
        <v>0</v>
      </c>
      <c r="AX294" s="28">
        <f t="shared" si="168"/>
        <v>0</v>
      </c>
      <c r="AY294" s="17">
        <f t="shared" si="169"/>
        <v>0</v>
      </c>
      <c r="AZ294" s="28">
        <f t="shared" si="170"/>
        <v>0</v>
      </c>
      <c r="BA294" s="27">
        <f t="shared" si="189"/>
        <v>0</v>
      </c>
      <c r="BB294" s="27">
        <f t="shared" si="172"/>
        <v>0</v>
      </c>
      <c r="BC294" s="27">
        <f t="shared" si="174"/>
        <v>0</v>
      </c>
      <c r="BD294" s="27">
        <f t="shared" si="175"/>
        <v>0</v>
      </c>
      <c r="BE294" s="27">
        <f t="shared" si="176"/>
        <v>0</v>
      </c>
      <c r="BF294" s="29">
        <f t="shared" si="190"/>
        <v>0</v>
      </c>
      <c r="BH294" s="30">
        <f t="shared" si="171"/>
        <v>0</v>
      </c>
      <c r="BM294" s="2">
        <f t="shared" si="194"/>
        <v>0</v>
      </c>
      <c r="BP294" s="2">
        <f t="shared" si="195"/>
        <v>0</v>
      </c>
    </row>
    <row r="295" spans="1:68" ht="14.45" hidden="1" customHeight="1" x14ac:dyDescent="0.25">
      <c r="A295" s="33" t="s">
        <v>320</v>
      </c>
      <c r="B295" s="23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13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5"/>
      <c r="AD295" s="25">
        <f t="shared" si="191"/>
        <v>0</v>
      </c>
      <c r="AE295" s="26" t="s">
        <v>42</v>
      </c>
      <c r="AF295" s="27"/>
      <c r="AG295" s="17">
        <f t="shared" si="162"/>
        <v>0</v>
      </c>
      <c r="AH295" s="28">
        <f t="shared" si="163"/>
        <v>0</v>
      </c>
      <c r="AI295" s="17">
        <f t="shared" si="164"/>
        <v>0</v>
      </c>
      <c r="AJ295" s="28">
        <f t="shared" si="165"/>
        <v>0</v>
      </c>
      <c r="AK295" s="17">
        <f t="shared" si="173"/>
        <v>0</v>
      </c>
      <c r="AL295" s="28">
        <f t="shared" si="166"/>
        <v>0</v>
      </c>
      <c r="AM295" s="17">
        <f t="shared" si="181"/>
        <v>0</v>
      </c>
      <c r="AN295" s="28">
        <f t="shared" si="154"/>
        <v>0</v>
      </c>
      <c r="AO295" s="17">
        <f t="shared" si="182"/>
        <v>0</v>
      </c>
      <c r="AP295" s="28">
        <f t="shared" si="192"/>
        <v>0</v>
      </c>
      <c r="AQ295" s="17">
        <f t="shared" si="183"/>
        <v>0</v>
      </c>
      <c r="AR295" s="28">
        <f t="shared" si="193"/>
        <v>0</v>
      </c>
      <c r="AS295" s="17">
        <f t="shared" si="177"/>
        <v>0</v>
      </c>
      <c r="AT295" s="28">
        <f t="shared" si="178"/>
        <v>0</v>
      </c>
      <c r="AU295" s="17">
        <f t="shared" si="179"/>
        <v>0</v>
      </c>
      <c r="AV295" s="28">
        <f t="shared" si="180"/>
        <v>0</v>
      </c>
      <c r="AW295" s="17">
        <f t="shared" si="167"/>
        <v>0</v>
      </c>
      <c r="AX295" s="28">
        <f t="shared" si="168"/>
        <v>0</v>
      </c>
      <c r="AY295" s="17">
        <f t="shared" si="169"/>
        <v>0</v>
      </c>
      <c r="AZ295" s="28">
        <f t="shared" si="170"/>
        <v>0</v>
      </c>
      <c r="BA295" s="27">
        <f t="shared" si="189"/>
        <v>0</v>
      </c>
      <c r="BB295" s="27">
        <f t="shared" si="172"/>
        <v>0</v>
      </c>
      <c r="BC295" s="27">
        <f t="shared" si="174"/>
        <v>0</v>
      </c>
      <c r="BD295" s="27">
        <f t="shared" si="175"/>
        <v>0</v>
      </c>
      <c r="BE295" s="27">
        <f t="shared" si="176"/>
        <v>0</v>
      </c>
      <c r="BF295" s="29">
        <f t="shared" si="190"/>
        <v>0</v>
      </c>
      <c r="BH295" s="30">
        <f t="shared" si="171"/>
        <v>0</v>
      </c>
      <c r="BM295" s="2">
        <f t="shared" si="194"/>
        <v>0</v>
      </c>
      <c r="BP295" s="2">
        <f t="shared" si="195"/>
        <v>0</v>
      </c>
    </row>
    <row r="296" spans="1:68" x14ac:dyDescent="0.25">
      <c r="A296" s="33" t="s">
        <v>321</v>
      </c>
      <c r="B296" s="23"/>
      <c r="C296" s="24"/>
      <c r="D296" s="24">
        <v>60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13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5"/>
      <c r="AD296" s="25">
        <f t="shared" si="191"/>
        <v>60</v>
      </c>
      <c r="AE296" s="26" t="s">
        <v>42</v>
      </c>
      <c r="AF296" s="27">
        <v>3000</v>
      </c>
      <c r="AG296" s="17">
        <f t="shared" si="162"/>
        <v>0</v>
      </c>
      <c r="AH296" s="28">
        <f t="shared" si="163"/>
        <v>0</v>
      </c>
      <c r="AI296" s="17">
        <f t="shared" si="164"/>
        <v>0</v>
      </c>
      <c r="AJ296" s="28">
        <f t="shared" si="165"/>
        <v>0</v>
      </c>
      <c r="AK296" s="17">
        <f t="shared" si="173"/>
        <v>0</v>
      </c>
      <c r="AL296" s="28">
        <f t="shared" si="166"/>
        <v>0</v>
      </c>
      <c r="AM296" s="17">
        <f t="shared" si="181"/>
        <v>0</v>
      </c>
      <c r="AN296" s="28">
        <f t="shared" si="154"/>
        <v>0</v>
      </c>
      <c r="AO296" s="17">
        <f t="shared" si="182"/>
        <v>0</v>
      </c>
      <c r="AP296" s="28">
        <f t="shared" si="192"/>
        <v>0</v>
      </c>
      <c r="AQ296" s="17">
        <f t="shared" si="183"/>
        <v>0</v>
      </c>
      <c r="AR296" s="28">
        <f t="shared" si="193"/>
        <v>0</v>
      </c>
      <c r="AS296" s="17">
        <f t="shared" si="177"/>
        <v>0</v>
      </c>
      <c r="AT296" s="28">
        <f t="shared" si="178"/>
        <v>0</v>
      </c>
      <c r="AU296" s="17">
        <f t="shared" si="179"/>
        <v>0</v>
      </c>
      <c r="AV296" s="28">
        <f t="shared" si="180"/>
        <v>0</v>
      </c>
      <c r="AW296" s="17">
        <f t="shared" si="167"/>
        <v>60</v>
      </c>
      <c r="AX296" s="28">
        <f t="shared" si="168"/>
        <v>180000</v>
      </c>
      <c r="AY296" s="17">
        <f t="shared" si="169"/>
        <v>0</v>
      </c>
      <c r="AZ296" s="28">
        <f t="shared" si="170"/>
        <v>0</v>
      </c>
      <c r="BA296" s="27">
        <f t="shared" si="189"/>
        <v>0</v>
      </c>
      <c r="BB296" s="27">
        <f t="shared" si="172"/>
        <v>0</v>
      </c>
      <c r="BC296" s="27">
        <f t="shared" si="174"/>
        <v>0</v>
      </c>
      <c r="BD296" s="27">
        <f t="shared" si="175"/>
        <v>0</v>
      </c>
      <c r="BE296" s="27">
        <f t="shared" si="176"/>
        <v>180000</v>
      </c>
      <c r="BF296" s="29">
        <f t="shared" si="190"/>
        <v>0</v>
      </c>
      <c r="BH296" s="30">
        <f t="shared" si="171"/>
        <v>0</v>
      </c>
      <c r="BM296" s="2">
        <f t="shared" si="194"/>
        <v>60</v>
      </c>
      <c r="BP296" s="2">
        <f t="shared" si="195"/>
        <v>60</v>
      </c>
    </row>
    <row r="297" spans="1:68" ht="14.45" hidden="1" customHeight="1" x14ac:dyDescent="0.25">
      <c r="A297" s="33" t="s">
        <v>322</v>
      </c>
      <c r="B297" s="23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13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5"/>
      <c r="AD297" s="25">
        <f t="shared" si="191"/>
        <v>0</v>
      </c>
      <c r="AE297" s="26" t="s">
        <v>42</v>
      </c>
      <c r="AF297" s="27"/>
      <c r="AG297" s="17">
        <f t="shared" si="162"/>
        <v>0</v>
      </c>
      <c r="AH297" s="28">
        <f t="shared" si="163"/>
        <v>0</v>
      </c>
      <c r="AI297" s="17">
        <f t="shared" si="164"/>
        <v>0</v>
      </c>
      <c r="AJ297" s="28">
        <f t="shared" si="165"/>
        <v>0</v>
      </c>
      <c r="AK297" s="17">
        <f t="shared" si="173"/>
        <v>0</v>
      </c>
      <c r="AL297" s="28">
        <f t="shared" si="166"/>
        <v>0</v>
      </c>
      <c r="AM297" s="17">
        <f t="shared" si="181"/>
        <v>0</v>
      </c>
      <c r="AN297" s="28">
        <f t="shared" si="154"/>
        <v>0</v>
      </c>
      <c r="AO297" s="17">
        <f t="shared" si="182"/>
        <v>0</v>
      </c>
      <c r="AP297" s="28">
        <f t="shared" si="192"/>
        <v>0</v>
      </c>
      <c r="AQ297" s="17">
        <f t="shared" si="183"/>
        <v>0</v>
      </c>
      <c r="AR297" s="28">
        <f t="shared" si="193"/>
        <v>0</v>
      </c>
      <c r="AS297" s="17">
        <f t="shared" si="177"/>
        <v>0</v>
      </c>
      <c r="AT297" s="28">
        <f t="shared" si="178"/>
        <v>0</v>
      </c>
      <c r="AU297" s="17">
        <f t="shared" si="179"/>
        <v>0</v>
      </c>
      <c r="AV297" s="28">
        <f t="shared" si="180"/>
        <v>0</v>
      </c>
      <c r="AW297" s="17">
        <f t="shared" si="167"/>
        <v>0</v>
      </c>
      <c r="AX297" s="28">
        <f t="shared" si="168"/>
        <v>0</v>
      </c>
      <c r="AY297" s="17">
        <f t="shared" si="169"/>
        <v>0</v>
      </c>
      <c r="AZ297" s="28">
        <f t="shared" si="170"/>
        <v>0</v>
      </c>
      <c r="BA297" s="27">
        <f t="shared" si="189"/>
        <v>0</v>
      </c>
      <c r="BB297" s="27">
        <f t="shared" si="172"/>
        <v>0</v>
      </c>
      <c r="BC297" s="27">
        <f t="shared" si="174"/>
        <v>0</v>
      </c>
      <c r="BD297" s="27">
        <f t="shared" si="175"/>
        <v>0</v>
      </c>
      <c r="BE297" s="27">
        <f t="shared" si="176"/>
        <v>0</v>
      </c>
      <c r="BF297" s="29">
        <f t="shared" si="190"/>
        <v>0</v>
      </c>
      <c r="BH297" s="30">
        <f t="shared" si="171"/>
        <v>0</v>
      </c>
      <c r="BM297" s="2">
        <f t="shared" si="194"/>
        <v>0</v>
      </c>
      <c r="BP297" s="2">
        <f t="shared" si="195"/>
        <v>0</v>
      </c>
    </row>
    <row r="298" spans="1:68" ht="14.45" hidden="1" customHeight="1" x14ac:dyDescent="0.25">
      <c r="A298" s="33" t="s">
        <v>323</v>
      </c>
      <c r="B298" s="23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13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5"/>
      <c r="AD298" s="25">
        <f t="shared" si="191"/>
        <v>0</v>
      </c>
      <c r="AE298" s="26" t="s">
        <v>42</v>
      </c>
      <c r="AF298" s="27"/>
      <c r="AG298" s="17">
        <f t="shared" si="162"/>
        <v>0</v>
      </c>
      <c r="AH298" s="28">
        <f t="shared" si="163"/>
        <v>0</v>
      </c>
      <c r="AI298" s="17">
        <f t="shared" si="164"/>
        <v>0</v>
      </c>
      <c r="AJ298" s="28">
        <f t="shared" si="165"/>
        <v>0</v>
      </c>
      <c r="AK298" s="17">
        <f t="shared" si="173"/>
        <v>0</v>
      </c>
      <c r="AL298" s="28">
        <f t="shared" si="166"/>
        <v>0</v>
      </c>
      <c r="AM298" s="17">
        <f t="shared" si="181"/>
        <v>0</v>
      </c>
      <c r="AN298" s="28">
        <f t="shared" si="154"/>
        <v>0</v>
      </c>
      <c r="AO298" s="17">
        <f t="shared" si="182"/>
        <v>0</v>
      </c>
      <c r="AP298" s="28">
        <f t="shared" si="192"/>
        <v>0</v>
      </c>
      <c r="AQ298" s="17">
        <f t="shared" si="183"/>
        <v>0</v>
      </c>
      <c r="AR298" s="28">
        <f t="shared" si="193"/>
        <v>0</v>
      </c>
      <c r="AS298" s="17">
        <f t="shared" si="177"/>
        <v>0</v>
      </c>
      <c r="AT298" s="28">
        <f t="shared" si="178"/>
        <v>0</v>
      </c>
      <c r="AU298" s="17">
        <f t="shared" si="179"/>
        <v>0</v>
      </c>
      <c r="AV298" s="28">
        <f t="shared" si="180"/>
        <v>0</v>
      </c>
      <c r="AW298" s="17">
        <f t="shared" si="167"/>
        <v>0</v>
      </c>
      <c r="AX298" s="28">
        <f t="shared" si="168"/>
        <v>0</v>
      </c>
      <c r="AY298" s="17">
        <f t="shared" si="169"/>
        <v>0</v>
      </c>
      <c r="AZ298" s="28">
        <f t="shared" si="170"/>
        <v>0</v>
      </c>
      <c r="BA298" s="27">
        <f t="shared" si="189"/>
        <v>0</v>
      </c>
      <c r="BB298" s="27">
        <f t="shared" si="172"/>
        <v>0</v>
      </c>
      <c r="BC298" s="27">
        <f t="shared" si="174"/>
        <v>0</v>
      </c>
      <c r="BD298" s="27">
        <f t="shared" si="175"/>
        <v>0</v>
      </c>
      <c r="BE298" s="27">
        <f t="shared" si="176"/>
        <v>0</v>
      </c>
      <c r="BF298" s="29">
        <f t="shared" si="190"/>
        <v>0</v>
      </c>
      <c r="BH298" s="30">
        <f t="shared" si="171"/>
        <v>0</v>
      </c>
      <c r="BM298" s="2">
        <f t="shared" si="194"/>
        <v>0</v>
      </c>
      <c r="BP298" s="2">
        <f t="shared" si="195"/>
        <v>0</v>
      </c>
    </row>
    <row r="299" spans="1:68" ht="14.45" hidden="1" customHeight="1" x14ac:dyDescent="0.25">
      <c r="A299" s="33" t="s">
        <v>324</v>
      </c>
      <c r="B299" s="23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13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5"/>
      <c r="AD299" s="25">
        <f t="shared" si="191"/>
        <v>0</v>
      </c>
      <c r="AE299" s="26" t="s">
        <v>42</v>
      </c>
      <c r="AF299" s="27"/>
      <c r="AG299" s="17">
        <f t="shared" si="162"/>
        <v>0</v>
      </c>
      <c r="AH299" s="28">
        <f t="shared" si="163"/>
        <v>0</v>
      </c>
      <c r="AI299" s="17">
        <f t="shared" si="164"/>
        <v>0</v>
      </c>
      <c r="AJ299" s="28">
        <f t="shared" si="165"/>
        <v>0</v>
      </c>
      <c r="AK299" s="17">
        <f t="shared" si="173"/>
        <v>0</v>
      </c>
      <c r="AL299" s="28">
        <f t="shared" si="166"/>
        <v>0</v>
      </c>
      <c r="AM299" s="17">
        <f t="shared" si="181"/>
        <v>0</v>
      </c>
      <c r="AN299" s="28">
        <f t="shared" si="154"/>
        <v>0</v>
      </c>
      <c r="AO299" s="17">
        <f t="shared" si="182"/>
        <v>0</v>
      </c>
      <c r="AP299" s="28">
        <f t="shared" si="192"/>
        <v>0</v>
      </c>
      <c r="AQ299" s="17">
        <f t="shared" si="183"/>
        <v>0</v>
      </c>
      <c r="AR299" s="28">
        <f t="shared" si="193"/>
        <v>0</v>
      </c>
      <c r="AS299" s="17">
        <f t="shared" si="177"/>
        <v>0</v>
      </c>
      <c r="AT299" s="28">
        <f t="shared" si="178"/>
        <v>0</v>
      </c>
      <c r="AU299" s="17">
        <f t="shared" si="179"/>
        <v>0</v>
      </c>
      <c r="AV299" s="28">
        <f t="shared" si="180"/>
        <v>0</v>
      </c>
      <c r="AW299" s="17">
        <f t="shared" si="167"/>
        <v>0</v>
      </c>
      <c r="AX299" s="28">
        <f t="shared" si="168"/>
        <v>0</v>
      </c>
      <c r="AY299" s="17">
        <f t="shared" si="169"/>
        <v>0</v>
      </c>
      <c r="AZ299" s="28">
        <f t="shared" si="170"/>
        <v>0</v>
      </c>
      <c r="BA299" s="27">
        <f t="shared" si="189"/>
        <v>0</v>
      </c>
      <c r="BB299" s="27">
        <f t="shared" si="172"/>
        <v>0</v>
      </c>
      <c r="BC299" s="27">
        <f t="shared" si="174"/>
        <v>0</v>
      </c>
      <c r="BD299" s="27">
        <f t="shared" si="175"/>
        <v>0</v>
      </c>
      <c r="BE299" s="27">
        <f t="shared" si="176"/>
        <v>0</v>
      </c>
      <c r="BF299" s="29">
        <f t="shared" si="190"/>
        <v>0</v>
      </c>
      <c r="BH299" s="30">
        <f t="shared" si="171"/>
        <v>0</v>
      </c>
      <c r="BM299" s="2">
        <f t="shared" si="194"/>
        <v>0</v>
      </c>
      <c r="BP299" s="2">
        <f t="shared" si="195"/>
        <v>0</v>
      </c>
    </row>
    <row r="300" spans="1:68" ht="14.45" hidden="1" customHeight="1" x14ac:dyDescent="0.25">
      <c r="A300" s="33" t="s">
        <v>325</v>
      </c>
      <c r="B300" s="23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13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5"/>
      <c r="AD300" s="25">
        <f t="shared" si="191"/>
        <v>0</v>
      </c>
      <c r="AE300" s="26" t="s">
        <v>42</v>
      </c>
      <c r="AF300" s="27"/>
      <c r="AG300" s="17">
        <f t="shared" si="162"/>
        <v>0</v>
      </c>
      <c r="AH300" s="28">
        <f t="shared" si="163"/>
        <v>0</v>
      </c>
      <c r="AI300" s="17">
        <f t="shared" si="164"/>
        <v>0</v>
      </c>
      <c r="AJ300" s="28">
        <f t="shared" si="165"/>
        <v>0</v>
      </c>
      <c r="AK300" s="17">
        <f t="shared" si="173"/>
        <v>0</v>
      </c>
      <c r="AL300" s="28">
        <f t="shared" si="166"/>
        <v>0</v>
      </c>
      <c r="AM300" s="17">
        <f t="shared" si="181"/>
        <v>0</v>
      </c>
      <c r="AN300" s="28">
        <f t="shared" si="154"/>
        <v>0</v>
      </c>
      <c r="AO300" s="17">
        <f t="shared" si="182"/>
        <v>0</v>
      </c>
      <c r="AP300" s="28">
        <f t="shared" si="192"/>
        <v>0</v>
      </c>
      <c r="AQ300" s="17">
        <f t="shared" si="183"/>
        <v>0</v>
      </c>
      <c r="AR300" s="28">
        <f t="shared" si="193"/>
        <v>0</v>
      </c>
      <c r="AS300" s="17">
        <f t="shared" si="177"/>
        <v>0</v>
      </c>
      <c r="AT300" s="28">
        <f t="shared" si="178"/>
        <v>0</v>
      </c>
      <c r="AU300" s="17">
        <f t="shared" si="179"/>
        <v>0</v>
      </c>
      <c r="AV300" s="28">
        <f t="shared" si="180"/>
        <v>0</v>
      </c>
      <c r="AW300" s="17">
        <f t="shared" si="167"/>
        <v>0</v>
      </c>
      <c r="AX300" s="28">
        <f t="shared" si="168"/>
        <v>0</v>
      </c>
      <c r="AY300" s="17">
        <f t="shared" si="169"/>
        <v>0</v>
      </c>
      <c r="AZ300" s="28">
        <f t="shared" si="170"/>
        <v>0</v>
      </c>
      <c r="BA300" s="27">
        <f t="shared" si="189"/>
        <v>0</v>
      </c>
      <c r="BB300" s="27">
        <f t="shared" si="172"/>
        <v>0</v>
      </c>
      <c r="BC300" s="27">
        <f t="shared" si="174"/>
        <v>0</v>
      </c>
      <c r="BD300" s="27">
        <f t="shared" si="175"/>
        <v>0</v>
      </c>
      <c r="BE300" s="27">
        <f t="shared" si="176"/>
        <v>0</v>
      </c>
      <c r="BF300" s="29">
        <f t="shared" si="190"/>
        <v>0</v>
      </c>
      <c r="BH300" s="30">
        <f t="shared" si="171"/>
        <v>0</v>
      </c>
      <c r="BM300" s="2">
        <f t="shared" si="194"/>
        <v>0</v>
      </c>
      <c r="BP300" s="2">
        <f t="shared" si="195"/>
        <v>0</v>
      </c>
    </row>
    <row r="301" spans="1:68" ht="14.45" hidden="1" customHeight="1" x14ac:dyDescent="0.25">
      <c r="A301" s="33" t="s">
        <v>326</v>
      </c>
      <c r="B301" s="23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13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5"/>
      <c r="AD301" s="25">
        <f t="shared" si="191"/>
        <v>0</v>
      </c>
      <c r="AE301" s="26" t="s">
        <v>42</v>
      </c>
      <c r="AF301" s="27"/>
      <c r="AG301" s="17">
        <f t="shared" si="162"/>
        <v>0</v>
      </c>
      <c r="AH301" s="28">
        <f t="shared" si="163"/>
        <v>0</v>
      </c>
      <c r="AI301" s="17">
        <f t="shared" si="164"/>
        <v>0</v>
      </c>
      <c r="AJ301" s="28">
        <f t="shared" si="165"/>
        <v>0</v>
      </c>
      <c r="AK301" s="17">
        <f t="shared" si="173"/>
        <v>0</v>
      </c>
      <c r="AL301" s="28">
        <f t="shared" si="166"/>
        <v>0</v>
      </c>
      <c r="AM301" s="17">
        <f t="shared" si="181"/>
        <v>0</v>
      </c>
      <c r="AN301" s="28">
        <f t="shared" si="154"/>
        <v>0</v>
      </c>
      <c r="AO301" s="17">
        <f t="shared" si="182"/>
        <v>0</v>
      </c>
      <c r="AP301" s="28">
        <f t="shared" si="192"/>
        <v>0</v>
      </c>
      <c r="AQ301" s="17">
        <f t="shared" si="183"/>
        <v>0</v>
      </c>
      <c r="AR301" s="28">
        <f t="shared" si="193"/>
        <v>0</v>
      </c>
      <c r="AS301" s="17">
        <f t="shared" si="177"/>
        <v>0</v>
      </c>
      <c r="AT301" s="28">
        <f t="shared" si="178"/>
        <v>0</v>
      </c>
      <c r="AU301" s="17">
        <f t="shared" si="179"/>
        <v>0</v>
      </c>
      <c r="AV301" s="28">
        <f t="shared" si="180"/>
        <v>0</v>
      </c>
      <c r="AW301" s="17">
        <f t="shared" si="167"/>
        <v>0</v>
      </c>
      <c r="AX301" s="28">
        <f t="shared" si="168"/>
        <v>0</v>
      </c>
      <c r="AY301" s="17">
        <f t="shared" si="169"/>
        <v>0</v>
      </c>
      <c r="AZ301" s="28">
        <f t="shared" si="170"/>
        <v>0</v>
      </c>
      <c r="BA301" s="27">
        <f t="shared" si="189"/>
        <v>0</v>
      </c>
      <c r="BB301" s="27">
        <f t="shared" si="172"/>
        <v>0</v>
      </c>
      <c r="BC301" s="27">
        <f t="shared" si="174"/>
        <v>0</v>
      </c>
      <c r="BD301" s="27">
        <f t="shared" si="175"/>
        <v>0</v>
      </c>
      <c r="BE301" s="27">
        <f t="shared" si="176"/>
        <v>0</v>
      </c>
      <c r="BF301" s="29">
        <f t="shared" si="190"/>
        <v>0</v>
      </c>
      <c r="BH301" s="30">
        <f t="shared" si="171"/>
        <v>0</v>
      </c>
      <c r="BM301" s="2">
        <f t="shared" si="194"/>
        <v>0</v>
      </c>
      <c r="BP301" s="2">
        <f t="shared" si="195"/>
        <v>0</v>
      </c>
    </row>
    <row r="302" spans="1:68" ht="14.45" hidden="1" customHeight="1" x14ac:dyDescent="0.25">
      <c r="A302" s="33" t="s">
        <v>327</v>
      </c>
      <c r="B302" s="23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13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5"/>
      <c r="AD302" s="25">
        <f t="shared" si="191"/>
        <v>0</v>
      </c>
      <c r="AE302" s="26" t="s">
        <v>42</v>
      </c>
      <c r="AF302" s="27"/>
      <c r="AG302" s="17">
        <f t="shared" si="162"/>
        <v>0</v>
      </c>
      <c r="AH302" s="28">
        <f t="shared" si="163"/>
        <v>0</v>
      </c>
      <c r="AI302" s="17">
        <f t="shared" si="164"/>
        <v>0</v>
      </c>
      <c r="AJ302" s="28">
        <f t="shared" si="165"/>
        <v>0</v>
      </c>
      <c r="AK302" s="17">
        <f t="shared" si="173"/>
        <v>0</v>
      </c>
      <c r="AL302" s="28">
        <f t="shared" si="166"/>
        <v>0</v>
      </c>
      <c r="AM302" s="17">
        <f t="shared" si="181"/>
        <v>0</v>
      </c>
      <c r="AN302" s="28">
        <f t="shared" si="154"/>
        <v>0</v>
      </c>
      <c r="AO302" s="17">
        <f t="shared" si="182"/>
        <v>0</v>
      </c>
      <c r="AP302" s="28">
        <f t="shared" si="192"/>
        <v>0</v>
      </c>
      <c r="AQ302" s="17">
        <f t="shared" si="183"/>
        <v>0</v>
      </c>
      <c r="AR302" s="28">
        <f t="shared" si="193"/>
        <v>0</v>
      </c>
      <c r="AS302" s="17">
        <f t="shared" si="177"/>
        <v>0</v>
      </c>
      <c r="AT302" s="28">
        <f t="shared" si="178"/>
        <v>0</v>
      </c>
      <c r="AU302" s="17">
        <f t="shared" si="179"/>
        <v>0</v>
      </c>
      <c r="AV302" s="28">
        <f t="shared" si="180"/>
        <v>0</v>
      </c>
      <c r="AW302" s="17">
        <f t="shared" si="167"/>
        <v>0</v>
      </c>
      <c r="AX302" s="28">
        <f t="shared" si="168"/>
        <v>0</v>
      </c>
      <c r="AY302" s="17">
        <f t="shared" si="169"/>
        <v>0</v>
      </c>
      <c r="AZ302" s="28">
        <f t="shared" si="170"/>
        <v>0</v>
      </c>
      <c r="BA302" s="27">
        <f t="shared" si="189"/>
        <v>0</v>
      </c>
      <c r="BB302" s="27">
        <f t="shared" si="172"/>
        <v>0</v>
      </c>
      <c r="BC302" s="27">
        <f t="shared" si="174"/>
        <v>0</v>
      </c>
      <c r="BD302" s="27">
        <f t="shared" si="175"/>
        <v>0</v>
      </c>
      <c r="BE302" s="27">
        <f t="shared" si="176"/>
        <v>0</v>
      </c>
      <c r="BF302" s="29">
        <f t="shared" si="190"/>
        <v>0</v>
      </c>
      <c r="BH302" s="30">
        <f t="shared" si="171"/>
        <v>0</v>
      </c>
      <c r="BM302" s="2">
        <f t="shared" si="194"/>
        <v>0</v>
      </c>
      <c r="BP302" s="2">
        <f t="shared" si="195"/>
        <v>0</v>
      </c>
    </row>
    <row r="303" spans="1:68" ht="14.45" hidden="1" customHeight="1" x14ac:dyDescent="0.25">
      <c r="A303" s="33" t="s">
        <v>328</v>
      </c>
      <c r="B303" s="23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13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5"/>
      <c r="AD303" s="25">
        <f t="shared" si="191"/>
        <v>0</v>
      </c>
      <c r="AE303" s="26" t="s">
        <v>42</v>
      </c>
      <c r="AF303" s="27"/>
      <c r="AG303" s="17">
        <f t="shared" si="162"/>
        <v>0</v>
      </c>
      <c r="AH303" s="28">
        <f t="shared" si="163"/>
        <v>0</v>
      </c>
      <c r="AI303" s="17">
        <f t="shared" si="164"/>
        <v>0</v>
      </c>
      <c r="AJ303" s="28">
        <f t="shared" si="165"/>
        <v>0</v>
      </c>
      <c r="AK303" s="17">
        <f t="shared" si="173"/>
        <v>0</v>
      </c>
      <c r="AL303" s="28">
        <f t="shared" si="166"/>
        <v>0</v>
      </c>
      <c r="AM303" s="17">
        <f t="shared" si="181"/>
        <v>0</v>
      </c>
      <c r="AN303" s="28">
        <f t="shared" si="154"/>
        <v>0</v>
      </c>
      <c r="AO303" s="17">
        <f t="shared" si="182"/>
        <v>0</v>
      </c>
      <c r="AP303" s="28">
        <f t="shared" si="192"/>
        <v>0</v>
      </c>
      <c r="AQ303" s="17">
        <f t="shared" si="183"/>
        <v>0</v>
      </c>
      <c r="AR303" s="28">
        <f t="shared" si="193"/>
        <v>0</v>
      </c>
      <c r="AS303" s="17">
        <f t="shared" si="177"/>
        <v>0</v>
      </c>
      <c r="AT303" s="28">
        <f t="shared" si="178"/>
        <v>0</v>
      </c>
      <c r="AU303" s="17">
        <f t="shared" si="179"/>
        <v>0</v>
      </c>
      <c r="AV303" s="28">
        <f t="shared" si="180"/>
        <v>0</v>
      </c>
      <c r="AW303" s="17">
        <f t="shared" si="167"/>
        <v>0</v>
      </c>
      <c r="AX303" s="28">
        <f t="shared" si="168"/>
        <v>0</v>
      </c>
      <c r="AY303" s="17">
        <f t="shared" si="169"/>
        <v>0</v>
      </c>
      <c r="AZ303" s="28">
        <f t="shared" si="170"/>
        <v>0</v>
      </c>
      <c r="BA303" s="27">
        <f t="shared" si="189"/>
        <v>0</v>
      </c>
      <c r="BB303" s="27">
        <f t="shared" si="172"/>
        <v>0</v>
      </c>
      <c r="BC303" s="27">
        <f t="shared" si="174"/>
        <v>0</v>
      </c>
      <c r="BD303" s="27">
        <f t="shared" si="175"/>
        <v>0</v>
      </c>
      <c r="BE303" s="27">
        <f t="shared" si="176"/>
        <v>0</v>
      </c>
      <c r="BF303" s="29">
        <f t="shared" si="190"/>
        <v>0</v>
      </c>
      <c r="BH303" s="30">
        <f t="shared" si="171"/>
        <v>0</v>
      </c>
      <c r="BM303" s="2">
        <f t="shared" si="194"/>
        <v>0</v>
      </c>
      <c r="BP303" s="2">
        <f t="shared" si="195"/>
        <v>0</v>
      </c>
    </row>
    <row r="304" spans="1:68" ht="14.45" hidden="1" customHeight="1" x14ac:dyDescent="0.25">
      <c r="A304" s="33" t="s">
        <v>329</v>
      </c>
      <c r="B304" s="23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13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5"/>
      <c r="AD304" s="25">
        <f t="shared" si="191"/>
        <v>0</v>
      </c>
      <c r="AE304" s="26" t="s">
        <v>42</v>
      </c>
      <c r="AF304" s="27"/>
      <c r="AG304" s="17">
        <f t="shared" si="162"/>
        <v>0</v>
      </c>
      <c r="AH304" s="28">
        <f t="shared" si="163"/>
        <v>0</v>
      </c>
      <c r="AI304" s="17">
        <f t="shared" si="164"/>
        <v>0</v>
      </c>
      <c r="AJ304" s="28">
        <f t="shared" si="165"/>
        <v>0</v>
      </c>
      <c r="AK304" s="17">
        <f t="shared" si="173"/>
        <v>0</v>
      </c>
      <c r="AL304" s="28">
        <f t="shared" si="166"/>
        <v>0</v>
      </c>
      <c r="AM304" s="17">
        <f t="shared" si="181"/>
        <v>0</v>
      </c>
      <c r="AN304" s="28">
        <f t="shared" si="154"/>
        <v>0</v>
      </c>
      <c r="AO304" s="17">
        <f t="shared" si="182"/>
        <v>0</v>
      </c>
      <c r="AP304" s="28">
        <f t="shared" si="192"/>
        <v>0</v>
      </c>
      <c r="AQ304" s="17">
        <f t="shared" si="183"/>
        <v>0</v>
      </c>
      <c r="AR304" s="28">
        <f t="shared" si="193"/>
        <v>0</v>
      </c>
      <c r="AS304" s="17">
        <f t="shared" si="177"/>
        <v>0</v>
      </c>
      <c r="AT304" s="28">
        <f t="shared" si="178"/>
        <v>0</v>
      </c>
      <c r="AU304" s="17">
        <f t="shared" si="179"/>
        <v>0</v>
      </c>
      <c r="AV304" s="28">
        <f t="shared" si="180"/>
        <v>0</v>
      </c>
      <c r="AW304" s="17">
        <f t="shared" si="167"/>
        <v>0</v>
      </c>
      <c r="AX304" s="28">
        <f t="shared" si="168"/>
        <v>0</v>
      </c>
      <c r="AY304" s="17">
        <f t="shared" si="169"/>
        <v>0</v>
      </c>
      <c r="AZ304" s="28">
        <f t="shared" si="170"/>
        <v>0</v>
      </c>
      <c r="BA304" s="27">
        <f t="shared" si="189"/>
        <v>0</v>
      </c>
      <c r="BB304" s="27">
        <f t="shared" si="172"/>
        <v>0</v>
      </c>
      <c r="BC304" s="27">
        <f t="shared" si="174"/>
        <v>0</v>
      </c>
      <c r="BD304" s="27">
        <f t="shared" si="175"/>
        <v>0</v>
      </c>
      <c r="BE304" s="27">
        <f t="shared" si="176"/>
        <v>0</v>
      </c>
      <c r="BF304" s="29">
        <f t="shared" si="190"/>
        <v>0</v>
      </c>
      <c r="BH304" s="30">
        <f t="shared" si="171"/>
        <v>0</v>
      </c>
      <c r="BM304" s="2">
        <f t="shared" si="194"/>
        <v>0</v>
      </c>
      <c r="BP304" s="2">
        <f t="shared" si="195"/>
        <v>0</v>
      </c>
    </row>
    <row r="305" spans="1:68" ht="14.45" hidden="1" customHeight="1" x14ac:dyDescent="0.25">
      <c r="A305" s="33" t="s">
        <v>330</v>
      </c>
      <c r="B305" s="23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13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5"/>
      <c r="AD305" s="25">
        <f t="shared" si="191"/>
        <v>0</v>
      </c>
      <c r="AE305" s="26" t="s">
        <v>42</v>
      </c>
      <c r="AF305" s="27"/>
      <c r="AG305" s="17">
        <f t="shared" si="162"/>
        <v>0</v>
      </c>
      <c r="AH305" s="28">
        <f t="shared" si="163"/>
        <v>0</v>
      </c>
      <c r="AI305" s="17">
        <f t="shared" si="164"/>
        <v>0</v>
      </c>
      <c r="AJ305" s="28">
        <f t="shared" si="165"/>
        <v>0</v>
      </c>
      <c r="AK305" s="17">
        <f t="shared" si="173"/>
        <v>0</v>
      </c>
      <c r="AL305" s="28">
        <f t="shared" si="166"/>
        <v>0</v>
      </c>
      <c r="AM305" s="17">
        <f t="shared" si="181"/>
        <v>0</v>
      </c>
      <c r="AN305" s="28">
        <f t="shared" si="154"/>
        <v>0</v>
      </c>
      <c r="AO305" s="17">
        <f t="shared" si="182"/>
        <v>0</v>
      </c>
      <c r="AP305" s="28">
        <f t="shared" si="192"/>
        <v>0</v>
      </c>
      <c r="AQ305" s="17">
        <f t="shared" si="183"/>
        <v>0</v>
      </c>
      <c r="AR305" s="28">
        <f t="shared" si="193"/>
        <v>0</v>
      </c>
      <c r="AS305" s="17">
        <f t="shared" si="177"/>
        <v>0</v>
      </c>
      <c r="AT305" s="28">
        <f t="shared" si="178"/>
        <v>0</v>
      </c>
      <c r="AU305" s="17">
        <f t="shared" si="179"/>
        <v>0</v>
      </c>
      <c r="AV305" s="28">
        <f t="shared" si="180"/>
        <v>0</v>
      </c>
      <c r="AW305" s="17">
        <f t="shared" si="167"/>
        <v>0</v>
      </c>
      <c r="AX305" s="28">
        <f t="shared" si="168"/>
        <v>0</v>
      </c>
      <c r="AY305" s="17">
        <f t="shared" si="169"/>
        <v>0</v>
      </c>
      <c r="AZ305" s="28">
        <f t="shared" si="170"/>
        <v>0</v>
      </c>
      <c r="BA305" s="27">
        <f t="shared" si="189"/>
        <v>0</v>
      </c>
      <c r="BB305" s="27">
        <f t="shared" si="172"/>
        <v>0</v>
      </c>
      <c r="BC305" s="27">
        <f t="shared" si="174"/>
        <v>0</v>
      </c>
      <c r="BD305" s="27">
        <f t="shared" si="175"/>
        <v>0</v>
      </c>
      <c r="BE305" s="27">
        <f t="shared" si="176"/>
        <v>0</v>
      </c>
      <c r="BF305" s="29">
        <f t="shared" si="190"/>
        <v>0</v>
      </c>
      <c r="BH305" s="30">
        <f t="shared" si="171"/>
        <v>0</v>
      </c>
      <c r="BM305" s="2">
        <f t="shared" si="194"/>
        <v>0</v>
      </c>
      <c r="BP305" s="2">
        <f t="shared" si="195"/>
        <v>0</v>
      </c>
    </row>
    <row r="306" spans="1:68" ht="14.45" hidden="1" customHeight="1" x14ac:dyDescent="0.25">
      <c r="A306" s="33" t="s">
        <v>331</v>
      </c>
      <c r="B306" s="23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13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5"/>
      <c r="AD306" s="25">
        <f t="shared" si="191"/>
        <v>0</v>
      </c>
      <c r="AE306" s="26" t="s">
        <v>42</v>
      </c>
      <c r="AF306" s="27"/>
      <c r="AG306" s="17">
        <f t="shared" si="162"/>
        <v>0</v>
      </c>
      <c r="AH306" s="28">
        <f t="shared" si="163"/>
        <v>0</v>
      </c>
      <c r="AI306" s="17">
        <f t="shared" si="164"/>
        <v>0</v>
      </c>
      <c r="AJ306" s="28">
        <f t="shared" si="165"/>
        <v>0</v>
      </c>
      <c r="AK306" s="17">
        <f t="shared" si="173"/>
        <v>0</v>
      </c>
      <c r="AL306" s="28">
        <f t="shared" si="166"/>
        <v>0</v>
      </c>
      <c r="AM306" s="17">
        <f t="shared" si="181"/>
        <v>0</v>
      </c>
      <c r="AN306" s="28">
        <f t="shared" ref="AN306:AN369" si="196">+AM306*AF306</f>
        <v>0</v>
      </c>
      <c r="AO306" s="17">
        <f t="shared" si="182"/>
        <v>0</v>
      </c>
      <c r="AP306" s="28">
        <f t="shared" si="192"/>
        <v>0</v>
      </c>
      <c r="AQ306" s="17">
        <f t="shared" si="183"/>
        <v>0</v>
      </c>
      <c r="AR306" s="28">
        <f t="shared" si="193"/>
        <v>0</v>
      </c>
      <c r="AS306" s="17">
        <f t="shared" si="177"/>
        <v>0</v>
      </c>
      <c r="AT306" s="28">
        <f t="shared" si="178"/>
        <v>0</v>
      </c>
      <c r="AU306" s="17">
        <f t="shared" si="179"/>
        <v>0</v>
      </c>
      <c r="AV306" s="28">
        <f t="shared" si="180"/>
        <v>0</v>
      </c>
      <c r="AW306" s="17">
        <f t="shared" si="167"/>
        <v>0</v>
      </c>
      <c r="AX306" s="28">
        <f t="shared" si="168"/>
        <v>0</v>
      </c>
      <c r="AY306" s="17">
        <f t="shared" si="169"/>
        <v>0</v>
      </c>
      <c r="AZ306" s="28">
        <f t="shared" si="170"/>
        <v>0</v>
      </c>
      <c r="BA306" s="27">
        <f t="shared" si="189"/>
        <v>0</v>
      </c>
      <c r="BB306" s="27">
        <f t="shared" si="172"/>
        <v>0</v>
      </c>
      <c r="BC306" s="27">
        <f t="shared" si="174"/>
        <v>0</v>
      </c>
      <c r="BD306" s="27">
        <f t="shared" si="175"/>
        <v>0</v>
      </c>
      <c r="BE306" s="27">
        <f t="shared" si="176"/>
        <v>0</v>
      </c>
      <c r="BF306" s="29">
        <f t="shared" si="190"/>
        <v>0</v>
      </c>
      <c r="BH306" s="30">
        <f t="shared" si="171"/>
        <v>0</v>
      </c>
      <c r="BM306" s="2">
        <f t="shared" si="194"/>
        <v>0</v>
      </c>
      <c r="BP306" s="2">
        <f t="shared" si="195"/>
        <v>0</v>
      </c>
    </row>
    <row r="307" spans="1:68" x14ac:dyDescent="0.25">
      <c r="A307" s="33" t="s">
        <v>332</v>
      </c>
      <c r="B307" s="23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13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>
        <v>400</v>
      </c>
      <c r="AC307" s="25"/>
      <c r="AD307" s="39">
        <f t="shared" ref="AD307:AD338" si="197">SUM(B307:AB307)</f>
        <v>400</v>
      </c>
      <c r="AE307" s="26" t="s">
        <v>42</v>
      </c>
      <c r="AF307" s="27">
        <v>2500</v>
      </c>
      <c r="AG307" s="17">
        <f t="shared" si="162"/>
        <v>0</v>
      </c>
      <c r="AH307" s="28">
        <f t="shared" si="163"/>
        <v>0</v>
      </c>
      <c r="AI307" s="17">
        <f t="shared" si="164"/>
        <v>0</v>
      </c>
      <c r="AJ307" s="28">
        <f t="shared" si="165"/>
        <v>0</v>
      </c>
      <c r="AK307" s="17">
        <f t="shared" si="173"/>
        <v>0</v>
      </c>
      <c r="AL307" s="28">
        <f t="shared" si="166"/>
        <v>0</v>
      </c>
      <c r="AM307" s="17">
        <f t="shared" si="181"/>
        <v>400</v>
      </c>
      <c r="AN307" s="28">
        <f t="shared" si="196"/>
        <v>1000000</v>
      </c>
      <c r="AO307" s="17">
        <f t="shared" si="182"/>
        <v>0</v>
      </c>
      <c r="AP307" s="28">
        <f t="shared" si="192"/>
        <v>0</v>
      </c>
      <c r="AQ307" s="17">
        <f t="shared" si="183"/>
        <v>0</v>
      </c>
      <c r="AR307" s="28">
        <f t="shared" si="193"/>
        <v>0</v>
      </c>
      <c r="AS307" s="17">
        <f t="shared" si="177"/>
        <v>0</v>
      </c>
      <c r="AT307" s="28">
        <f t="shared" si="178"/>
        <v>0</v>
      </c>
      <c r="AU307" s="17">
        <f t="shared" si="179"/>
        <v>0</v>
      </c>
      <c r="AV307" s="28">
        <f t="shared" si="180"/>
        <v>0</v>
      </c>
      <c r="AW307" s="17">
        <f t="shared" si="167"/>
        <v>0</v>
      </c>
      <c r="AX307" s="28">
        <f t="shared" si="168"/>
        <v>0</v>
      </c>
      <c r="AY307" s="17">
        <f t="shared" si="169"/>
        <v>0</v>
      </c>
      <c r="AZ307" s="28">
        <f t="shared" si="170"/>
        <v>0</v>
      </c>
      <c r="BA307" s="27">
        <f t="shared" si="189"/>
        <v>0</v>
      </c>
      <c r="BB307" s="27">
        <f t="shared" si="172"/>
        <v>1000000</v>
      </c>
      <c r="BC307" s="27">
        <f t="shared" si="174"/>
        <v>0</v>
      </c>
      <c r="BD307" s="27">
        <f t="shared" si="175"/>
        <v>0</v>
      </c>
      <c r="BE307" s="27">
        <f t="shared" si="176"/>
        <v>0</v>
      </c>
      <c r="BF307" s="29">
        <f t="shared" si="190"/>
        <v>1000000</v>
      </c>
      <c r="BH307" s="30">
        <f t="shared" si="171"/>
        <v>400</v>
      </c>
      <c r="BM307" s="2">
        <f t="shared" si="194"/>
        <v>0</v>
      </c>
      <c r="BP307" s="2">
        <f t="shared" si="195"/>
        <v>0</v>
      </c>
    </row>
    <row r="308" spans="1:68" ht="14.45" hidden="1" customHeight="1" x14ac:dyDescent="0.25">
      <c r="A308" s="33" t="s">
        <v>333</v>
      </c>
      <c r="B308" s="23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13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5"/>
      <c r="AD308" s="39">
        <f t="shared" si="197"/>
        <v>0</v>
      </c>
      <c r="AE308" s="26" t="s">
        <v>42</v>
      </c>
      <c r="AF308" s="27">
        <v>2500</v>
      </c>
      <c r="AG308" s="17">
        <f t="shared" si="162"/>
        <v>0</v>
      </c>
      <c r="AH308" s="28">
        <f t="shared" si="163"/>
        <v>0</v>
      </c>
      <c r="AI308" s="17">
        <f t="shared" si="164"/>
        <v>0</v>
      </c>
      <c r="AJ308" s="28">
        <f t="shared" si="165"/>
        <v>0</v>
      </c>
      <c r="AK308" s="17">
        <f t="shared" si="173"/>
        <v>0</v>
      </c>
      <c r="AL308" s="28">
        <f t="shared" si="166"/>
        <v>0</v>
      </c>
      <c r="AM308" s="17">
        <f t="shared" si="181"/>
        <v>0</v>
      </c>
      <c r="AN308" s="28">
        <f t="shared" si="196"/>
        <v>0</v>
      </c>
      <c r="AO308" s="17">
        <f t="shared" si="182"/>
        <v>0</v>
      </c>
      <c r="AP308" s="28">
        <f t="shared" si="192"/>
        <v>0</v>
      </c>
      <c r="AQ308" s="17">
        <f t="shared" si="183"/>
        <v>0</v>
      </c>
      <c r="AR308" s="28">
        <f t="shared" si="193"/>
        <v>0</v>
      </c>
      <c r="AS308" s="17">
        <f t="shared" si="177"/>
        <v>0</v>
      </c>
      <c r="AT308" s="28">
        <f t="shared" si="178"/>
        <v>0</v>
      </c>
      <c r="AU308" s="17">
        <f t="shared" si="179"/>
        <v>0</v>
      </c>
      <c r="AV308" s="28">
        <f t="shared" si="180"/>
        <v>0</v>
      </c>
      <c r="AW308" s="17">
        <f t="shared" si="167"/>
        <v>0</v>
      </c>
      <c r="AX308" s="28">
        <f t="shared" si="168"/>
        <v>0</v>
      </c>
      <c r="AY308" s="17">
        <f t="shared" si="169"/>
        <v>0</v>
      </c>
      <c r="AZ308" s="28">
        <f t="shared" si="170"/>
        <v>0</v>
      </c>
      <c r="BA308" s="27">
        <f t="shared" si="189"/>
        <v>0</v>
      </c>
      <c r="BB308" s="27">
        <f t="shared" si="172"/>
        <v>0</v>
      </c>
      <c r="BC308" s="27">
        <f t="shared" si="174"/>
        <v>0</v>
      </c>
      <c r="BD308" s="27">
        <f t="shared" si="175"/>
        <v>0</v>
      </c>
      <c r="BE308" s="27">
        <f t="shared" si="176"/>
        <v>0</v>
      </c>
      <c r="BF308" s="29">
        <f t="shared" si="190"/>
        <v>0</v>
      </c>
      <c r="BH308" s="30">
        <f t="shared" si="171"/>
        <v>0</v>
      </c>
      <c r="BM308" s="2">
        <f t="shared" si="194"/>
        <v>0</v>
      </c>
      <c r="BP308" s="2">
        <f t="shared" si="195"/>
        <v>0</v>
      </c>
    </row>
    <row r="309" spans="1:68" ht="14.45" hidden="1" customHeight="1" x14ac:dyDescent="0.25">
      <c r="A309" s="33" t="s">
        <v>334</v>
      </c>
      <c r="B309" s="23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13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5"/>
      <c r="AD309" s="39">
        <f t="shared" si="197"/>
        <v>0</v>
      </c>
      <c r="AE309" s="26" t="s">
        <v>42</v>
      </c>
      <c r="AF309" s="27">
        <v>2500</v>
      </c>
      <c r="AG309" s="17">
        <f t="shared" si="162"/>
        <v>0</v>
      </c>
      <c r="AH309" s="28">
        <f t="shared" si="163"/>
        <v>0</v>
      </c>
      <c r="AI309" s="17">
        <f t="shared" si="164"/>
        <v>0</v>
      </c>
      <c r="AJ309" s="28">
        <f t="shared" si="165"/>
        <v>0</v>
      </c>
      <c r="AK309" s="17">
        <f t="shared" si="173"/>
        <v>0</v>
      </c>
      <c r="AL309" s="28">
        <f t="shared" si="166"/>
        <v>0</v>
      </c>
      <c r="AM309" s="17">
        <f t="shared" si="181"/>
        <v>0</v>
      </c>
      <c r="AN309" s="28">
        <f t="shared" si="196"/>
        <v>0</v>
      </c>
      <c r="AO309" s="17">
        <f t="shared" si="182"/>
        <v>0</v>
      </c>
      <c r="AP309" s="28">
        <f t="shared" si="192"/>
        <v>0</v>
      </c>
      <c r="AQ309" s="17">
        <f t="shared" si="183"/>
        <v>0</v>
      </c>
      <c r="AR309" s="28">
        <f t="shared" si="193"/>
        <v>0</v>
      </c>
      <c r="AS309" s="17">
        <f t="shared" si="177"/>
        <v>0</v>
      </c>
      <c r="AT309" s="28">
        <f t="shared" si="178"/>
        <v>0</v>
      </c>
      <c r="AU309" s="17">
        <f t="shared" si="179"/>
        <v>0</v>
      </c>
      <c r="AV309" s="28">
        <f t="shared" si="180"/>
        <v>0</v>
      </c>
      <c r="AW309" s="17">
        <f t="shared" si="167"/>
        <v>0</v>
      </c>
      <c r="AX309" s="28">
        <f t="shared" si="168"/>
        <v>0</v>
      </c>
      <c r="AY309" s="17">
        <f t="shared" si="169"/>
        <v>0</v>
      </c>
      <c r="AZ309" s="28">
        <f t="shared" si="170"/>
        <v>0</v>
      </c>
      <c r="BA309" s="27">
        <f t="shared" si="189"/>
        <v>0</v>
      </c>
      <c r="BB309" s="27">
        <f t="shared" si="172"/>
        <v>0</v>
      </c>
      <c r="BC309" s="27">
        <f t="shared" si="174"/>
        <v>0</v>
      </c>
      <c r="BD309" s="27">
        <f t="shared" si="175"/>
        <v>0</v>
      </c>
      <c r="BE309" s="27">
        <f t="shared" si="176"/>
        <v>0</v>
      </c>
      <c r="BF309" s="29">
        <f t="shared" si="190"/>
        <v>0</v>
      </c>
      <c r="BH309" s="30">
        <f t="shared" si="171"/>
        <v>0</v>
      </c>
      <c r="BM309" s="2">
        <f t="shared" si="194"/>
        <v>0</v>
      </c>
      <c r="BP309" s="2">
        <f t="shared" si="195"/>
        <v>0</v>
      </c>
    </row>
    <row r="310" spans="1:68" ht="14.45" hidden="1" customHeight="1" x14ac:dyDescent="0.25">
      <c r="A310" s="33" t="s">
        <v>335</v>
      </c>
      <c r="B310" s="23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13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5"/>
      <c r="AD310" s="39">
        <f t="shared" si="197"/>
        <v>0</v>
      </c>
      <c r="AE310" s="26" t="s">
        <v>42</v>
      </c>
      <c r="AF310" s="27">
        <v>2500</v>
      </c>
      <c r="AG310" s="17">
        <f t="shared" si="162"/>
        <v>0</v>
      </c>
      <c r="AH310" s="28">
        <f t="shared" si="163"/>
        <v>0</v>
      </c>
      <c r="AI310" s="17">
        <f t="shared" si="164"/>
        <v>0</v>
      </c>
      <c r="AJ310" s="28">
        <f t="shared" si="165"/>
        <v>0</v>
      </c>
      <c r="AK310" s="17">
        <f t="shared" si="173"/>
        <v>0</v>
      </c>
      <c r="AL310" s="28">
        <f t="shared" si="166"/>
        <v>0</v>
      </c>
      <c r="AM310" s="17">
        <f t="shared" si="181"/>
        <v>0</v>
      </c>
      <c r="AN310" s="28">
        <f t="shared" si="196"/>
        <v>0</v>
      </c>
      <c r="AO310" s="17">
        <f t="shared" si="182"/>
        <v>0</v>
      </c>
      <c r="AP310" s="28">
        <f t="shared" si="192"/>
        <v>0</v>
      </c>
      <c r="AQ310" s="17">
        <f t="shared" si="183"/>
        <v>0</v>
      </c>
      <c r="AR310" s="28">
        <f t="shared" si="193"/>
        <v>0</v>
      </c>
      <c r="AS310" s="17">
        <f t="shared" si="177"/>
        <v>0</v>
      </c>
      <c r="AT310" s="28">
        <f t="shared" si="178"/>
        <v>0</v>
      </c>
      <c r="AU310" s="17">
        <f t="shared" si="179"/>
        <v>0</v>
      </c>
      <c r="AV310" s="28">
        <f t="shared" si="180"/>
        <v>0</v>
      </c>
      <c r="AW310" s="17">
        <f t="shared" si="167"/>
        <v>0</v>
      </c>
      <c r="AX310" s="28">
        <f t="shared" si="168"/>
        <v>0</v>
      </c>
      <c r="AY310" s="17">
        <f t="shared" si="169"/>
        <v>0</v>
      </c>
      <c r="AZ310" s="28">
        <f t="shared" si="170"/>
        <v>0</v>
      </c>
      <c r="BA310" s="27">
        <f t="shared" si="189"/>
        <v>0</v>
      </c>
      <c r="BB310" s="27">
        <f t="shared" si="172"/>
        <v>0</v>
      </c>
      <c r="BC310" s="27">
        <f t="shared" si="174"/>
        <v>0</v>
      </c>
      <c r="BD310" s="27">
        <f t="shared" si="175"/>
        <v>0</v>
      </c>
      <c r="BE310" s="27">
        <f t="shared" si="176"/>
        <v>0</v>
      </c>
      <c r="BF310" s="29">
        <f t="shared" si="190"/>
        <v>0</v>
      </c>
      <c r="BH310" s="30">
        <f t="shared" si="171"/>
        <v>0</v>
      </c>
      <c r="BM310" s="2">
        <f t="shared" si="194"/>
        <v>0</v>
      </c>
      <c r="BP310" s="2">
        <f t="shared" si="195"/>
        <v>0</v>
      </c>
    </row>
    <row r="311" spans="1:68" ht="14.45" hidden="1" customHeight="1" x14ac:dyDescent="0.25">
      <c r="A311" s="33" t="s">
        <v>336</v>
      </c>
      <c r="B311" s="23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13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5"/>
      <c r="AD311" s="39">
        <f t="shared" si="197"/>
        <v>0</v>
      </c>
      <c r="AE311" s="26" t="s">
        <v>42</v>
      </c>
      <c r="AF311" s="27">
        <v>2500</v>
      </c>
      <c r="AG311" s="17">
        <f t="shared" si="162"/>
        <v>0</v>
      </c>
      <c r="AH311" s="28">
        <f t="shared" si="163"/>
        <v>0</v>
      </c>
      <c r="AI311" s="17">
        <f t="shared" si="164"/>
        <v>0</v>
      </c>
      <c r="AJ311" s="28">
        <f t="shared" si="165"/>
        <v>0</v>
      </c>
      <c r="AK311" s="17">
        <f t="shared" si="173"/>
        <v>0</v>
      </c>
      <c r="AL311" s="28">
        <f t="shared" si="166"/>
        <v>0</v>
      </c>
      <c r="AM311" s="17">
        <f t="shared" si="181"/>
        <v>0</v>
      </c>
      <c r="AN311" s="28">
        <f t="shared" si="196"/>
        <v>0</v>
      </c>
      <c r="AO311" s="17">
        <f t="shared" si="182"/>
        <v>0</v>
      </c>
      <c r="AP311" s="28">
        <f t="shared" si="192"/>
        <v>0</v>
      </c>
      <c r="AQ311" s="17">
        <f t="shared" si="183"/>
        <v>0</v>
      </c>
      <c r="AR311" s="28">
        <f t="shared" si="193"/>
        <v>0</v>
      </c>
      <c r="AS311" s="17">
        <f t="shared" si="177"/>
        <v>0</v>
      </c>
      <c r="AT311" s="28">
        <f t="shared" si="178"/>
        <v>0</v>
      </c>
      <c r="AU311" s="17">
        <f t="shared" si="179"/>
        <v>0</v>
      </c>
      <c r="AV311" s="28">
        <f t="shared" si="180"/>
        <v>0</v>
      </c>
      <c r="AW311" s="17">
        <f t="shared" si="167"/>
        <v>0</v>
      </c>
      <c r="AX311" s="28">
        <f t="shared" si="168"/>
        <v>0</v>
      </c>
      <c r="AY311" s="17">
        <f t="shared" si="169"/>
        <v>0</v>
      </c>
      <c r="AZ311" s="28">
        <f t="shared" si="170"/>
        <v>0</v>
      </c>
      <c r="BA311" s="27">
        <f t="shared" si="189"/>
        <v>0</v>
      </c>
      <c r="BB311" s="27">
        <f t="shared" si="172"/>
        <v>0</v>
      </c>
      <c r="BC311" s="27">
        <f t="shared" si="174"/>
        <v>0</v>
      </c>
      <c r="BD311" s="27">
        <f t="shared" si="175"/>
        <v>0</v>
      </c>
      <c r="BE311" s="27">
        <f t="shared" si="176"/>
        <v>0</v>
      </c>
      <c r="BF311" s="29">
        <f t="shared" si="190"/>
        <v>0</v>
      </c>
      <c r="BH311" s="30">
        <f t="shared" si="171"/>
        <v>0</v>
      </c>
      <c r="BM311" s="2">
        <f t="shared" si="194"/>
        <v>0</v>
      </c>
      <c r="BP311" s="2">
        <f t="shared" si="195"/>
        <v>0</v>
      </c>
    </row>
    <row r="312" spans="1:68" ht="14.45" hidden="1" customHeight="1" x14ac:dyDescent="0.25">
      <c r="A312" s="33" t="s">
        <v>337</v>
      </c>
      <c r="B312" s="23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13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5"/>
      <c r="AD312" s="39">
        <f t="shared" si="197"/>
        <v>0</v>
      </c>
      <c r="AE312" s="26" t="s">
        <v>42</v>
      </c>
      <c r="AF312" s="27">
        <v>2500</v>
      </c>
      <c r="AG312" s="17">
        <f t="shared" si="162"/>
        <v>0</v>
      </c>
      <c r="AH312" s="28">
        <f t="shared" si="163"/>
        <v>0</v>
      </c>
      <c r="AI312" s="17">
        <f t="shared" si="164"/>
        <v>0</v>
      </c>
      <c r="AJ312" s="28">
        <f t="shared" si="165"/>
        <v>0</v>
      </c>
      <c r="AK312" s="17">
        <f t="shared" si="173"/>
        <v>0</v>
      </c>
      <c r="AL312" s="28">
        <f t="shared" si="166"/>
        <v>0</v>
      </c>
      <c r="AM312" s="17">
        <f t="shared" si="181"/>
        <v>0</v>
      </c>
      <c r="AN312" s="28">
        <f t="shared" si="196"/>
        <v>0</v>
      </c>
      <c r="AO312" s="17">
        <f t="shared" si="182"/>
        <v>0</v>
      </c>
      <c r="AP312" s="28">
        <f t="shared" si="192"/>
        <v>0</v>
      </c>
      <c r="AQ312" s="17">
        <f t="shared" si="183"/>
        <v>0</v>
      </c>
      <c r="AR312" s="28">
        <f t="shared" si="193"/>
        <v>0</v>
      </c>
      <c r="AS312" s="17">
        <f t="shared" si="177"/>
        <v>0</v>
      </c>
      <c r="AT312" s="28">
        <f t="shared" si="178"/>
        <v>0</v>
      </c>
      <c r="AU312" s="17">
        <f t="shared" si="179"/>
        <v>0</v>
      </c>
      <c r="AV312" s="28">
        <f t="shared" si="180"/>
        <v>0</v>
      </c>
      <c r="AW312" s="17">
        <f t="shared" si="167"/>
        <v>0</v>
      </c>
      <c r="AX312" s="28">
        <f t="shared" si="168"/>
        <v>0</v>
      </c>
      <c r="AY312" s="17">
        <f t="shared" si="169"/>
        <v>0</v>
      </c>
      <c r="AZ312" s="28">
        <f t="shared" si="170"/>
        <v>0</v>
      </c>
      <c r="BA312" s="27">
        <f t="shared" si="189"/>
        <v>0</v>
      </c>
      <c r="BB312" s="27">
        <f t="shared" si="172"/>
        <v>0</v>
      </c>
      <c r="BC312" s="27">
        <f t="shared" si="174"/>
        <v>0</v>
      </c>
      <c r="BD312" s="27">
        <f t="shared" si="175"/>
        <v>0</v>
      </c>
      <c r="BE312" s="27">
        <f t="shared" si="176"/>
        <v>0</v>
      </c>
      <c r="BF312" s="29">
        <f t="shared" si="190"/>
        <v>0</v>
      </c>
      <c r="BH312" s="30">
        <f t="shared" si="171"/>
        <v>0</v>
      </c>
      <c r="BM312" s="2">
        <f t="shared" si="194"/>
        <v>0</v>
      </c>
      <c r="BP312" s="2">
        <f t="shared" si="195"/>
        <v>0</v>
      </c>
    </row>
    <row r="313" spans="1:68" ht="14.45" hidden="1" customHeight="1" x14ac:dyDescent="0.25">
      <c r="A313" s="33" t="s">
        <v>338</v>
      </c>
      <c r="B313" s="23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13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5"/>
      <c r="AD313" s="39">
        <f t="shared" si="197"/>
        <v>0</v>
      </c>
      <c r="AE313" s="26" t="s">
        <v>42</v>
      </c>
      <c r="AF313" s="27">
        <v>2500</v>
      </c>
      <c r="AG313" s="17">
        <f t="shared" si="162"/>
        <v>0</v>
      </c>
      <c r="AH313" s="28">
        <f t="shared" si="163"/>
        <v>0</v>
      </c>
      <c r="AI313" s="17">
        <f t="shared" si="164"/>
        <v>0</v>
      </c>
      <c r="AJ313" s="28">
        <f t="shared" si="165"/>
        <v>0</v>
      </c>
      <c r="AK313" s="17">
        <f t="shared" si="173"/>
        <v>0</v>
      </c>
      <c r="AL313" s="28">
        <f t="shared" si="166"/>
        <v>0</v>
      </c>
      <c r="AM313" s="17">
        <f t="shared" si="181"/>
        <v>0</v>
      </c>
      <c r="AN313" s="28">
        <f t="shared" si="196"/>
        <v>0</v>
      </c>
      <c r="AO313" s="17">
        <f t="shared" si="182"/>
        <v>0</v>
      </c>
      <c r="AP313" s="28">
        <f t="shared" si="192"/>
        <v>0</v>
      </c>
      <c r="AQ313" s="17">
        <f t="shared" si="183"/>
        <v>0</v>
      </c>
      <c r="AR313" s="28">
        <f t="shared" si="193"/>
        <v>0</v>
      </c>
      <c r="AS313" s="17">
        <f t="shared" si="177"/>
        <v>0</v>
      </c>
      <c r="AT313" s="28">
        <f t="shared" si="178"/>
        <v>0</v>
      </c>
      <c r="AU313" s="17">
        <f t="shared" si="179"/>
        <v>0</v>
      </c>
      <c r="AV313" s="28">
        <f t="shared" si="180"/>
        <v>0</v>
      </c>
      <c r="AW313" s="17">
        <f t="shared" si="167"/>
        <v>0</v>
      </c>
      <c r="AX313" s="28">
        <f t="shared" si="168"/>
        <v>0</v>
      </c>
      <c r="AY313" s="17">
        <f t="shared" si="169"/>
        <v>0</v>
      </c>
      <c r="AZ313" s="28">
        <f t="shared" si="170"/>
        <v>0</v>
      </c>
      <c r="BA313" s="27">
        <f t="shared" si="189"/>
        <v>0</v>
      </c>
      <c r="BB313" s="27">
        <f t="shared" si="172"/>
        <v>0</v>
      </c>
      <c r="BC313" s="27">
        <f t="shared" si="174"/>
        <v>0</v>
      </c>
      <c r="BD313" s="27">
        <f t="shared" si="175"/>
        <v>0</v>
      </c>
      <c r="BE313" s="27">
        <f t="shared" si="176"/>
        <v>0</v>
      </c>
      <c r="BF313" s="29">
        <f t="shared" si="190"/>
        <v>0</v>
      </c>
      <c r="BH313" s="30">
        <f t="shared" si="171"/>
        <v>0</v>
      </c>
      <c r="BM313" s="2">
        <f t="shared" si="194"/>
        <v>0</v>
      </c>
      <c r="BP313" s="2">
        <f t="shared" si="195"/>
        <v>0</v>
      </c>
    </row>
    <row r="314" spans="1:68" ht="14.45" hidden="1" customHeight="1" x14ac:dyDescent="0.25">
      <c r="A314" s="33" t="s">
        <v>339</v>
      </c>
      <c r="B314" s="23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13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5"/>
      <c r="AD314" s="39">
        <f t="shared" si="197"/>
        <v>0</v>
      </c>
      <c r="AE314" s="26" t="s">
        <v>42</v>
      </c>
      <c r="AF314" s="27">
        <v>2500</v>
      </c>
      <c r="AG314" s="17">
        <f t="shared" si="162"/>
        <v>0</v>
      </c>
      <c r="AH314" s="28">
        <f t="shared" si="163"/>
        <v>0</v>
      </c>
      <c r="AI314" s="17">
        <f t="shared" si="164"/>
        <v>0</v>
      </c>
      <c r="AJ314" s="28">
        <f t="shared" si="165"/>
        <v>0</v>
      </c>
      <c r="AK314" s="17">
        <f t="shared" si="173"/>
        <v>0</v>
      </c>
      <c r="AL314" s="28">
        <f t="shared" si="166"/>
        <v>0</v>
      </c>
      <c r="AM314" s="17">
        <f t="shared" si="181"/>
        <v>0</v>
      </c>
      <c r="AN314" s="28">
        <f t="shared" si="196"/>
        <v>0</v>
      </c>
      <c r="AO314" s="17">
        <f t="shared" si="182"/>
        <v>0</v>
      </c>
      <c r="AP314" s="28">
        <f t="shared" si="192"/>
        <v>0</v>
      </c>
      <c r="AQ314" s="17">
        <f t="shared" si="183"/>
        <v>0</v>
      </c>
      <c r="AR314" s="28">
        <f t="shared" si="193"/>
        <v>0</v>
      </c>
      <c r="AS314" s="17">
        <f t="shared" si="177"/>
        <v>0</v>
      </c>
      <c r="AT314" s="28">
        <f t="shared" si="178"/>
        <v>0</v>
      </c>
      <c r="AU314" s="17">
        <f t="shared" si="179"/>
        <v>0</v>
      </c>
      <c r="AV314" s="28">
        <f t="shared" si="180"/>
        <v>0</v>
      </c>
      <c r="AW314" s="17">
        <f t="shared" si="167"/>
        <v>0</v>
      </c>
      <c r="AX314" s="28">
        <f t="shared" si="168"/>
        <v>0</v>
      </c>
      <c r="AY314" s="17">
        <f t="shared" si="169"/>
        <v>0</v>
      </c>
      <c r="AZ314" s="28">
        <f t="shared" si="170"/>
        <v>0</v>
      </c>
      <c r="BA314" s="27">
        <f t="shared" si="189"/>
        <v>0</v>
      </c>
      <c r="BB314" s="27">
        <f t="shared" si="172"/>
        <v>0</v>
      </c>
      <c r="BC314" s="27">
        <f t="shared" si="174"/>
        <v>0</v>
      </c>
      <c r="BD314" s="27">
        <f t="shared" si="175"/>
        <v>0</v>
      </c>
      <c r="BE314" s="27">
        <f t="shared" si="176"/>
        <v>0</v>
      </c>
      <c r="BF314" s="29">
        <f t="shared" si="190"/>
        <v>0</v>
      </c>
      <c r="BH314" s="30">
        <f t="shared" si="171"/>
        <v>0</v>
      </c>
      <c r="BM314" s="2">
        <f t="shared" si="194"/>
        <v>0</v>
      </c>
      <c r="BP314" s="2">
        <f t="shared" si="195"/>
        <v>0</v>
      </c>
    </row>
    <row r="315" spans="1:68" ht="14.45" hidden="1" customHeight="1" x14ac:dyDescent="0.25">
      <c r="A315" s="33" t="s">
        <v>340</v>
      </c>
      <c r="B315" s="23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13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5"/>
      <c r="AD315" s="39">
        <f t="shared" si="197"/>
        <v>0</v>
      </c>
      <c r="AE315" s="26" t="s">
        <v>42</v>
      </c>
      <c r="AF315" s="27">
        <v>2500</v>
      </c>
      <c r="AG315" s="17">
        <f t="shared" si="162"/>
        <v>0</v>
      </c>
      <c r="AH315" s="28">
        <f t="shared" si="163"/>
        <v>0</v>
      </c>
      <c r="AI315" s="17">
        <f t="shared" si="164"/>
        <v>0</v>
      </c>
      <c r="AJ315" s="28">
        <f t="shared" si="165"/>
        <v>0</v>
      </c>
      <c r="AK315" s="17">
        <f t="shared" si="173"/>
        <v>0</v>
      </c>
      <c r="AL315" s="28">
        <f t="shared" si="166"/>
        <v>0</v>
      </c>
      <c r="AM315" s="17">
        <f t="shared" si="181"/>
        <v>0</v>
      </c>
      <c r="AN315" s="28">
        <f t="shared" si="196"/>
        <v>0</v>
      </c>
      <c r="AO315" s="17">
        <f t="shared" si="182"/>
        <v>0</v>
      </c>
      <c r="AP315" s="28">
        <f t="shared" si="192"/>
        <v>0</v>
      </c>
      <c r="AQ315" s="17">
        <f t="shared" si="183"/>
        <v>0</v>
      </c>
      <c r="AR315" s="28">
        <f t="shared" si="193"/>
        <v>0</v>
      </c>
      <c r="AS315" s="17">
        <f t="shared" si="177"/>
        <v>0</v>
      </c>
      <c r="AT315" s="28">
        <f t="shared" si="178"/>
        <v>0</v>
      </c>
      <c r="AU315" s="17">
        <f t="shared" si="179"/>
        <v>0</v>
      </c>
      <c r="AV315" s="28">
        <f t="shared" si="180"/>
        <v>0</v>
      </c>
      <c r="AW315" s="17">
        <f t="shared" si="167"/>
        <v>0</v>
      </c>
      <c r="AX315" s="28">
        <f t="shared" si="168"/>
        <v>0</v>
      </c>
      <c r="AY315" s="17">
        <f t="shared" si="169"/>
        <v>0</v>
      </c>
      <c r="AZ315" s="28">
        <f t="shared" si="170"/>
        <v>0</v>
      </c>
      <c r="BA315" s="27">
        <f t="shared" si="189"/>
        <v>0</v>
      </c>
      <c r="BB315" s="27">
        <f t="shared" si="172"/>
        <v>0</v>
      </c>
      <c r="BC315" s="27">
        <f t="shared" si="174"/>
        <v>0</v>
      </c>
      <c r="BD315" s="27">
        <f t="shared" si="175"/>
        <v>0</v>
      </c>
      <c r="BE315" s="27">
        <f t="shared" si="176"/>
        <v>0</v>
      </c>
      <c r="BF315" s="29">
        <f t="shared" si="190"/>
        <v>0</v>
      </c>
      <c r="BH315" s="30">
        <f t="shared" si="171"/>
        <v>0</v>
      </c>
      <c r="BM315" s="2">
        <f t="shared" si="194"/>
        <v>0</v>
      </c>
      <c r="BP315" s="2">
        <f t="shared" si="195"/>
        <v>0</v>
      </c>
    </row>
    <row r="316" spans="1:68" ht="14.45" hidden="1" customHeight="1" x14ac:dyDescent="0.25">
      <c r="A316" s="33" t="s">
        <v>341</v>
      </c>
      <c r="B316" s="23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13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5"/>
      <c r="AD316" s="39">
        <f t="shared" si="197"/>
        <v>0</v>
      </c>
      <c r="AE316" s="26" t="s">
        <v>42</v>
      </c>
      <c r="AF316" s="27">
        <v>2500</v>
      </c>
      <c r="AG316" s="17">
        <f t="shared" si="162"/>
        <v>0</v>
      </c>
      <c r="AH316" s="28">
        <f t="shared" si="163"/>
        <v>0</v>
      </c>
      <c r="AI316" s="17">
        <f t="shared" si="164"/>
        <v>0</v>
      </c>
      <c r="AJ316" s="28">
        <f t="shared" si="165"/>
        <v>0</v>
      </c>
      <c r="AK316" s="17">
        <f t="shared" si="173"/>
        <v>0</v>
      </c>
      <c r="AL316" s="28">
        <f t="shared" si="166"/>
        <v>0</v>
      </c>
      <c r="AM316" s="17">
        <f t="shared" si="181"/>
        <v>0</v>
      </c>
      <c r="AN316" s="28">
        <f t="shared" si="196"/>
        <v>0</v>
      </c>
      <c r="AO316" s="17">
        <f t="shared" si="182"/>
        <v>0</v>
      </c>
      <c r="AP316" s="28">
        <f t="shared" si="192"/>
        <v>0</v>
      </c>
      <c r="AQ316" s="17">
        <f t="shared" si="183"/>
        <v>0</v>
      </c>
      <c r="AR316" s="28">
        <f t="shared" si="193"/>
        <v>0</v>
      </c>
      <c r="AS316" s="17">
        <f t="shared" si="177"/>
        <v>0</v>
      </c>
      <c r="AT316" s="28">
        <f t="shared" si="178"/>
        <v>0</v>
      </c>
      <c r="AU316" s="17">
        <f t="shared" si="179"/>
        <v>0</v>
      </c>
      <c r="AV316" s="28">
        <f t="shared" si="180"/>
        <v>0</v>
      </c>
      <c r="AW316" s="17">
        <f t="shared" si="167"/>
        <v>0</v>
      </c>
      <c r="AX316" s="28">
        <f t="shared" si="168"/>
        <v>0</v>
      </c>
      <c r="AY316" s="17">
        <f t="shared" si="169"/>
        <v>0</v>
      </c>
      <c r="AZ316" s="28">
        <f t="shared" si="170"/>
        <v>0</v>
      </c>
      <c r="BA316" s="27">
        <f t="shared" si="189"/>
        <v>0</v>
      </c>
      <c r="BB316" s="27">
        <f t="shared" si="172"/>
        <v>0</v>
      </c>
      <c r="BC316" s="27">
        <f t="shared" si="174"/>
        <v>0</v>
      </c>
      <c r="BD316" s="27">
        <f t="shared" si="175"/>
        <v>0</v>
      </c>
      <c r="BE316" s="27">
        <f t="shared" si="176"/>
        <v>0</v>
      </c>
      <c r="BF316" s="29">
        <f t="shared" si="190"/>
        <v>0</v>
      </c>
      <c r="BH316" s="30">
        <f t="shared" si="171"/>
        <v>0</v>
      </c>
      <c r="BM316" s="2">
        <f t="shared" si="194"/>
        <v>0</v>
      </c>
      <c r="BP316" s="2">
        <f t="shared" si="195"/>
        <v>0</v>
      </c>
    </row>
    <row r="317" spans="1:68" ht="14.45" hidden="1" customHeight="1" x14ac:dyDescent="0.25">
      <c r="A317" s="33" t="s">
        <v>342</v>
      </c>
      <c r="B317" s="23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13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5"/>
      <c r="AD317" s="39">
        <f t="shared" si="197"/>
        <v>0</v>
      </c>
      <c r="AE317" s="26" t="s">
        <v>42</v>
      </c>
      <c r="AF317" s="27">
        <v>2500</v>
      </c>
      <c r="AG317" s="17">
        <f t="shared" si="162"/>
        <v>0</v>
      </c>
      <c r="AH317" s="28">
        <f t="shared" si="163"/>
        <v>0</v>
      </c>
      <c r="AI317" s="17">
        <f t="shared" si="164"/>
        <v>0</v>
      </c>
      <c r="AJ317" s="28">
        <f t="shared" si="165"/>
        <v>0</v>
      </c>
      <c r="AK317" s="17">
        <f t="shared" si="173"/>
        <v>0</v>
      </c>
      <c r="AL317" s="28">
        <f t="shared" si="166"/>
        <v>0</v>
      </c>
      <c r="AM317" s="17">
        <f t="shared" si="181"/>
        <v>0</v>
      </c>
      <c r="AN317" s="28">
        <f t="shared" si="196"/>
        <v>0</v>
      </c>
      <c r="AO317" s="17">
        <f t="shared" si="182"/>
        <v>0</v>
      </c>
      <c r="AP317" s="28">
        <f t="shared" si="192"/>
        <v>0</v>
      </c>
      <c r="AQ317" s="17">
        <f t="shared" si="183"/>
        <v>0</v>
      </c>
      <c r="AR317" s="28">
        <f t="shared" si="193"/>
        <v>0</v>
      </c>
      <c r="AS317" s="17">
        <f t="shared" si="177"/>
        <v>0</v>
      </c>
      <c r="AT317" s="28">
        <f t="shared" si="178"/>
        <v>0</v>
      </c>
      <c r="AU317" s="17">
        <f t="shared" si="179"/>
        <v>0</v>
      </c>
      <c r="AV317" s="28">
        <f t="shared" si="180"/>
        <v>0</v>
      </c>
      <c r="AW317" s="17">
        <f t="shared" si="167"/>
        <v>0</v>
      </c>
      <c r="AX317" s="28">
        <f t="shared" si="168"/>
        <v>0</v>
      </c>
      <c r="AY317" s="17">
        <f t="shared" si="169"/>
        <v>0</v>
      </c>
      <c r="AZ317" s="28">
        <f t="shared" si="170"/>
        <v>0</v>
      </c>
      <c r="BA317" s="27">
        <f t="shared" si="189"/>
        <v>0</v>
      </c>
      <c r="BB317" s="27">
        <f t="shared" si="172"/>
        <v>0</v>
      </c>
      <c r="BC317" s="27">
        <f t="shared" si="174"/>
        <v>0</v>
      </c>
      <c r="BD317" s="27">
        <f t="shared" si="175"/>
        <v>0</v>
      </c>
      <c r="BE317" s="27">
        <f t="shared" si="176"/>
        <v>0</v>
      </c>
      <c r="BF317" s="29">
        <f t="shared" si="190"/>
        <v>0</v>
      </c>
      <c r="BH317" s="30">
        <f t="shared" si="171"/>
        <v>0</v>
      </c>
      <c r="BM317" s="2">
        <f t="shared" si="194"/>
        <v>0</v>
      </c>
      <c r="BP317" s="2">
        <f t="shared" si="195"/>
        <v>0</v>
      </c>
    </row>
    <row r="318" spans="1:68" ht="14.45" hidden="1" customHeight="1" x14ac:dyDescent="0.25">
      <c r="A318" s="33" t="s">
        <v>343</v>
      </c>
      <c r="B318" s="23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13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5"/>
      <c r="AD318" s="39">
        <f t="shared" si="197"/>
        <v>0</v>
      </c>
      <c r="AE318" s="26" t="s">
        <v>42</v>
      </c>
      <c r="AF318" s="27">
        <v>2500</v>
      </c>
      <c r="AG318" s="17">
        <f t="shared" si="162"/>
        <v>0</v>
      </c>
      <c r="AH318" s="28">
        <f t="shared" si="163"/>
        <v>0</v>
      </c>
      <c r="AI318" s="17">
        <f t="shared" si="164"/>
        <v>0</v>
      </c>
      <c r="AJ318" s="28">
        <f t="shared" si="165"/>
        <v>0</v>
      </c>
      <c r="AK318" s="17">
        <f t="shared" si="173"/>
        <v>0</v>
      </c>
      <c r="AL318" s="28">
        <f t="shared" si="166"/>
        <v>0</v>
      </c>
      <c r="AM318" s="17">
        <f t="shared" si="181"/>
        <v>0</v>
      </c>
      <c r="AN318" s="28">
        <f t="shared" si="196"/>
        <v>0</v>
      </c>
      <c r="AO318" s="17">
        <f t="shared" si="182"/>
        <v>0</v>
      </c>
      <c r="AP318" s="28">
        <f t="shared" si="192"/>
        <v>0</v>
      </c>
      <c r="AQ318" s="17">
        <f t="shared" si="183"/>
        <v>0</v>
      </c>
      <c r="AR318" s="28">
        <f t="shared" si="193"/>
        <v>0</v>
      </c>
      <c r="AS318" s="17">
        <f t="shared" si="177"/>
        <v>0</v>
      </c>
      <c r="AT318" s="28">
        <f t="shared" si="178"/>
        <v>0</v>
      </c>
      <c r="AU318" s="17">
        <f t="shared" si="179"/>
        <v>0</v>
      </c>
      <c r="AV318" s="28">
        <f t="shared" si="180"/>
        <v>0</v>
      </c>
      <c r="AW318" s="17">
        <f t="shared" si="167"/>
        <v>0</v>
      </c>
      <c r="AX318" s="28">
        <f t="shared" si="168"/>
        <v>0</v>
      </c>
      <c r="AY318" s="17">
        <f t="shared" si="169"/>
        <v>0</v>
      </c>
      <c r="AZ318" s="28">
        <f t="shared" si="170"/>
        <v>0</v>
      </c>
      <c r="BA318" s="27">
        <f t="shared" si="189"/>
        <v>0</v>
      </c>
      <c r="BB318" s="27">
        <f t="shared" si="172"/>
        <v>0</v>
      </c>
      <c r="BC318" s="27">
        <f t="shared" si="174"/>
        <v>0</v>
      </c>
      <c r="BD318" s="27">
        <f t="shared" si="175"/>
        <v>0</v>
      </c>
      <c r="BE318" s="27">
        <f t="shared" si="176"/>
        <v>0</v>
      </c>
      <c r="BF318" s="29">
        <f t="shared" si="190"/>
        <v>0</v>
      </c>
      <c r="BH318" s="30">
        <f t="shared" si="171"/>
        <v>0</v>
      </c>
      <c r="BM318" s="2">
        <f t="shared" si="194"/>
        <v>0</v>
      </c>
      <c r="BP318" s="2">
        <f t="shared" si="195"/>
        <v>0</v>
      </c>
    </row>
    <row r="319" spans="1:68" ht="14.45" hidden="1" customHeight="1" x14ac:dyDescent="0.25">
      <c r="A319" s="33" t="s">
        <v>344</v>
      </c>
      <c r="B319" s="23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13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5"/>
      <c r="AD319" s="39">
        <f t="shared" si="197"/>
        <v>0</v>
      </c>
      <c r="AE319" s="26" t="s">
        <v>42</v>
      </c>
      <c r="AF319" s="27">
        <v>2500</v>
      </c>
      <c r="AG319" s="17">
        <f t="shared" si="162"/>
        <v>0</v>
      </c>
      <c r="AH319" s="28">
        <f t="shared" si="163"/>
        <v>0</v>
      </c>
      <c r="AI319" s="17">
        <f t="shared" si="164"/>
        <v>0</v>
      </c>
      <c r="AJ319" s="28">
        <f t="shared" si="165"/>
        <v>0</v>
      </c>
      <c r="AK319" s="17">
        <f t="shared" si="173"/>
        <v>0</v>
      </c>
      <c r="AL319" s="28">
        <f t="shared" si="166"/>
        <v>0</v>
      </c>
      <c r="AM319" s="17">
        <f t="shared" si="181"/>
        <v>0</v>
      </c>
      <c r="AN319" s="28">
        <f t="shared" si="196"/>
        <v>0</v>
      </c>
      <c r="AO319" s="17">
        <f t="shared" si="182"/>
        <v>0</v>
      </c>
      <c r="AP319" s="28">
        <f t="shared" si="192"/>
        <v>0</v>
      </c>
      <c r="AQ319" s="17">
        <f t="shared" si="183"/>
        <v>0</v>
      </c>
      <c r="AR319" s="28">
        <f t="shared" si="193"/>
        <v>0</v>
      </c>
      <c r="AS319" s="17">
        <f t="shared" si="177"/>
        <v>0</v>
      </c>
      <c r="AT319" s="28">
        <f t="shared" si="178"/>
        <v>0</v>
      </c>
      <c r="AU319" s="17">
        <f t="shared" si="179"/>
        <v>0</v>
      </c>
      <c r="AV319" s="28">
        <f t="shared" si="180"/>
        <v>0</v>
      </c>
      <c r="AW319" s="17">
        <f t="shared" si="167"/>
        <v>0</v>
      </c>
      <c r="AX319" s="28">
        <f t="shared" si="168"/>
        <v>0</v>
      </c>
      <c r="AY319" s="17">
        <f t="shared" si="169"/>
        <v>0</v>
      </c>
      <c r="AZ319" s="28">
        <f t="shared" si="170"/>
        <v>0</v>
      </c>
      <c r="BA319" s="27">
        <f t="shared" si="189"/>
        <v>0</v>
      </c>
      <c r="BB319" s="27">
        <f t="shared" si="172"/>
        <v>0</v>
      </c>
      <c r="BC319" s="27">
        <f t="shared" si="174"/>
        <v>0</v>
      </c>
      <c r="BD319" s="27">
        <f t="shared" si="175"/>
        <v>0</v>
      </c>
      <c r="BE319" s="27">
        <f t="shared" si="176"/>
        <v>0</v>
      </c>
      <c r="BF319" s="29">
        <f t="shared" si="190"/>
        <v>0</v>
      </c>
      <c r="BH319" s="30">
        <f t="shared" si="171"/>
        <v>0</v>
      </c>
      <c r="BM319" s="2">
        <f t="shared" si="194"/>
        <v>0</v>
      </c>
      <c r="BP319" s="2">
        <f t="shared" si="195"/>
        <v>0</v>
      </c>
    </row>
    <row r="320" spans="1:68" ht="14.45" hidden="1" customHeight="1" x14ac:dyDescent="0.25">
      <c r="A320" s="33" t="s">
        <v>345</v>
      </c>
      <c r="B320" s="23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13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5"/>
      <c r="AD320" s="39">
        <f t="shared" si="197"/>
        <v>0</v>
      </c>
      <c r="AE320" s="26" t="s">
        <v>42</v>
      </c>
      <c r="AF320" s="27">
        <v>2500</v>
      </c>
      <c r="AG320" s="17">
        <f t="shared" si="162"/>
        <v>0</v>
      </c>
      <c r="AH320" s="28">
        <f t="shared" si="163"/>
        <v>0</v>
      </c>
      <c r="AI320" s="17">
        <f t="shared" si="164"/>
        <v>0</v>
      </c>
      <c r="AJ320" s="28">
        <f t="shared" si="165"/>
        <v>0</v>
      </c>
      <c r="AK320" s="17">
        <f t="shared" si="173"/>
        <v>0</v>
      </c>
      <c r="AL320" s="28">
        <f t="shared" si="166"/>
        <v>0</v>
      </c>
      <c r="AM320" s="17">
        <f t="shared" si="181"/>
        <v>0</v>
      </c>
      <c r="AN320" s="28">
        <f t="shared" si="196"/>
        <v>0</v>
      </c>
      <c r="AO320" s="17">
        <f t="shared" si="182"/>
        <v>0</v>
      </c>
      <c r="AP320" s="28">
        <f t="shared" si="192"/>
        <v>0</v>
      </c>
      <c r="AQ320" s="17">
        <f t="shared" si="183"/>
        <v>0</v>
      </c>
      <c r="AR320" s="28">
        <f t="shared" si="193"/>
        <v>0</v>
      </c>
      <c r="AS320" s="17">
        <f t="shared" si="177"/>
        <v>0</v>
      </c>
      <c r="AT320" s="28">
        <f t="shared" si="178"/>
        <v>0</v>
      </c>
      <c r="AU320" s="17">
        <f t="shared" si="179"/>
        <v>0</v>
      </c>
      <c r="AV320" s="28">
        <f t="shared" si="180"/>
        <v>0</v>
      </c>
      <c r="AW320" s="17">
        <f t="shared" si="167"/>
        <v>0</v>
      </c>
      <c r="AX320" s="28">
        <f t="shared" si="168"/>
        <v>0</v>
      </c>
      <c r="AY320" s="17">
        <f t="shared" si="169"/>
        <v>0</v>
      </c>
      <c r="AZ320" s="28">
        <f t="shared" si="170"/>
        <v>0</v>
      </c>
      <c r="BA320" s="27">
        <f t="shared" si="189"/>
        <v>0</v>
      </c>
      <c r="BB320" s="27">
        <f t="shared" si="172"/>
        <v>0</v>
      </c>
      <c r="BC320" s="27">
        <f t="shared" si="174"/>
        <v>0</v>
      </c>
      <c r="BD320" s="27">
        <f t="shared" si="175"/>
        <v>0</v>
      </c>
      <c r="BE320" s="27">
        <f t="shared" si="176"/>
        <v>0</v>
      </c>
      <c r="BF320" s="29">
        <f t="shared" si="190"/>
        <v>0</v>
      </c>
      <c r="BH320" s="30">
        <f t="shared" si="171"/>
        <v>0</v>
      </c>
      <c r="BM320" s="2">
        <f t="shared" si="194"/>
        <v>0</v>
      </c>
      <c r="BP320" s="2">
        <f t="shared" si="195"/>
        <v>0</v>
      </c>
    </row>
    <row r="321" spans="1:68" ht="14.45" hidden="1" customHeight="1" x14ac:dyDescent="0.25">
      <c r="A321" s="33" t="s">
        <v>346</v>
      </c>
      <c r="B321" s="23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13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5"/>
      <c r="AD321" s="39">
        <f t="shared" si="197"/>
        <v>0</v>
      </c>
      <c r="AE321" s="26" t="s">
        <v>42</v>
      </c>
      <c r="AF321" s="27">
        <v>2500</v>
      </c>
      <c r="AG321" s="17">
        <f t="shared" si="162"/>
        <v>0</v>
      </c>
      <c r="AH321" s="28">
        <f t="shared" si="163"/>
        <v>0</v>
      </c>
      <c r="AI321" s="17">
        <f t="shared" si="164"/>
        <v>0</v>
      </c>
      <c r="AJ321" s="28">
        <f t="shared" si="165"/>
        <v>0</v>
      </c>
      <c r="AK321" s="17">
        <f t="shared" si="173"/>
        <v>0</v>
      </c>
      <c r="AL321" s="28">
        <f t="shared" si="166"/>
        <v>0</v>
      </c>
      <c r="AM321" s="17">
        <f t="shared" si="181"/>
        <v>0</v>
      </c>
      <c r="AN321" s="28">
        <f t="shared" si="196"/>
        <v>0</v>
      </c>
      <c r="AO321" s="17">
        <f t="shared" si="182"/>
        <v>0</v>
      </c>
      <c r="AP321" s="28">
        <f t="shared" si="192"/>
        <v>0</v>
      </c>
      <c r="AQ321" s="17">
        <f t="shared" si="183"/>
        <v>0</v>
      </c>
      <c r="AR321" s="28">
        <f t="shared" si="193"/>
        <v>0</v>
      </c>
      <c r="AS321" s="17">
        <f t="shared" si="177"/>
        <v>0</v>
      </c>
      <c r="AT321" s="28">
        <f t="shared" si="178"/>
        <v>0</v>
      </c>
      <c r="AU321" s="17">
        <f t="shared" si="179"/>
        <v>0</v>
      </c>
      <c r="AV321" s="28">
        <f t="shared" si="180"/>
        <v>0</v>
      </c>
      <c r="AW321" s="17">
        <f t="shared" si="167"/>
        <v>0</v>
      </c>
      <c r="AX321" s="28">
        <f t="shared" si="168"/>
        <v>0</v>
      </c>
      <c r="AY321" s="17">
        <f t="shared" si="169"/>
        <v>0</v>
      </c>
      <c r="AZ321" s="28">
        <f t="shared" si="170"/>
        <v>0</v>
      </c>
      <c r="BA321" s="27">
        <f t="shared" si="189"/>
        <v>0</v>
      </c>
      <c r="BB321" s="27">
        <f t="shared" si="172"/>
        <v>0</v>
      </c>
      <c r="BC321" s="27">
        <f t="shared" si="174"/>
        <v>0</v>
      </c>
      <c r="BD321" s="27">
        <f t="shared" si="175"/>
        <v>0</v>
      </c>
      <c r="BE321" s="27">
        <f t="shared" si="176"/>
        <v>0</v>
      </c>
      <c r="BF321" s="29">
        <f t="shared" si="190"/>
        <v>0</v>
      </c>
      <c r="BH321" s="30">
        <f t="shared" si="171"/>
        <v>0</v>
      </c>
      <c r="BM321" s="2">
        <f t="shared" si="194"/>
        <v>0</v>
      </c>
      <c r="BP321" s="2">
        <f t="shared" si="195"/>
        <v>0</v>
      </c>
    </row>
    <row r="322" spans="1:68" ht="14.45" hidden="1" customHeight="1" x14ac:dyDescent="0.25">
      <c r="A322" s="33" t="s">
        <v>347</v>
      </c>
      <c r="B322" s="23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13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5"/>
      <c r="AD322" s="39">
        <f t="shared" si="197"/>
        <v>0</v>
      </c>
      <c r="AE322" s="26" t="s">
        <v>42</v>
      </c>
      <c r="AF322" s="27">
        <v>2500</v>
      </c>
      <c r="AG322" s="17">
        <f t="shared" si="162"/>
        <v>0</v>
      </c>
      <c r="AH322" s="28">
        <f t="shared" si="163"/>
        <v>0</v>
      </c>
      <c r="AI322" s="17">
        <f t="shared" si="164"/>
        <v>0</v>
      </c>
      <c r="AJ322" s="28">
        <f t="shared" si="165"/>
        <v>0</v>
      </c>
      <c r="AK322" s="17">
        <f t="shared" si="173"/>
        <v>0</v>
      </c>
      <c r="AL322" s="28">
        <f t="shared" si="166"/>
        <v>0</v>
      </c>
      <c r="AM322" s="17">
        <f t="shared" si="181"/>
        <v>0</v>
      </c>
      <c r="AN322" s="28">
        <f t="shared" si="196"/>
        <v>0</v>
      </c>
      <c r="AO322" s="17">
        <f t="shared" si="182"/>
        <v>0</v>
      </c>
      <c r="AP322" s="28">
        <f t="shared" si="192"/>
        <v>0</v>
      </c>
      <c r="AQ322" s="17">
        <f t="shared" si="183"/>
        <v>0</v>
      </c>
      <c r="AR322" s="28">
        <f t="shared" si="193"/>
        <v>0</v>
      </c>
      <c r="AS322" s="17">
        <f t="shared" si="177"/>
        <v>0</v>
      </c>
      <c r="AT322" s="28">
        <f t="shared" si="178"/>
        <v>0</v>
      </c>
      <c r="AU322" s="17">
        <f t="shared" si="179"/>
        <v>0</v>
      </c>
      <c r="AV322" s="28">
        <f t="shared" si="180"/>
        <v>0</v>
      </c>
      <c r="AW322" s="17">
        <f t="shared" si="167"/>
        <v>0</v>
      </c>
      <c r="AX322" s="28">
        <f t="shared" si="168"/>
        <v>0</v>
      </c>
      <c r="AY322" s="17">
        <f t="shared" si="169"/>
        <v>0</v>
      </c>
      <c r="AZ322" s="28">
        <f t="shared" si="170"/>
        <v>0</v>
      </c>
      <c r="BA322" s="27">
        <f t="shared" si="189"/>
        <v>0</v>
      </c>
      <c r="BB322" s="27">
        <f t="shared" si="172"/>
        <v>0</v>
      </c>
      <c r="BC322" s="27">
        <f t="shared" si="174"/>
        <v>0</v>
      </c>
      <c r="BD322" s="27">
        <f t="shared" si="175"/>
        <v>0</v>
      </c>
      <c r="BE322" s="27">
        <f t="shared" si="176"/>
        <v>0</v>
      </c>
      <c r="BF322" s="29">
        <f t="shared" si="190"/>
        <v>0</v>
      </c>
      <c r="BH322" s="30">
        <f t="shared" si="171"/>
        <v>0</v>
      </c>
      <c r="BM322" s="2">
        <f t="shared" si="194"/>
        <v>0</v>
      </c>
      <c r="BP322" s="2">
        <f t="shared" si="195"/>
        <v>0</v>
      </c>
    </row>
    <row r="323" spans="1:68" ht="14.45" hidden="1" customHeight="1" x14ac:dyDescent="0.25">
      <c r="A323" s="33" t="s">
        <v>348</v>
      </c>
      <c r="B323" s="23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13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5"/>
      <c r="AD323" s="39">
        <f t="shared" si="197"/>
        <v>0</v>
      </c>
      <c r="AE323" s="26" t="s">
        <v>42</v>
      </c>
      <c r="AF323" s="27">
        <v>2500</v>
      </c>
      <c r="AG323" s="17">
        <f t="shared" si="162"/>
        <v>0</v>
      </c>
      <c r="AH323" s="28">
        <f t="shared" si="163"/>
        <v>0</v>
      </c>
      <c r="AI323" s="17">
        <f t="shared" si="164"/>
        <v>0</v>
      </c>
      <c r="AJ323" s="28">
        <f t="shared" si="165"/>
        <v>0</v>
      </c>
      <c r="AK323" s="17">
        <f t="shared" si="173"/>
        <v>0</v>
      </c>
      <c r="AL323" s="28">
        <f t="shared" si="166"/>
        <v>0</v>
      </c>
      <c r="AM323" s="17">
        <f t="shared" si="181"/>
        <v>0</v>
      </c>
      <c r="AN323" s="28">
        <f t="shared" si="196"/>
        <v>0</v>
      </c>
      <c r="AO323" s="17">
        <f t="shared" si="182"/>
        <v>0</v>
      </c>
      <c r="AP323" s="28">
        <f t="shared" si="192"/>
        <v>0</v>
      </c>
      <c r="AQ323" s="17">
        <f t="shared" si="183"/>
        <v>0</v>
      </c>
      <c r="AR323" s="28">
        <f t="shared" si="193"/>
        <v>0</v>
      </c>
      <c r="AS323" s="17">
        <f t="shared" si="177"/>
        <v>0</v>
      </c>
      <c r="AT323" s="28">
        <f t="shared" si="178"/>
        <v>0</v>
      </c>
      <c r="AU323" s="17">
        <f t="shared" si="179"/>
        <v>0</v>
      </c>
      <c r="AV323" s="28">
        <f t="shared" si="180"/>
        <v>0</v>
      </c>
      <c r="AW323" s="17">
        <f t="shared" si="167"/>
        <v>0</v>
      </c>
      <c r="AX323" s="28">
        <f t="shared" si="168"/>
        <v>0</v>
      </c>
      <c r="AY323" s="17">
        <f t="shared" si="169"/>
        <v>0</v>
      </c>
      <c r="AZ323" s="28">
        <f t="shared" si="170"/>
        <v>0</v>
      </c>
      <c r="BA323" s="27">
        <f t="shared" si="189"/>
        <v>0</v>
      </c>
      <c r="BB323" s="27">
        <f t="shared" si="172"/>
        <v>0</v>
      </c>
      <c r="BC323" s="27">
        <f t="shared" si="174"/>
        <v>0</v>
      </c>
      <c r="BD323" s="27">
        <f t="shared" si="175"/>
        <v>0</v>
      </c>
      <c r="BE323" s="27">
        <f t="shared" si="176"/>
        <v>0</v>
      </c>
      <c r="BF323" s="29">
        <f t="shared" si="190"/>
        <v>0</v>
      </c>
      <c r="BH323" s="30">
        <f t="shared" si="171"/>
        <v>0</v>
      </c>
      <c r="BM323" s="2">
        <f t="shared" si="194"/>
        <v>0</v>
      </c>
      <c r="BP323" s="2">
        <f t="shared" si="195"/>
        <v>0</v>
      </c>
    </row>
    <row r="324" spans="1:68" ht="14.45" hidden="1" customHeight="1" x14ac:dyDescent="0.25">
      <c r="A324" s="33" t="s">
        <v>349</v>
      </c>
      <c r="B324" s="23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13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5"/>
      <c r="AD324" s="39">
        <f t="shared" si="197"/>
        <v>0</v>
      </c>
      <c r="AE324" s="26" t="s">
        <v>42</v>
      </c>
      <c r="AF324" s="27">
        <v>2500</v>
      </c>
      <c r="AG324" s="17">
        <f t="shared" si="162"/>
        <v>0</v>
      </c>
      <c r="AH324" s="28">
        <f t="shared" si="163"/>
        <v>0</v>
      </c>
      <c r="AI324" s="17">
        <f t="shared" si="164"/>
        <v>0</v>
      </c>
      <c r="AJ324" s="28">
        <f t="shared" si="165"/>
        <v>0</v>
      </c>
      <c r="AK324" s="17">
        <f t="shared" si="173"/>
        <v>0</v>
      </c>
      <c r="AL324" s="28">
        <f t="shared" si="166"/>
        <v>0</v>
      </c>
      <c r="AM324" s="17">
        <f t="shared" si="181"/>
        <v>0</v>
      </c>
      <c r="AN324" s="28">
        <f t="shared" si="196"/>
        <v>0</v>
      </c>
      <c r="AO324" s="17">
        <f t="shared" si="182"/>
        <v>0</v>
      </c>
      <c r="AP324" s="28">
        <f t="shared" si="192"/>
        <v>0</v>
      </c>
      <c r="AQ324" s="17">
        <f t="shared" si="183"/>
        <v>0</v>
      </c>
      <c r="AR324" s="28">
        <f t="shared" si="193"/>
        <v>0</v>
      </c>
      <c r="AS324" s="17">
        <f t="shared" si="177"/>
        <v>0</v>
      </c>
      <c r="AT324" s="28">
        <f t="shared" si="178"/>
        <v>0</v>
      </c>
      <c r="AU324" s="17">
        <f t="shared" si="179"/>
        <v>0</v>
      </c>
      <c r="AV324" s="28">
        <f t="shared" si="180"/>
        <v>0</v>
      </c>
      <c r="AW324" s="17">
        <f t="shared" si="167"/>
        <v>0</v>
      </c>
      <c r="AX324" s="28">
        <f t="shared" si="168"/>
        <v>0</v>
      </c>
      <c r="AY324" s="17">
        <f t="shared" si="169"/>
        <v>0</v>
      </c>
      <c r="AZ324" s="28">
        <f t="shared" si="170"/>
        <v>0</v>
      </c>
      <c r="BA324" s="27">
        <f t="shared" si="189"/>
        <v>0</v>
      </c>
      <c r="BB324" s="27">
        <f t="shared" si="172"/>
        <v>0</v>
      </c>
      <c r="BC324" s="27">
        <f t="shared" si="174"/>
        <v>0</v>
      </c>
      <c r="BD324" s="27">
        <f t="shared" si="175"/>
        <v>0</v>
      </c>
      <c r="BE324" s="27">
        <f t="shared" si="176"/>
        <v>0</v>
      </c>
      <c r="BF324" s="29">
        <f t="shared" si="190"/>
        <v>0</v>
      </c>
      <c r="BH324" s="30">
        <f t="shared" si="171"/>
        <v>0</v>
      </c>
      <c r="BM324" s="2">
        <f t="shared" si="194"/>
        <v>0</v>
      </c>
      <c r="BP324" s="2">
        <f t="shared" si="195"/>
        <v>0</v>
      </c>
    </row>
    <row r="325" spans="1:68" ht="14.45" hidden="1" customHeight="1" x14ac:dyDescent="0.25">
      <c r="A325" s="33" t="s">
        <v>350</v>
      </c>
      <c r="B325" s="23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13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5"/>
      <c r="AD325" s="39">
        <f t="shared" si="197"/>
        <v>0</v>
      </c>
      <c r="AE325" s="26" t="s">
        <v>42</v>
      </c>
      <c r="AF325" s="27">
        <v>2500</v>
      </c>
      <c r="AG325" s="17">
        <f t="shared" si="162"/>
        <v>0</v>
      </c>
      <c r="AH325" s="28">
        <f t="shared" si="163"/>
        <v>0</v>
      </c>
      <c r="AI325" s="17">
        <f t="shared" si="164"/>
        <v>0</v>
      </c>
      <c r="AJ325" s="28">
        <f t="shared" si="165"/>
        <v>0</v>
      </c>
      <c r="AK325" s="17">
        <f t="shared" si="173"/>
        <v>0</v>
      </c>
      <c r="AL325" s="28">
        <f t="shared" si="166"/>
        <v>0</v>
      </c>
      <c r="AM325" s="17">
        <f t="shared" si="181"/>
        <v>0</v>
      </c>
      <c r="AN325" s="28">
        <f t="shared" si="196"/>
        <v>0</v>
      </c>
      <c r="AO325" s="17">
        <f t="shared" si="182"/>
        <v>0</v>
      </c>
      <c r="AP325" s="28">
        <f t="shared" si="192"/>
        <v>0</v>
      </c>
      <c r="AQ325" s="17">
        <f t="shared" si="183"/>
        <v>0</v>
      </c>
      <c r="AR325" s="28">
        <f t="shared" si="193"/>
        <v>0</v>
      </c>
      <c r="AS325" s="17">
        <f t="shared" si="177"/>
        <v>0</v>
      </c>
      <c r="AT325" s="28">
        <f t="shared" si="178"/>
        <v>0</v>
      </c>
      <c r="AU325" s="17">
        <f t="shared" si="179"/>
        <v>0</v>
      </c>
      <c r="AV325" s="28">
        <f t="shared" si="180"/>
        <v>0</v>
      </c>
      <c r="AW325" s="17">
        <f t="shared" si="167"/>
        <v>0</v>
      </c>
      <c r="AX325" s="28">
        <f t="shared" si="168"/>
        <v>0</v>
      </c>
      <c r="AY325" s="17">
        <f t="shared" si="169"/>
        <v>0</v>
      </c>
      <c r="AZ325" s="28">
        <f t="shared" si="170"/>
        <v>0</v>
      </c>
      <c r="BA325" s="27">
        <f t="shared" si="189"/>
        <v>0</v>
      </c>
      <c r="BB325" s="27">
        <f t="shared" si="172"/>
        <v>0</v>
      </c>
      <c r="BC325" s="27">
        <f t="shared" si="174"/>
        <v>0</v>
      </c>
      <c r="BD325" s="27">
        <f t="shared" si="175"/>
        <v>0</v>
      </c>
      <c r="BE325" s="27">
        <f t="shared" si="176"/>
        <v>0</v>
      </c>
      <c r="BF325" s="29">
        <f t="shared" si="190"/>
        <v>0</v>
      </c>
      <c r="BH325" s="30">
        <f t="shared" si="171"/>
        <v>0</v>
      </c>
      <c r="BM325" s="2">
        <f t="shared" si="194"/>
        <v>0</v>
      </c>
      <c r="BP325" s="2">
        <f t="shared" si="195"/>
        <v>0</v>
      </c>
    </row>
    <row r="326" spans="1:68" ht="14.45" hidden="1" customHeight="1" x14ac:dyDescent="0.25">
      <c r="A326" s="33" t="s">
        <v>351</v>
      </c>
      <c r="B326" s="23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13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5"/>
      <c r="AD326" s="39">
        <f t="shared" si="197"/>
        <v>0</v>
      </c>
      <c r="AE326" s="26" t="s">
        <v>42</v>
      </c>
      <c r="AF326" s="27">
        <v>2500</v>
      </c>
      <c r="AG326" s="17">
        <f t="shared" si="162"/>
        <v>0</v>
      </c>
      <c r="AH326" s="28">
        <f t="shared" si="163"/>
        <v>0</v>
      </c>
      <c r="AI326" s="17">
        <f t="shared" si="164"/>
        <v>0</v>
      </c>
      <c r="AJ326" s="28">
        <f t="shared" si="165"/>
        <v>0</v>
      </c>
      <c r="AK326" s="17">
        <f t="shared" si="173"/>
        <v>0</v>
      </c>
      <c r="AL326" s="28">
        <f t="shared" si="166"/>
        <v>0</v>
      </c>
      <c r="AM326" s="17">
        <f t="shared" si="181"/>
        <v>0</v>
      </c>
      <c r="AN326" s="28">
        <f t="shared" si="196"/>
        <v>0</v>
      </c>
      <c r="AO326" s="17">
        <f t="shared" si="182"/>
        <v>0</v>
      </c>
      <c r="AP326" s="28">
        <f t="shared" si="192"/>
        <v>0</v>
      </c>
      <c r="AQ326" s="17">
        <f t="shared" si="183"/>
        <v>0</v>
      </c>
      <c r="AR326" s="28">
        <f t="shared" si="193"/>
        <v>0</v>
      </c>
      <c r="AS326" s="17">
        <f t="shared" si="177"/>
        <v>0</v>
      </c>
      <c r="AT326" s="28">
        <f t="shared" si="178"/>
        <v>0</v>
      </c>
      <c r="AU326" s="17">
        <f t="shared" si="179"/>
        <v>0</v>
      </c>
      <c r="AV326" s="28">
        <f t="shared" si="180"/>
        <v>0</v>
      </c>
      <c r="AW326" s="17">
        <f t="shared" si="167"/>
        <v>0</v>
      </c>
      <c r="AX326" s="28">
        <f t="shared" si="168"/>
        <v>0</v>
      </c>
      <c r="AY326" s="17">
        <f t="shared" si="169"/>
        <v>0</v>
      </c>
      <c r="AZ326" s="28">
        <f t="shared" si="170"/>
        <v>0</v>
      </c>
      <c r="BA326" s="27">
        <f t="shared" si="189"/>
        <v>0</v>
      </c>
      <c r="BB326" s="27">
        <f t="shared" si="172"/>
        <v>0</v>
      </c>
      <c r="BC326" s="27">
        <f t="shared" si="174"/>
        <v>0</v>
      </c>
      <c r="BD326" s="27">
        <f t="shared" si="175"/>
        <v>0</v>
      </c>
      <c r="BE326" s="27">
        <f t="shared" si="176"/>
        <v>0</v>
      </c>
      <c r="BF326" s="29">
        <f t="shared" si="190"/>
        <v>0</v>
      </c>
      <c r="BH326" s="30">
        <f t="shared" si="171"/>
        <v>0</v>
      </c>
      <c r="BM326" s="2">
        <f t="shared" si="194"/>
        <v>0</v>
      </c>
      <c r="BP326" s="2">
        <f t="shared" si="195"/>
        <v>0</v>
      </c>
    </row>
    <row r="327" spans="1:68" ht="14.45" hidden="1" customHeight="1" x14ac:dyDescent="0.25">
      <c r="A327" s="33" t="s">
        <v>352</v>
      </c>
      <c r="B327" s="23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13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5"/>
      <c r="AD327" s="39">
        <f t="shared" si="197"/>
        <v>0</v>
      </c>
      <c r="AE327" s="26" t="s">
        <v>42</v>
      </c>
      <c r="AF327" s="27">
        <v>2500</v>
      </c>
      <c r="AG327" s="17">
        <f t="shared" si="162"/>
        <v>0</v>
      </c>
      <c r="AH327" s="28">
        <f t="shared" si="163"/>
        <v>0</v>
      </c>
      <c r="AI327" s="17">
        <f t="shared" si="164"/>
        <v>0</v>
      </c>
      <c r="AJ327" s="28">
        <f t="shared" si="165"/>
        <v>0</v>
      </c>
      <c r="AK327" s="17">
        <f t="shared" si="173"/>
        <v>0</v>
      </c>
      <c r="AL327" s="28">
        <f t="shared" si="166"/>
        <v>0</v>
      </c>
      <c r="AM327" s="17">
        <f t="shared" si="181"/>
        <v>0</v>
      </c>
      <c r="AN327" s="28">
        <f t="shared" si="196"/>
        <v>0</v>
      </c>
      <c r="AO327" s="17">
        <f t="shared" si="182"/>
        <v>0</v>
      </c>
      <c r="AP327" s="28">
        <f t="shared" si="192"/>
        <v>0</v>
      </c>
      <c r="AQ327" s="17">
        <f t="shared" si="183"/>
        <v>0</v>
      </c>
      <c r="AR327" s="28">
        <f t="shared" si="193"/>
        <v>0</v>
      </c>
      <c r="AS327" s="17">
        <f t="shared" si="177"/>
        <v>0</v>
      </c>
      <c r="AT327" s="28">
        <f t="shared" si="178"/>
        <v>0</v>
      </c>
      <c r="AU327" s="17">
        <f t="shared" si="179"/>
        <v>0</v>
      </c>
      <c r="AV327" s="28">
        <f t="shared" si="180"/>
        <v>0</v>
      </c>
      <c r="AW327" s="17">
        <f t="shared" si="167"/>
        <v>0</v>
      </c>
      <c r="AX327" s="28">
        <f t="shared" si="168"/>
        <v>0</v>
      </c>
      <c r="AY327" s="17">
        <f t="shared" si="169"/>
        <v>0</v>
      </c>
      <c r="AZ327" s="28">
        <f t="shared" si="170"/>
        <v>0</v>
      </c>
      <c r="BA327" s="27">
        <f t="shared" si="189"/>
        <v>0</v>
      </c>
      <c r="BB327" s="27">
        <f t="shared" si="172"/>
        <v>0</v>
      </c>
      <c r="BC327" s="27">
        <f t="shared" si="174"/>
        <v>0</v>
      </c>
      <c r="BD327" s="27">
        <f t="shared" si="175"/>
        <v>0</v>
      </c>
      <c r="BE327" s="27">
        <f t="shared" si="176"/>
        <v>0</v>
      </c>
      <c r="BF327" s="29">
        <f t="shared" si="190"/>
        <v>0</v>
      </c>
      <c r="BH327" s="30">
        <f t="shared" si="171"/>
        <v>0</v>
      </c>
      <c r="BM327" s="2">
        <f t="shared" si="194"/>
        <v>0</v>
      </c>
      <c r="BP327" s="2">
        <f t="shared" si="195"/>
        <v>0</v>
      </c>
    </row>
    <row r="328" spans="1:68" ht="14.45" hidden="1" customHeight="1" x14ac:dyDescent="0.25">
      <c r="A328" s="33" t="s">
        <v>353</v>
      </c>
      <c r="B328" s="23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13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5"/>
      <c r="AD328" s="39">
        <f t="shared" si="197"/>
        <v>0</v>
      </c>
      <c r="AE328" s="26" t="s">
        <v>42</v>
      </c>
      <c r="AF328" s="27">
        <v>2500</v>
      </c>
      <c r="AG328" s="17">
        <f t="shared" ref="AG328:AG391" si="198">SUM(F328:L328)-G328</f>
        <v>0</v>
      </c>
      <c r="AH328" s="28">
        <f t="shared" ref="AH328:AH391" si="199">+AG328*AF328</f>
        <v>0</v>
      </c>
      <c r="AI328" s="17">
        <f t="shared" ref="AI328:AI391" si="200">SUM(T328:Y328)-U328</f>
        <v>0</v>
      </c>
      <c r="AJ328" s="28">
        <f t="shared" ref="AJ328:AJ391" si="201">+AI328*AF328</f>
        <v>0</v>
      </c>
      <c r="AK328" s="17">
        <f t="shared" si="173"/>
        <v>0</v>
      </c>
      <c r="AL328" s="28">
        <f t="shared" ref="AL328:AL391" si="202">+AK328*AF328</f>
        <v>0</v>
      </c>
      <c r="AM328" s="17">
        <f t="shared" si="181"/>
        <v>0</v>
      </c>
      <c r="AN328" s="28">
        <f t="shared" si="196"/>
        <v>0</v>
      </c>
      <c r="AO328" s="17">
        <f t="shared" si="182"/>
        <v>0</v>
      </c>
      <c r="AP328" s="28">
        <f t="shared" si="192"/>
        <v>0</v>
      </c>
      <c r="AQ328" s="17">
        <f t="shared" si="183"/>
        <v>0</v>
      </c>
      <c r="AR328" s="28">
        <f t="shared" si="193"/>
        <v>0</v>
      </c>
      <c r="AS328" s="17">
        <f t="shared" si="177"/>
        <v>0</v>
      </c>
      <c r="AT328" s="28">
        <f t="shared" si="178"/>
        <v>0</v>
      </c>
      <c r="AU328" s="17">
        <f t="shared" si="179"/>
        <v>0</v>
      </c>
      <c r="AV328" s="28">
        <f t="shared" si="180"/>
        <v>0</v>
      </c>
      <c r="AW328" s="17">
        <f t="shared" ref="AW328:AW391" si="203">+D328</f>
        <v>0</v>
      </c>
      <c r="AX328" s="28">
        <f t="shared" ref="AX328:AX391" si="204">+AW328*AF328</f>
        <v>0</v>
      </c>
      <c r="AY328" s="17">
        <f t="shared" ref="AY328:AY391" si="205">+R328</f>
        <v>0</v>
      </c>
      <c r="AZ328" s="28">
        <f t="shared" ref="AZ328:AZ391" si="206">+AY328*AF328</f>
        <v>0</v>
      </c>
      <c r="BA328" s="27">
        <f t="shared" si="189"/>
        <v>0</v>
      </c>
      <c r="BB328" s="27">
        <f t="shared" si="172"/>
        <v>0</v>
      </c>
      <c r="BC328" s="27">
        <f t="shared" si="174"/>
        <v>0</v>
      </c>
      <c r="BD328" s="27">
        <f t="shared" si="175"/>
        <v>0</v>
      </c>
      <c r="BE328" s="27">
        <f t="shared" si="176"/>
        <v>0</v>
      </c>
      <c r="BF328" s="29">
        <f t="shared" si="190"/>
        <v>0</v>
      </c>
      <c r="BH328" s="30">
        <f t="shared" ref="BH328:BH391" si="207">+B328+C328+E328+G328+M328+N328+O328+(P328+Q328+S328+U328+Z328+AA328+AB328)</f>
        <v>0</v>
      </c>
      <c r="BM328" s="2">
        <f t="shared" si="194"/>
        <v>0</v>
      </c>
      <c r="BP328" s="2">
        <f t="shared" si="195"/>
        <v>0</v>
      </c>
    </row>
    <row r="329" spans="1:68" ht="14.45" customHeight="1" x14ac:dyDescent="0.25">
      <c r="A329" s="33" t="s">
        <v>354</v>
      </c>
      <c r="B329" s="23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13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>
        <v>150</v>
      </c>
      <c r="AC329" s="25"/>
      <c r="AD329" s="39">
        <f t="shared" si="197"/>
        <v>150</v>
      </c>
      <c r="AE329" s="26" t="s">
        <v>42</v>
      </c>
      <c r="AF329" s="27">
        <v>2500</v>
      </c>
      <c r="AG329" s="17">
        <f t="shared" si="198"/>
        <v>0</v>
      </c>
      <c r="AH329" s="28">
        <f t="shared" si="199"/>
        <v>0</v>
      </c>
      <c r="AI329" s="17">
        <f t="shared" si="200"/>
        <v>0</v>
      </c>
      <c r="AJ329" s="28">
        <f t="shared" si="201"/>
        <v>0</v>
      </c>
      <c r="AK329" s="17">
        <f t="shared" si="173"/>
        <v>0</v>
      </c>
      <c r="AL329" s="28">
        <f t="shared" si="202"/>
        <v>0</v>
      </c>
      <c r="AM329" s="17">
        <f t="shared" si="181"/>
        <v>150</v>
      </c>
      <c r="AN329" s="28">
        <f t="shared" si="196"/>
        <v>375000</v>
      </c>
      <c r="AO329" s="17"/>
      <c r="AP329" s="28"/>
      <c r="AQ329" s="17"/>
      <c r="AR329" s="28"/>
      <c r="AS329" s="17">
        <f t="shared" si="177"/>
        <v>0</v>
      </c>
      <c r="AT329" s="28">
        <f t="shared" si="178"/>
        <v>0</v>
      </c>
      <c r="AU329" s="17">
        <f t="shared" si="179"/>
        <v>0</v>
      </c>
      <c r="AV329" s="28">
        <f t="shared" si="180"/>
        <v>0</v>
      </c>
      <c r="AW329" s="17">
        <f t="shared" si="203"/>
        <v>0</v>
      </c>
      <c r="AX329" s="28">
        <f t="shared" si="204"/>
        <v>0</v>
      </c>
      <c r="AY329" s="17">
        <f t="shared" si="205"/>
        <v>0</v>
      </c>
      <c r="AZ329" s="28">
        <f t="shared" si="206"/>
        <v>0</v>
      </c>
      <c r="BA329" s="27"/>
      <c r="BB329" s="27">
        <f t="shared" ref="BB329:BB392" si="208">+AL329+AN329</f>
        <v>375000</v>
      </c>
      <c r="BC329" s="27">
        <f t="shared" si="174"/>
        <v>0</v>
      </c>
      <c r="BD329" s="27">
        <f t="shared" si="175"/>
        <v>0</v>
      </c>
      <c r="BE329" s="27">
        <f t="shared" si="176"/>
        <v>0</v>
      </c>
      <c r="BF329" s="29"/>
      <c r="BH329" s="30">
        <f t="shared" si="207"/>
        <v>150</v>
      </c>
    </row>
    <row r="330" spans="1:68" ht="14.45" customHeight="1" x14ac:dyDescent="0.25">
      <c r="A330" s="33" t="s">
        <v>355</v>
      </c>
      <c r="B330" s="23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13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>
        <v>85</v>
      </c>
      <c r="AC330" s="25"/>
      <c r="AD330" s="39">
        <f t="shared" si="197"/>
        <v>85</v>
      </c>
      <c r="AE330" s="26" t="s">
        <v>42</v>
      </c>
      <c r="AF330" s="27">
        <v>2500</v>
      </c>
      <c r="AG330" s="17">
        <f t="shared" si="198"/>
        <v>0</v>
      </c>
      <c r="AH330" s="28">
        <f t="shared" si="199"/>
        <v>0</v>
      </c>
      <c r="AI330" s="17">
        <f t="shared" si="200"/>
        <v>0</v>
      </c>
      <c r="AJ330" s="28">
        <f t="shared" si="201"/>
        <v>0</v>
      </c>
      <c r="AK330" s="17">
        <f t="shared" ref="AK330:AK393" si="209">+N330+O330+G330</f>
        <v>0</v>
      </c>
      <c r="AL330" s="28">
        <f t="shared" si="202"/>
        <v>0</v>
      </c>
      <c r="AM330" s="17">
        <f t="shared" si="181"/>
        <v>85</v>
      </c>
      <c r="AN330" s="28">
        <f t="shared" si="196"/>
        <v>212500</v>
      </c>
      <c r="AO330" s="17"/>
      <c r="AP330" s="28"/>
      <c r="AQ330" s="17"/>
      <c r="AR330" s="28"/>
      <c r="AS330" s="17">
        <f t="shared" si="177"/>
        <v>0</v>
      </c>
      <c r="AT330" s="28">
        <f t="shared" si="178"/>
        <v>0</v>
      </c>
      <c r="AU330" s="17">
        <f t="shared" si="179"/>
        <v>0</v>
      </c>
      <c r="AV330" s="28">
        <f t="shared" si="180"/>
        <v>0</v>
      </c>
      <c r="AW330" s="17">
        <f t="shared" si="203"/>
        <v>0</v>
      </c>
      <c r="AX330" s="28">
        <f t="shared" si="204"/>
        <v>0</v>
      </c>
      <c r="AY330" s="17">
        <f t="shared" si="205"/>
        <v>0</v>
      </c>
      <c r="AZ330" s="28">
        <f t="shared" si="206"/>
        <v>0</v>
      </c>
      <c r="BA330" s="27"/>
      <c r="BB330" s="27">
        <f t="shared" si="208"/>
        <v>212500</v>
      </c>
      <c r="BC330" s="27">
        <f t="shared" ref="BC330:BC393" si="210">+AP330+AR330</f>
        <v>0</v>
      </c>
      <c r="BD330" s="27">
        <f t="shared" ref="BD330:BD393" si="211">+AT330+AV330</f>
        <v>0</v>
      </c>
      <c r="BE330" s="27">
        <f t="shared" ref="BE330:BE393" si="212">+AX330+AZ330</f>
        <v>0</v>
      </c>
      <c r="BF330" s="29"/>
      <c r="BH330" s="30">
        <f t="shared" si="207"/>
        <v>85</v>
      </c>
    </row>
    <row r="331" spans="1:68" ht="14.45" customHeight="1" x14ac:dyDescent="0.25">
      <c r="A331" s="33" t="s">
        <v>356</v>
      </c>
      <c r="B331" s="23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13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>
        <v>100</v>
      </c>
      <c r="AC331" s="25"/>
      <c r="AD331" s="39">
        <f t="shared" si="197"/>
        <v>100</v>
      </c>
      <c r="AE331" s="26" t="s">
        <v>42</v>
      </c>
      <c r="AF331" s="27">
        <v>2500</v>
      </c>
      <c r="AG331" s="17">
        <f t="shared" si="198"/>
        <v>0</v>
      </c>
      <c r="AH331" s="28">
        <f t="shared" si="199"/>
        <v>0</v>
      </c>
      <c r="AI331" s="17">
        <f t="shared" si="200"/>
        <v>0</v>
      </c>
      <c r="AJ331" s="28">
        <f t="shared" si="201"/>
        <v>0</v>
      </c>
      <c r="AK331" s="17">
        <f t="shared" si="209"/>
        <v>0</v>
      </c>
      <c r="AL331" s="28">
        <f t="shared" si="202"/>
        <v>0</v>
      </c>
      <c r="AM331" s="17">
        <f t="shared" si="181"/>
        <v>100</v>
      </c>
      <c r="AN331" s="28">
        <f t="shared" si="196"/>
        <v>250000</v>
      </c>
      <c r="AO331" s="17"/>
      <c r="AP331" s="28"/>
      <c r="AQ331" s="17"/>
      <c r="AR331" s="28"/>
      <c r="AS331" s="17">
        <f t="shared" ref="AS331:AS394" si="213">+C331</f>
        <v>0</v>
      </c>
      <c r="AT331" s="28">
        <f t="shared" ref="AT331:AT394" si="214">+AS331*AF331</f>
        <v>0</v>
      </c>
      <c r="AU331" s="17">
        <f t="shared" ref="AU331:AU394" si="215">+Q331</f>
        <v>0</v>
      </c>
      <c r="AV331" s="28">
        <f t="shared" ref="AV331:AV394" si="216">+AU331*AF331</f>
        <v>0</v>
      </c>
      <c r="AW331" s="17">
        <f t="shared" si="203"/>
        <v>0</v>
      </c>
      <c r="AX331" s="28">
        <f t="shared" si="204"/>
        <v>0</v>
      </c>
      <c r="AY331" s="17">
        <f t="shared" si="205"/>
        <v>0</v>
      </c>
      <c r="AZ331" s="28">
        <f t="shared" si="206"/>
        <v>0</v>
      </c>
      <c r="BA331" s="27"/>
      <c r="BB331" s="27">
        <f t="shared" si="208"/>
        <v>250000</v>
      </c>
      <c r="BC331" s="27">
        <f t="shared" si="210"/>
        <v>0</v>
      </c>
      <c r="BD331" s="27">
        <f t="shared" si="211"/>
        <v>0</v>
      </c>
      <c r="BE331" s="27">
        <f t="shared" si="212"/>
        <v>0</v>
      </c>
      <c r="BF331" s="29"/>
      <c r="BH331" s="30">
        <f t="shared" si="207"/>
        <v>100</v>
      </c>
    </row>
    <row r="332" spans="1:68" ht="14.45" customHeight="1" x14ac:dyDescent="0.25">
      <c r="A332" s="33" t="s">
        <v>357</v>
      </c>
      <c r="B332" s="23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13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>
        <v>50</v>
      </c>
      <c r="AC332" s="25"/>
      <c r="AD332" s="39">
        <f t="shared" si="197"/>
        <v>50</v>
      </c>
      <c r="AE332" s="26" t="s">
        <v>42</v>
      </c>
      <c r="AF332" s="27">
        <v>2500</v>
      </c>
      <c r="AG332" s="17">
        <f t="shared" si="198"/>
        <v>0</v>
      </c>
      <c r="AH332" s="28">
        <f t="shared" si="199"/>
        <v>0</v>
      </c>
      <c r="AI332" s="17">
        <f t="shared" si="200"/>
        <v>0</v>
      </c>
      <c r="AJ332" s="28">
        <f t="shared" si="201"/>
        <v>0</v>
      </c>
      <c r="AK332" s="17">
        <f t="shared" si="209"/>
        <v>0</v>
      </c>
      <c r="AL332" s="28">
        <f t="shared" si="202"/>
        <v>0</v>
      </c>
      <c r="AM332" s="17">
        <f t="shared" ref="AM332:AM395" si="217">+AA332+AB332+U332</f>
        <v>50</v>
      </c>
      <c r="AN332" s="28">
        <f t="shared" si="196"/>
        <v>125000</v>
      </c>
      <c r="AO332" s="17"/>
      <c r="AP332" s="28"/>
      <c r="AQ332" s="17"/>
      <c r="AR332" s="28"/>
      <c r="AS332" s="17">
        <f t="shared" si="213"/>
        <v>0</v>
      </c>
      <c r="AT332" s="28">
        <f t="shared" si="214"/>
        <v>0</v>
      </c>
      <c r="AU332" s="17">
        <f t="shared" si="215"/>
        <v>0</v>
      </c>
      <c r="AV332" s="28">
        <f t="shared" si="216"/>
        <v>0</v>
      </c>
      <c r="AW332" s="17">
        <f t="shared" si="203"/>
        <v>0</v>
      </c>
      <c r="AX332" s="28">
        <f t="shared" si="204"/>
        <v>0</v>
      </c>
      <c r="AY332" s="17">
        <f t="shared" si="205"/>
        <v>0</v>
      </c>
      <c r="AZ332" s="28">
        <f t="shared" si="206"/>
        <v>0</v>
      </c>
      <c r="BA332" s="27"/>
      <c r="BB332" s="27">
        <f t="shared" si="208"/>
        <v>125000</v>
      </c>
      <c r="BC332" s="27">
        <f t="shared" si="210"/>
        <v>0</v>
      </c>
      <c r="BD332" s="27">
        <f t="shared" si="211"/>
        <v>0</v>
      </c>
      <c r="BE332" s="27">
        <f t="shared" si="212"/>
        <v>0</v>
      </c>
      <c r="BF332" s="29"/>
      <c r="BH332" s="30">
        <f t="shared" si="207"/>
        <v>50</v>
      </c>
    </row>
    <row r="333" spans="1:68" ht="14.45" customHeight="1" x14ac:dyDescent="0.25">
      <c r="A333" s="33" t="s">
        <v>358</v>
      </c>
      <c r="B333" s="23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13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>
        <v>20</v>
      </c>
      <c r="AC333" s="25"/>
      <c r="AD333" s="39">
        <f t="shared" si="197"/>
        <v>20</v>
      </c>
      <c r="AE333" s="26" t="s">
        <v>42</v>
      </c>
      <c r="AF333" s="27">
        <v>2500</v>
      </c>
      <c r="AG333" s="17">
        <f t="shared" si="198"/>
        <v>0</v>
      </c>
      <c r="AH333" s="28">
        <f t="shared" si="199"/>
        <v>0</v>
      </c>
      <c r="AI333" s="17">
        <f t="shared" si="200"/>
        <v>0</v>
      </c>
      <c r="AJ333" s="28">
        <f t="shared" si="201"/>
        <v>0</v>
      </c>
      <c r="AK333" s="17">
        <f t="shared" si="209"/>
        <v>0</v>
      </c>
      <c r="AL333" s="28">
        <f t="shared" si="202"/>
        <v>0</v>
      </c>
      <c r="AM333" s="17">
        <f t="shared" si="217"/>
        <v>20</v>
      </c>
      <c r="AN333" s="28">
        <f t="shared" si="196"/>
        <v>50000</v>
      </c>
      <c r="AO333" s="17"/>
      <c r="AP333" s="28"/>
      <c r="AQ333" s="17"/>
      <c r="AR333" s="28"/>
      <c r="AS333" s="17">
        <f t="shared" si="213"/>
        <v>0</v>
      </c>
      <c r="AT333" s="28">
        <f t="shared" si="214"/>
        <v>0</v>
      </c>
      <c r="AU333" s="17">
        <f t="shared" si="215"/>
        <v>0</v>
      </c>
      <c r="AV333" s="28">
        <f t="shared" si="216"/>
        <v>0</v>
      </c>
      <c r="AW333" s="17">
        <f t="shared" si="203"/>
        <v>0</v>
      </c>
      <c r="AX333" s="28">
        <f t="shared" si="204"/>
        <v>0</v>
      </c>
      <c r="AY333" s="17">
        <f t="shared" si="205"/>
        <v>0</v>
      </c>
      <c r="AZ333" s="28">
        <f t="shared" si="206"/>
        <v>0</v>
      </c>
      <c r="BA333" s="27"/>
      <c r="BB333" s="27">
        <f t="shared" si="208"/>
        <v>50000</v>
      </c>
      <c r="BC333" s="27">
        <f t="shared" si="210"/>
        <v>0</v>
      </c>
      <c r="BD333" s="27">
        <f t="shared" si="211"/>
        <v>0</v>
      </c>
      <c r="BE333" s="27">
        <f t="shared" si="212"/>
        <v>0</v>
      </c>
      <c r="BF333" s="29"/>
      <c r="BH333" s="30">
        <f t="shared" si="207"/>
        <v>20</v>
      </c>
    </row>
    <row r="334" spans="1:68" ht="14.45" customHeight="1" x14ac:dyDescent="0.25">
      <c r="A334" s="33" t="s">
        <v>359</v>
      </c>
      <c r="B334" s="23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13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>
        <v>50</v>
      </c>
      <c r="AC334" s="25"/>
      <c r="AD334" s="39">
        <f t="shared" si="197"/>
        <v>50</v>
      </c>
      <c r="AE334" s="26" t="s">
        <v>42</v>
      </c>
      <c r="AF334" s="27">
        <v>2500</v>
      </c>
      <c r="AG334" s="17">
        <f t="shared" si="198"/>
        <v>0</v>
      </c>
      <c r="AH334" s="28">
        <f t="shared" si="199"/>
        <v>0</v>
      </c>
      <c r="AI334" s="17">
        <f t="shared" si="200"/>
        <v>0</v>
      </c>
      <c r="AJ334" s="28">
        <f t="shared" si="201"/>
        <v>0</v>
      </c>
      <c r="AK334" s="17">
        <f t="shared" si="209"/>
        <v>0</v>
      </c>
      <c r="AL334" s="28">
        <f t="shared" si="202"/>
        <v>0</v>
      </c>
      <c r="AM334" s="17">
        <f t="shared" si="217"/>
        <v>50</v>
      </c>
      <c r="AN334" s="28">
        <f t="shared" si="196"/>
        <v>125000</v>
      </c>
      <c r="AO334" s="17"/>
      <c r="AP334" s="28"/>
      <c r="AQ334" s="17"/>
      <c r="AR334" s="28"/>
      <c r="AS334" s="17">
        <f t="shared" si="213"/>
        <v>0</v>
      </c>
      <c r="AT334" s="28">
        <f t="shared" si="214"/>
        <v>0</v>
      </c>
      <c r="AU334" s="17">
        <f t="shared" si="215"/>
        <v>0</v>
      </c>
      <c r="AV334" s="28">
        <f t="shared" si="216"/>
        <v>0</v>
      </c>
      <c r="AW334" s="17">
        <f t="shared" si="203"/>
        <v>0</v>
      </c>
      <c r="AX334" s="28">
        <f t="shared" si="204"/>
        <v>0</v>
      </c>
      <c r="AY334" s="17">
        <f t="shared" si="205"/>
        <v>0</v>
      </c>
      <c r="AZ334" s="28">
        <f t="shared" si="206"/>
        <v>0</v>
      </c>
      <c r="BA334" s="27"/>
      <c r="BB334" s="27">
        <f t="shared" si="208"/>
        <v>125000</v>
      </c>
      <c r="BC334" s="27">
        <f t="shared" si="210"/>
        <v>0</v>
      </c>
      <c r="BD334" s="27">
        <f t="shared" si="211"/>
        <v>0</v>
      </c>
      <c r="BE334" s="27">
        <f t="shared" si="212"/>
        <v>0</v>
      </c>
      <c r="BF334" s="29"/>
      <c r="BH334" s="30">
        <f t="shared" si="207"/>
        <v>50</v>
      </c>
    </row>
    <row r="335" spans="1:68" ht="14.45" customHeight="1" x14ac:dyDescent="0.25">
      <c r="A335" s="33" t="s">
        <v>360</v>
      </c>
      <c r="B335" s="23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13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>
        <v>100</v>
      </c>
      <c r="AC335" s="25"/>
      <c r="AD335" s="39">
        <f t="shared" si="197"/>
        <v>100</v>
      </c>
      <c r="AE335" s="26" t="s">
        <v>42</v>
      </c>
      <c r="AF335" s="27">
        <v>2500</v>
      </c>
      <c r="AG335" s="17">
        <f t="shared" si="198"/>
        <v>0</v>
      </c>
      <c r="AH335" s="28">
        <f t="shared" si="199"/>
        <v>0</v>
      </c>
      <c r="AI335" s="17">
        <f t="shared" si="200"/>
        <v>0</v>
      </c>
      <c r="AJ335" s="28">
        <f t="shared" si="201"/>
        <v>0</v>
      </c>
      <c r="AK335" s="17">
        <f t="shared" si="209"/>
        <v>0</v>
      </c>
      <c r="AL335" s="28">
        <f t="shared" si="202"/>
        <v>0</v>
      </c>
      <c r="AM335" s="17">
        <f t="shared" si="217"/>
        <v>100</v>
      </c>
      <c r="AN335" s="28">
        <f t="shared" si="196"/>
        <v>250000</v>
      </c>
      <c r="AO335" s="17"/>
      <c r="AP335" s="28"/>
      <c r="AQ335" s="17"/>
      <c r="AR335" s="28"/>
      <c r="AS335" s="17">
        <f t="shared" si="213"/>
        <v>0</v>
      </c>
      <c r="AT335" s="28">
        <f t="shared" si="214"/>
        <v>0</v>
      </c>
      <c r="AU335" s="17">
        <f t="shared" si="215"/>
        <v>0</v>
      </c>
      <c r="AV335" s="28">
        <f t="shared" si="216"/>
        <v>0</v>
      </c>
      <c r="AW335" s="17">
        <f t="shared" si="203"/>
        <v>0</v>
      </c>
      <c r="AX335" s="28">
        <f t="shared" si="204"/>
        <v>0</v>
      </c>
      <c r="AY335" s="17">
        <f t="shared" si="205"/>
        <v>0</v>
      </c>
      <c r="AZ335" s="28">
        <f t="shared" si="206"/>
        <v>0</v>
      </c>
      <c r="BA335" s="27"/>
      <c r="BB335" s="27">
        <f t="shared" si="208"/>
        <v>250000</v>
      </c>
      <c r="BC335" s="27">
        <f t="shared" si="210"/>
        <v>0</v>
      </c>
      <c r="BD335" s="27">
        <f t="shared" si="211"/>
        <v>0</v>
      </c>
      <c r="BE335" s="27">
        <f t="shared" si="212"/>
        <v>0</v>
      </c>
      <c r="BF335" s="29"/>
      <c r="BH335" s="30">
        <f t="shared" si="207"/>
        <v>100</v>
      </c>
    </row>
    <row r="336" spans="1:68" ht="14.45" customHeight="1" x14ac:dyDescent="0.25">
      <c r="A336" s="33" t="s">
        <v>361</v>
      </c>
      <c r="B336" s="23"/>
      <c r="C336" s="24"/>
      <c r="D336" s="24">
        <v>12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13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>
        <v>100</v>
      </c>
      <c r="AC336" s="25"/>
      <c r="AD336" s="39">
        <f t="shared" si="197"/>
        <v>112</v>
      </c>
      <c r="AE336" s="26" t="s">
        <v>42</v>
      </c>
      <c r="AF336" s="27">
        <v>2500</v>
      </c>
      <c r="AG336" s="17">
        <f t="shared" si="198"/>
        <v>0</v>
      </c>
      <c r="AH336" s="28">
        <f t="shared" si="199"/>
        <v>0</v>
      </c>
      <c r="AI336" s="17">
        <f t="shared" si="200"/>
        <v>0</v>
      </c>
      <c r="AJ336" s="28">
        <f t="shared" si="201"/>
        <v>0</v>
      </c>
      <c r="AK336" s="17">
        <f t="shared" si="209"/>
        <v>0</v>
      </c>
      <c r="AL336" s="28">
        <f t="shared" si="202"/>
        <v>0</v>
      </c>
      <c r="AM336" s="17">
        <f t="shared" si="217"/>
        <v>100</v>
      </c>
      <c r="AN336" s="28">
        <f t="shared" si="196"/>
        <v>250000</v>
      </c>
      <c r="AO336" s="17"/>
      <c r="AP336" s="28"/>
      <c r="AQ336" s="17"/>
      <c r="AR336" s="28"/>
      <c r="AS336" s="17">
        <f t="shared" si="213"/>
        <v>0</v>
      </c>
      <c r="AT336" s="28">
        <f t="shared" si="214"/>
        <v>0</v>
      </c>
      <c r="AU336" s="17">
        <f t="shared" si="215"/>
        <v>0</v>
      </c>
      <c r="AV336" s="28">
        <f t="shared" si="216"/>
        <v>0</v>
      </c>
      <c r="AW336" s="17">
        <f t="shared" si="203"/>
        <v>12</v>
      </c>
      <c r="AX336" s="28">
        <f t="shared" si="204"/>
        <v>30000</v>
      </c>
      <c r="AY336" s="17">
        <f t="shared" si="205"/>
        <v>0</v>
      </c>
      <c r="AZ336" s="28">
        <f t="shared" si="206"/>
        <v>0</v>
      </c>
      <c r="BA336" s="27"/>
      <c r="BB336" s="27">
        <f t="shared" si="208"/>
        <v>250000</v>
      </c>
      <c r="BC336" s="27">
        <f t="shared" si="210"/>
        <v>0</v>
      </c>
      <c r="BD336" s="27">
        <f t="shared" si="211"/>
        <v>0</v>
      </c>
      <c r="BE336" s="27">
        <f t="shared" si="212"/>
        <v>30000</v>
      </c>
      <c r="BF336" s="29"/>
      <c r="BH336" s="30">
        <f t="shared" si="207"/>
        <v>100</v>
      </c>
    </row>
    <row r="337" spans="1:68" ht="14.45" customHeight="1" x14ac:dyDescent="0.25">
      <c r="A337" s="33" t="s">
        <v>362</v>
      </c>
      <c r="B337" s="23"/>
      <c r="C337" s="24"/>
      <c r="D337" s="24">
        <v>500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13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>
        <v>100</v>
      </c>
      <c r="AC337" s="25"/>
      <c r="AD337" s="39">
        <f t="shared" si="197"/>
        <v>600</v>
      </c>
      <c r="AE337" s="26" t="s">
        <v>42</v>
      </c>
      <c r="AF337" s="27">
        <v>2500</v>
      </c>
      <c r="AG337" s="17">
        <f t="shared" si="198"/>
        <v>0</v>
      </c>
      <c r="AH337" s="28">
        <f t="shared" si="199"/>
        <v>0</v>
      </c>
      <c r="AI337" s="17">
        <f t="shared" si="200"/>
        <v>0</v>
      </c>
      <c r="AJ337" s="28">
        <f t="shared" si="201"/>
        <v>0</v>
      </c>
      <c r="AK337" s="17">
        <f t="shared" si="209"/>
        <v>0</v>
      </c>
      <c r="AL337" s="28">
        <f t="shared" si="202"/>
        <v>0</v>
      </c>
      <c r="AM337" s="17">
        <f t="shared" si="217"/>
        <v>100</v>
      </c>
      <c r="AN337" s="28">
        <f t="shared" si="196"/>
        <v>250000</v>
      </c>
      <c r="AO337" s="17"/>
      <c r="AP337" s="28"/>
      <c r="AQ337" s="17"/>
      <c r="AR337" s="28"/>
      <c r="AS337" s="17">
        <f t="shared" si="213"/>
        <v>0</v>
      </c>
      <c r="AT337" s="28">
        <f t="shared" si="214"/>
        <v>0</v>
      </c>
      <c r="AU337" s="17">
        <f t="shared" si="215"/>
        <v>0</v>
      </c>
      <c r="AV337" s="28">
        <f t="shared" si="216"/>
        <v>0</v>
      </c>
      <c r="AW337" s="17">
        <f t="shared" si="203"/>
        <v>500</v>
      </c>
      <c r="AX337" s="28">
        <f t="shared" si="204"/>
        <v>1250000</v>
      </c>
      <c r="AY337" s="17">
        <f t="shared" si="205"/>
        <v>0</v>
      </c>
      <c r="AZ337" s="28">
        <f t="shared" si="206"/>
        <v>0</v>
      </c>
      <c r="BA337" s="27"/>
      <c r="BB337" s="27">
        <f t="shared" si="208"/>
        <v>250000</v>
      </c>
      <c r="BC337" s="27">
        <f t="shared" si="210"/>
        <v>0</v>
      </c>
      <c r="BD337" s="27">
        <f t="shared" si="211"/>
        <v>0</v>
      </c>
      <c r="BE337" s="27">
        <f t="shared" si="212"/>
        <v>1250000</v>
      </c>
      <c r="BF337" s="29"/>
      <c r="BH337" s="30">
        <f t="shared" si="207"/>
        <v>100</v>
      </c>
    </row>
    <row r="338" spans="1:68" ht="14.45" customHeight="1" x14ac:dyDescent="0.25">
      <c r="A338" s="33" t="s">
        <v>363</v>
      </c>
      <c r="B338" s="23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13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>
        <v>100</v>
      </c>
      <c r="AC338" s="25"/>
      <c r="AD338" s="39">
        <f t="shared" si="197"/>
        <v>100</v>
      </c>
      <c r="AE338" s="26" t="s">
        <v>42</v>
      </c>
      <c r="AF338" s="27">
        <v>2500</v>
      </c>
      <c r="AG338" s="17">
        <f t="shared" si="198"/>
        <v>0</v>
      </c>
      <c r="AH338" s="28">
        <f t="shared" si="199"/>
        <v>0</v>
      </c>
      <c r="AI338" s="17">
        <f t="shared" si="200"/>
        <v>0</v>
      </c>
      <c r="AJ338" s="28">
        <f t="shared" si="201"/>
        <v>0</v>
      </c>
      <c r="AK338" s="17">
        <f t="shared" si="209"/>
        <v>0</v>
      </c>
      <c r="AL338" s="28">
        <f t="shared" si="202"/>
        <v>0</v>
      </c>
      <c r="AM338" s="17">
        <f t="shared" si="217"/>
        <v>100</v>
      </c>
      <c r="AN338" s="28">
        <f t="shared" si="196"/>
        <v>250000</v>
      </c>
      <c r="AO338" s="17"/>
      <c r="AP338" s="28"/>
      <c r="AQ338" s="17"/>
      <c r="AR338" s="28"/>
      <c r="AS338" s="17">
        <f t="shared" si="213"/>
        <v>0</v>
      </c>
      <c r="AT338" s="28">
        <f t="shared" si="214"/>
        <v>0</v>
      </c>
      <c r="AU338" s="17">
        <f t="shared" si="215"/>
        <v>0</v>
      </c>
      <c r="AV338" s="28">
        <f t="shared" si="216"/>
        <v>0</v>
      </c>
      <c r="AW338" s="17">
        <f t="shared" si="203"/>
        <v>0</v>
      </c>
      <c r="AX338" s="28">
        <f t="shared" si="204"/>
        <v>0</v>
      </c>
      <c r="AY338" s="17">
        <f t="shared" si="205"/>
        <v>0</v>
      </c>
      <c r="AZ338" s="28">
        <f t="shared" si="206"/>
        <v>0</v>
      </c>
      <c r="BA338" s="27"/>
      <c r="BB338" s="27">
        <f t="shared" si="208"/>
        <v>250000</v>
      </c>
      <c r="BC338" s="27">
        <f t="shared" si="210"/>
        <v>0</v>
      </c>
      <c r="BD338" s="27">
        <f t="shared" si="211"/>
        <v>0</v>
      </c>
      <c r="BE338" s="27">
        <f t="shared" si="212"/>
        <v>0</v>
      </c>
      <c r="BF338" s="29"/>
      <c r="BH338" s="30">
        <f t="shared" si="207"/>
        <v>100</v>
      </c>
    </row>
    <row r="339" spans="1:68" x14ac:dyDescent="0.25">
      <c r="A339" s="33" t="s">
        <v>364</v>
      </c>
      <c r="B339" s="23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13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5"/>
      <c r="AD339" s="25">
        <f t="shared" ref="AD339:AD355" si="218">SUM(B339:S339)</f>
        <v>0</v>
      </c>
      <c r="AE339" s="26" t="s">
        <v>42</v>
      </c>
      <c r="AF339" s="27">
        <v>2500</v>
      </c>
      <c r="AG339" s="17">
        <f t="shared" si="198"/>
        <v>0</v>
      </c>
      <c r="AH339" s="28">
        <f t="shared" si="199"/>
        <v>0</v>
      </c>
      <c r="AI339" s="17">
        <f t="shared" si="200"/>
        <v>0</v>
      </c>
      <c r="AJ339" s="28">
        <f t="shared" si="201"/>
        <v>0</v>
      </c>
      <c r="AK339" s="17">
        <f t="shared" si="209"/>
        <v>0</v>
      </c>
      <c r="AL339" s="28">
        <f t="shared" si="202"/>
        <v>0</v>
      </c>
      <c r="AM339" s="17">
        <f t="shared" si="217"/>
        <v>0</v>
      </c>
      <c r="AN339" s="28">
        <f t="shared" si="196"/>
        <v>0</v>
      </c>
      <c r="AO339" s="17">
        <f t="shared" ref="AO339:AO358" si="219">+B339</f>
        <v>0</v>
      </c>
      <c r="AP339" s="28">
        <f t="shared" ref="AP339:AP355" si="220">+AO339*AF339</f>
        <v>0</v>
      </c>
      <c r="AQ339" s="17">
        <f t="shared" ref="AQ339:AQ358" si="221">+P339</f>
        <v>0</v>
      </c>
      <c r="AR339" s="28">
        <f t="shared" ref="AR339:AR355" si="222">+AQ339*AF339</f>
        <v>0</v>
      </c>
      <c r="AS339" s="17">
        <f t="shared" si="213"/>
        <v>0</v>
      </c>
      <c r="AT339" s="28">
        <f t="shared" si="214"/>
        <v>0</v>
      </c>
      <c r="AU339" s="17">
        <f t="shared" si="215"/>
        <v>0</v>
      </c>
      <c r="AV339" s="28">
        <f t="shared" si="216"/>
        <v>0</v>
      </c>
      <c r="AW339" s="17">
        <f t="shared" si="203"/>
        <v>0</v>
      </c>
      <c r="AX339" s="28">
        <f t="shared" si="204"/>
        <v>0</v>
      </c>
      <c r="AY339" s="17">
        <f t="shared" si="205"/>
        <v>0</v>
      </c>
      <c r="AZ339" s="28">
        <f t="shared" si="206"/>
        <v>0</v>
      </c>
      <c r="BA339" s="27">
        <f t="shared" si="189"/>
        <v>0</v>
      </c>
      <c r="BB339" s="27">
        <f t="shared" si="208"/>
        <v>0</v>
      </c>
      <c r="BC339" s="27">
        <f t="shared" si="210"/>
        <v>0</v>
      </c>
      <c r="BD339" s="27">
        <f t="shared" si="211"/>
        <v>0</v>
      </c>
      <c r="BE339" s="27">
        <f t="shared" si="212"/>
        <v>0</v>
      </c>
      <c r="BF339" s="29">
        <f t="shared" si="190"/>
        <v>0</v>
      </c>
      <c r="BH339" s="30">
        <f t="shared" si="207"/>
        <v>0</v>
      </c>
      <c r="BM339" s="2">
        <f t="shared" ref="BM339:BM355" si="223">SUM(B339:S339)</f>
        <v>0</v>
      </c>
      <c r="BP339" s="2">
        <f t="shared" ref="BP339:BP355" si="224">SUM(B339:S339)</f>
        <v>0</v>
      </c>
    </row>
    <row r="340" spans="1:68" ht="14.45" hidden="1" customHeight="1" x14ac:dyDescent="0.25">
      <c r="A340" s="33" t="s">
        <v>365</v>
      </c>
      <c r="B340" s="23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13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5"/>
      <c r="AD340" s="25">
        <f t="shared" si="218"/>
        <v>0</v>
      </c>
      <c r="AE340" s="26" t="s">
        <v>42</v>
      </c>
      <c r="AF340" s="27"/>
      <c r="AG340" s="17">
        <f t="shared" si="198"/>
        <v>0</v>
      </c>
      <c r="AH340" s="28">
        <f t="shared" si="199"/>
        <v>0</v>
      </c>
      <c r="AI340" s="17">
        <f t="shared" si="200"/>
        <v>0</v>
      </c>
      <c r="AJ340" s="28">
        <f t="shared" si="201"/>
        <v>0</v>
      </c>
      <c r="AK340" s="17">
        <f t="shared" si="209"/>
        <v>0</v>
      </c>
      <c r="AL340" s="28">
        <f t="shared" si="202"/>
        <v>0</v>
      </c>
      <c r="AM340" s="17">
        <f t="shared" si="217"/>
        <v>0</v>
      </c>
      <c r="AN340" s="28">
        <f t="shared" si="196"/>
        <v>0</v>
      </c>
      <c r="AO340" s="17">
        <f t="shared" si="219"/>
        <v>0</v>
      </c>
      <c r="AP340" s="28">
        <f t="shared" si="220"/>
        <v>0</v>
      </c>
      <c r="AQ340" s="17">
        <f t="shared" si="221"/>
        <v>0</v>
      </c>
      <c r="AR340" s="28">
        <f t="shared" si="222"/>
        <v>0</v>
      </c>
      <c r="AS340" s="17">
        <f t="shared" si="213"/>
        <v>0</v>
      </c>
      <c r="AT340" s="28">
        <f t="shared" si="214"/>
        <v>0</v>
      </c>
      <c r="AU340" s="17">
        <f t="shared" si="215"/>
        <v>0</v>
      </c>
      <c r="AV340" s="28">
        <f t="shared" si="216"/>
        <v>0</v>
      </c>
      <c r="AW340" s="17">
        <f t="shared" si="203"/>
        <v>0</v>
      </c>
      <c r="AX340" s="28">
        <f t="shared" si="204"/>
        <v>0</v>
      </c>
      <c r="AY340" s="17">
        <f t="shared" si="205"/>
        <v>0</v>
      </c>
      <c r="AZ340" s="28">
        <f t="shared" si="206"/>
        <v>0</v>
      </c>
      <c r="BA340" s="27">
        <f t="shared" si="189"/>
        <v>0</v>
      </c>
      <c r="BB340" s="27">
        <f t="shared" si="208"/>
        <v>0</v>
      </c>
      <c r="BC340" s="27">
        <f t="shared" si="210"/>
        <v>0</v>
      </c>
      <c r="BD340" s="27">
        <f t="shared" si="211"/>
        <v>0</v>
      </c>
      <c r="BE340" s="27">
        <f t="shared" si="212"/>
        <v>0</v>
      </c>
      <c r="BF340" s="29">
        <f t="shared" si="190"/>
        <v>0</v>
      </c>
      <c r="BH340" s="30">
        <f t="shared" si="207"/>
        <v>0</v>
      </c>
      <c r="BM340" s="2">
        <f t="shared" si="223"/>
        <v>0</v>
      </c>
      <c r="BP340" s="2">
        <f t="shared" si="224"/>
        <v>0</v>
      </c>
    </row>
    <row r="341" spans="1:68" ht="14.45" hidden="1" customHeight="1" x14ac:dyDescent="0.25">
      <c r="A341" s="33" t="s">
        <v>366</v>
      </c>
      <c r="B341" s="23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13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5"/>
      <c r="AD341" s="25">
        <f t="shared" si="218"/>
        <v>0</v>
      </c>
      <c r="AE341" s="26" t="s">
        <v>42</v>
      </c>
      <c r="AF341" s="27"/>
      <c r="AG341" s="17">
        <f t="shared" si="198"/>
        <v>0</v>
      </c>
      <c r="AH341" s="28">
        <f t="shared" si="199"/>
        <v>0</v>
      </c>
      <c r="AI341" s="17">
        <f t="shared" si="200"/>
        <v>0</v>
      </c>
      <c r="AJ341" s="28">
        <f t="shared" si="201"/>
        <v>0</v>
      </c>
      <c r="AK341" s="17">
        <f t="shared" si="209"/>
        <v>0</v>
      </c>
      <c r="AL341" s="28">
        <f t="shared" si="202"/>
        <v>0</v>
      </c>
      <c r="AM341" s="17">
        <f t="shared" si="217"/>
        <v>0</v>
      </c>
      <c r="AN341" s="28">
        <f t="shared" si="196"/>
        <v>0</v>
      </c>
      <c r="AO341" s="17">
        <f t="shared" si="219"/>
        <v>0</v>
      </c>
      <c r="AP341" s="28">
        <f t="shared" si="220"/>
        <v>0</v>
      </c>
      <c r="AQ341" s="17">
        <f t="shared" si="221"/>
        <v>0</v>
      </c>
      <c r="AR341" s="28">
        <f t="shared" si="222"/>
        <v>0</v>
      </c>
      <c r="AS341" s="17">
        <f t="shared" si="213"/>
        <v>0</v>
      </c>
      <c r="AT341" s="28">
        <f t="shared" si="214"/>
        <v>0</v>
      </c>
      <c r="AU341" s="17">
        <f t="shared" si="215"/>
        <v>0</v>
      </c>
      <c r="AV341" s="28">
        <f t="shared" si="216"/>
        <v>0</v>
      </c>
      <c r="AW341" s="17">
        <f t="shared" si="203"/>
        <v>0</v>
      </c>
      <c r="AX341" s="28">
        <f t="shared" si="204"/>
        <v>0</v>
      </c>
      <c r="AY341" s="17">
        <f t="shared" si="205"/>
        <v>0</v>
      </c>
      <c r="AZ341" s="28">
        <f t="shared" si="206"/>
        <v>0</v>
      </c>
      <c r="BA341" s="27">
        <f t="shared" si="189"/>
        <v>0</v>
      </c>
      <c r="BB341" s="27">
        <f t="shared" si="208"/>
        <v>0</v>
      </c>
      <c r="BC341" s="27">
        <f t="shared" si="210"/>
        <v>0</v>
      </c>
      <c r="BD341" s="27">
        <f t="shared" si="211"/>
        <v>0</v>
      </c>
      <c r="BE341" s="27">
        <f t="shared" si="212"/>
        <v>0</v>
      </c>
      <c r="BF341" s="29">
        <f t="shared" si="190"/>
        <v>0</v>
      </c>
      <c r="BH341" s="30">
        <f t="shared" si="207"/>
        <v>0</v>
      </c>
      <c r="BM341" s="2">
        <f t="shared" si="223"/>
        <v>0</v>
      </c>
      <c r="BP341" s="2">
        <f t="shared" si="224"/>
        <v>0</v>
      </c>
    </row>
    <row r="342" spans="1:68" ht="14.45" hidden="1" customHeight="1" x14ac:dyDescent="0.25">
      <c r="A342" s="33" t="s">
        <v>367</v>
      </c>
      <c r="B342" s="23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13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5"/>
      <c r="AD342" s="25">
        <f t="shared" si="218"/>
        <v>0</v>
      </c>
      <c r="AE342" s="26" t="s">
        <v>42</v>
      </c>
      <c r="AF342" s="27"/>
      <c r="AG342" s="17">
        <f t="shared" si="198"/>
        <v>0</v>
      </c>
      <c r="AH342" s="28">
        <f t="shared" si="199"/>
        <v>0</v>
      </c>
      <c r="AI342" s="17">
        <f t="shared" si="200"/>
        <v>0</v>
      </c>
      <c r="AJ342" s="28">
        <f t="shared" si="201"/>
        <v>0</v>
      </c>
      <c r="AK342" s="17">
        <f t="shared" si="209"/>
        <v>0</v>
      </c>
      <c r="AL342" s="28">
        <f t="shared" si="202"/>
        <v>0</v>
      </c>
      <c r="AM342" s="17">
        <f t="shared" si="217"/>
        <v>0</v>
      </c>
      <c r="AN342" s="28">
        <f t="shared" si="196"/>
        <v>0</v>
      </c>
      <c r="AO342" s="17">
        <f t="shared" si="219"/>
        <v>0</v>
      </c>
      <c r="AP342" s="28">
        <f t="shared" si="220"/>
        <v>0</v>
      </c>
      <c r="AQ342" s="17">
        <f t="shared" si="221"/>
        <v>0</v>
      </c>
      <c r="AR342" s="28">
        <f t="shared" si="222"/>
        <v>0</v>
      </c>
      <c r="AS342" s="17">
        <f t="shared" si="213"/>
        <v>0</v>
      </c>
      <c r="AT342" s="28">
        <f t="shared" si="214"/>
        <v>0</v>
      </c>
      <c r="AU342" s="17">
        <f t="shared" si="215"/>
        <v>0</v>
      </c>
      <c r="AV342" s="28">
        <f t="shared" si="216"/>
        <v>0</v>
      </c>
      <c r="AW342" s="17">
        <f t="shared" si="203"/>
        <v>0</v>
      </c>
      <c r="AX342" s="28">
        <f t="shared" si="204"/>
        <v>0</v>
      </c>
      <c r="AY342" s="17">
        <f t="shared" si="205"/>
        <v>0</v>
      </c>
      <c r="AZ342" s="28">
        <f t="shared" si="206"/>
        <v>0</v>
      </c>
      <c r="BA342" s="27">
        <f t="shared" si="189"/>
        <v>0</v>
      </c>
      <c r="BB342" s="27">
        <f t="shared" si="208"/>
        <v>0</v>
      </c>
      <c r="BC342" s="27">
        <f t="shared" si="210"/>
        <v>0</v>
      </c>
      <c r="BD342" s="27">
        <f t="shared" si="211"/>
        <v>0</v>
      </c>
      <c r="BE342" s="27">
        <f t="shared" si="212"/>
        <v>0</v>
      </c>
      <c r="BF342" s="29">
        <f t="shared" si="190"/>
        <v>0</v>
      </c>
      <c r="BH342" s="30">
        <f t="shared" si="207"/>
        <v>0</v>
      </c>
      <c r="BM342" s="2">
        <f t="shared" si="223"/>
        <v>0</v>
      </c>
      <c r="BP342" s="2">
        <f t="shared" si="224"/>
        <v>0</v>
      </c>
    </row>
    <row r="343" spans="1:68" ht="14.45" hidden="1" customHeight="1" x14ac:dyDescent="0.25">
      <c r="A343" s="33" t="s">
        <v>368</v>
      </c>
      <c r="B343" s="23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13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5"/>
      <c r="AD343" s="25">
        <f t="shared" si="218"/>
        <v>0</v>
      </c>
      <c r="AE343" s="26" t="s">
        <v>42</v>
      </c>
      <c r="AF343" s="27"/>
      <c r="AG343" s="17">
        <f t="shared" si="198"/>
        <v>0</v>
      </c>
      <c r="AH343" s="28">
        <f t="shared" si="199"/>
        <v>0</v>
      </c>
      <c r="AI343" s="17">
        <f t="shared" si="200"/>
        <v>0</v>
      </c>
      <c r="AJ343" s="28">
        <f t="shared" si="201"/>
        <v>0</v>
      </c>
      <c r="AK343" s="17">
        <f t="shared" si="209"/>
        <v>0</v>
      </c>
      <c r="AL343" s="28">
        <f t="shared" si="202"/>
        <v>0</v>
      </c>
      <c r="AM343" s="17">
        <f t="shared" si="217"/>
        <v>0</v>
      </c>
      <c r="AN343" s="28">
        <f t="shared" si="196"/>
        <v>0</v>
      </c>
      <c r="AO343" s="17">
        <f t="shared" si="219"/>
        <v>0</v>
      </c>
      <c r="AP343" s="28">
        <f t="shared" si="220"/>
        <v>0</v>
      </c>
      <c r="AQ343" s="17">
        <f t="shared" si="221"/>
        <v>0</v>
      </c>
      <c r="AR343" s="28">
        <f t="shared" si="222"/>
        <v>0</v>
      </c>
      <c r="AS343" s="17">
        <f t="shared" si="213"/>
        <v>0</v>
      </c>
      <c r="AT343" s="28">
        <f t="shared" si="214"/>
        <v>0</v>
      </c>
      <c r="AU343" s="17">
        <f t="shared" si="215"/>
        <v>0</v>
      </c>
      <c r="AV343" s="28">
        <f t="shared" si="216"/>
        <v>0</v>
      </c>
      <c r="AW343" s="17">
        <f t="shared" si="203"/>
        <v>0</v>
      </c>
      <c r="AX343" s="28">
        <f t="shared" si="204"/>
        <v>0</v>
      </c>
      <c r="AY343" s="17">
        <f t="shared" si="205"/>
        <v>0</v>
      </c>
      <c r="AZ343" s="28">
        <f t="shared" si="206"/>
        <v>0</v>
      </c>
      <c r="BA343" s="27">
        <f t="shared" si="189"/>
        <v>0</v>
      </c>
      <c r="BB343" s="27">
        <f t="shared" si="208"/>
        <v>0</v>
      </c>
      <c r="BC343" s="27">
        <f t="shared" si="210"/>
        <v>0</v>
      </c>
      <c r="BD343" s="27">
        <f t="shared" si="211"/>
        <v>0</v>
      </c>
      <c r="BE343" s="27">
        <f t="shared" si="212"/>
        <v>0</v>
      </c>
      <c r="BF343" s="29">
        <f t="shared" si="190"/>
        <v>0</v>
      </c>
      <c r="BH343" s="30">
        <f t="shared" si="207"/>
        <v>0</v>
      </c>
      <c r="BM343" s="2">
        <f t="shared" si="223"/>
        <v>0</v>
      </c>
      <c r="BP343" s="2">
        <f t="shared" si="224"/>
        <v>0</v>
      </c>
    </row>
    <row r="344" spans="1:68" ht="14.45" hidden="1" customHeight="1" x14ac:dyDescent="0.25">
      <c r="A344" s="33" t="s">
        <v>369</v>
      </c>
      <c r="B344" s="23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13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5"/>
      <c r="AD344" s="25">
        <f t="shared" si="218"/>
        <v>0</v>
      </c>
      <c r="AE344" s="26" t="s">
        <v>42</v>
      </c>
      <c r="AF344" s="27"/>
      <c r="AG344" s="17">
        <f t="shared" si="198"/>
        <v>0</v>
      </c>
      <c r="AH344" s="28">
        <f t="shared" si="199"/>
        <v>0</v>
      </c>
      <c r="AI344" s="17">
        <f t="shared" si="200"/>
        <v>0</v>
      </c>
      <c r="AJ344" s="28">
        <f t="shared" si="201"/>
        <v>0</v>
      </c>
      <c r="AK344" s="17">
        <f t="shared" si="209"/>
        <v>0</v>
      </c>
      <c r="AL344" s="28">
        <f t="shared" si="202"/>
        <v>0</v>
      </c>
      <c r="AM344" s="17">
        <f t="shared" si="217"/>
        <v>0</v>
      </c>
      <c r="AN344" s="28">
        <f t="shared" si="196"/>
        <v>0</v>
      </c>
      <c r="AO344" s="17">
        <f t="shared" si="219"/>
        <v>0</v>
      </c>
      <c r="AP344" s="28">
        <f t="shared" si="220"/>
        <v>0</v>
      </c>
      <c r="AQ344" s="17">
        <f t="shared" si="221"/>
        <v>0</v>
      </c>
      <c r="AR344" s="28">
        <f t="shared" si="222"/>
        <v>0</v>
      </c>
      <c r="AS344" s="17">
        <f t="shared" si="213"/>
        <v>0</v>
      </c>
      <c r="AT344" s="28">
        <f t="shared" si="214"/>
        <v>0</v>
      </c>
      <c r="AU344" s="17">
        <f t="shared" si="215"/>
        <v>0</v>
      </c>
      <c r="AV344" s="28">
        <f t="shared" si="216"/>
        <v>0</v>
      </c>
      <c r="AW344" s="17">
        <f t="shared" si="203"/>
        <v>0</v>
      </c>
      <c r="AX344" s="28">
        <f t="shared" si="204"/>
        <v>0</v>
      </c>
      <c r="AY344" s="17">
        <f t="shared" si="205"/>
        <v>0</v>
      </c>
      <c r="AZ344" s="28">
        <f t="shared" si="206"/>
        <v>0</v>
      </c>
      <c r="BA344" s="27">
        <f t="shared" si="189"/>
        <v>0</v>
      </c>
      <c r="BB344" s="27">
        <f t="shared" si="208"/>
        <v>0</v>
      </c>
      <c r="BC344" s="27">
        <f t="shared" si="210"/>
        <v>0</v>
      </c>
      <c r="BD344" s="27">
        <f t="shared" si="211"/>
        <v>0</v>
      </c>
      <c r="BE344" s="27">
        <f t="shared" si="212"/>
        <v>0</v>
      </c>
      <c r="BF344" s="29">
        <f t="shared" si="190"/>
        <v>0</v>
      </c>
      <c r="BH344" s="30">
        <f t="shared" si="207"/>
        <v>0</v>
      </c>
      <c r="BM344" s="2">
        <f t="shared" si="223"/>
        <v>0</v>
      </c>
      <c r="BP344" s="2">
        <f t="shared" si="224"/>
        <v>0</v>
      </c>
    </row>
    <row r="345" spans="1:68" ht="14.45" hidden="1" customHeight="1" x14ac:dyDescent="0.25">
      <c r="A345" s="33" t="s">
        <v>370</v>
      </c>
      <c r="B345" s="23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13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5"/>
      <c r="AD345" s="25">
        <f t="shared" si="218"/>
        <v>0</v>
      </c>
      <c r="AE345" s="26" t="s">
        <v>42</v>
      </c>
      <c r="AF345" s="27"/>
      <c r="AG345" s="17">
        <f t="shared" si="198"/>
        <v>0</v>
      </c>
      <c r="AH345" s="28">
        <f t="shared" si="199"/>
        <v>0</v>
      </c>
      <c r="AI345" s="17">
        <f t="shared" si="200"/>
        <v>0</v>
      </c>
      <c r="AJ345" s="28">
        <f t="shared" si="201"/>
        <v>0</v>
      </c>
      <c r="AK345" s="17">
        <f t="shared" si="209"/>
        <v>0</v>
      </c>
      <c r="AL345" s="28">
        <f t="shared" si="202"/>
        <v>0</v>
      </c>
      <c r="AM345" s="17">
        <f t="shared" si="217"/>
        <v>0</v>
      </c>
      <c r="AN345" s="28">
        <f t="shared" si="196"/>
        <v>0</v>
      </c>
      <c r="AO345" s="17">
        <f t="shared" si="219"/>
        <v>0</v>
      </c>
      <c r="AP345" s="28">
        <f t="shared" si="220"/>
        <v>0</v>
      </c>
      <c r="AQ345" s="17">
        <f t="shared" si="221"/>
        <v>0</v>
      </c>
      <c r="AR345" s="28">
        <f t="shared" si="222"/>
        <v>0</v>
      </c>
      <c r="AS345" s="17">
        <f t="shared" si="213"/>
        <v>0</v>
      </c>
      <c r="AT345" s="28">
        <f t="shared" si="214"/>
        <v>0</v>
      </c>
      <c r="AU345" s="17">
        <f t="shared" si="215"/>
        <v>0</v>
      </c>
      <c r="AV345" s="28">
        <f t="shared" si="216"/>
        <v>0</v>
      </c>
      <c r="AW345" s="17">
        <f t="shared" si="203"/>
        <v>0</v>
      </c>
      <c r="AX345" s="28">
        <f t="shared" si="204"/>
        <v>0</v>
      </c>
      <c r="AY345" s="17">
        <f t="shared" si="205"/>
        <v>0</v>
      </c>
      <c r="AZ345" s="28">
        <f t="shared" si="206"/>
        <v>0</v>
      </c>
      <c r="BA345" s="27">
        <f t="shared" si="189"/>
        <v>0</v>
      </c>
      <c r="BB345" s="27">
        <f t="shared" si="208"/>
        <v>0</v>
      </c>
      <c r="BC345" s="27">
        <f t="shared" si="210"/>
        <v>0</v>
      </c>
      <c r="BD345" s="27">
        <f t="shared" si="211"/>
        <v>0</v>
      </c>
      <c r="BE345" s="27">
        <f t="shared" si="212"/>
        <v>0</v>
      </c>
      <c r="BF345" s="29">
        <f t="shared" si="190"/>
        <v>0</v>
      </c>
      <c r="BH345" s="30">
        <f t="shared" si="207"/>
        <v>0</v>
      </c>
      <c r="BM345" s="2">
        <f t="shared" si="223"/>
        <v>0</v>
      </c>
      <c r="BP345" s="2">
        <f t="shared" si="224"/>
        <v>0</v>
      </c>
    </row>
    <row r="346" spans="1:68" ht="14.45" hidden="1" customHeight="1" x14ac:dyDescent="0.25">
      <c r="A346" s="33" t="s">
        <v>371</v>
      </c>
      <c r="B346" s="23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13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5"/>
      <c r="AD346" s="25">
        <f t="shared" si="218"/>
        <v>0</v>
      </c>
      <c r="AE346" s="26" t="s">
        <v>42</v>
      </c>
      <c r="AF346" s="27"/>
      <c r="AG346" s="17">
        <f t="shared" si="198"/>
        <v>0</v>
      </c>
      <c r="AH346" s="28">
        <f t="shared" si="199"/>
        <v>0</v>
      </c>
      <c r="AI346" s="17">
        <f t="shared" si="200"/>
        <v>0</v>
      </c>
      <c r="AJ346" s="28">
        <f t="shared" si="201"/>
        <v>0</v>
      </c>
      <c r="AK346" s="17">
        <f t="shared" si="209"/>
        <v>0</v>
      </c>
      <c r="AL346" s="28">
        <f t="shared" si="202"/>
        <v>0</v>
      </c>
      <c r="AM346" s="17">
        <f t="shared" si="217"/>
        <v>0</v>
      </c>
      <c r="AN346" s="28">
        <f t="shared" si="196"/>
        <v>0</v>
      </c>
      <c r="AO346" s="17">
        <f t="shared" si="219"/>
        <v>0</v>
      </c>
      <c r="AP346" s="28">
        <f t="shared" si="220"/>
        <v>0</v>
      </c>
      <c r="AQ346" s="17">
        <f t="shared" si="221"/>
        <v>0</v>
      </c>
      <c r="AR346" s="28">
        <f t="shared" si="222"/>
        <v>0</v>
      </c>
      <c r="AS346" s="17">
        <f t="shared" si="213"/>
        <v>0</v>
      </c>
      <c r="AT346" s="28">
        <f t="shared" si="214"/>
        <v>0</v>
      </c>
      <c r="AU346" s="17">
        <f t="shared" si="215"/>
        <v>0</v>
      </c>
      <c r="AV346" s="28">
        <f t="shared" si="216"/>
        <v>0</v>
      </c>
      <c r="AW346" s="17">
        <f t="shared" si="203"/>
        <v>0</v>
      </c>
      <c r="AX346" s="28">
        <f t="shared" si="204"/>
        <v>0</v>
      </c>
      <c r="AY346" s="17">
        <f t="shared" si="205"/>
        <v>0</v>
      </c>
      <c r="AZ346" s="28">
        <f t="shared" si="206"/>
        <v>0</v>
      </c>
      <c r="BA346" s="27">
        <f t="shared" si="189"/>
        <v>0</v>
      </c>
      <c r="BB346" s="27">
        <f t="shared" si="208"/>
        <v>0</v>
      </c>
      <c r="BC346" s="27">
        <f t="shared" si="210"/>
        <v>0</v>
      </c>
      <c r="BD346" s="27">
        <f t="shared" si="211"/>
        <v>0</v>
      </c>
      <c r="BE346" s="27">
        <f t="shared" si="212"/>
        <v>0</v>
      </c>
      <c r="BF346" s="29">
        <f t="shared" si="190"/>
        <v>0</v>
      </c>
      <c r="BH346" s="30">
        <f t="shared" si="207"/>
        <v>0</v>
      </c>
      <c r="BM346" s="2">
        <f t="shared" si="223"/>
        <v>0</v>
      </c>
      <c r="BP346" s="2">
        <f t="shared" si="224"/>
        <v>0</v>
      </c>
    </row>
    <row r="347" spans="1:68" x14ac:dyDescent="0.25">
      <c r="A347" s="33" t="s">
        <v>372</v>
      </c>
      <c r="B347" s="23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13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>
        <v>29</v>
      </c>
      <c r="AC347" s="25"/>
      <c r="AD347" s="39">
        <f t="shared" ref="AD347:AD348" si="225">SUM(B347:AB347)</f>
        <v>29</v>
      </c>
      <c r="AE347" s="26" t="s">
        <v>42</v>
      </c>
      <c r="AF347" s="27">
        <v>2040</v>
      </c>
      <c r="AG347" s="17">
        <f t="shared" si="198"/>
        <v>0</v>
      </c>
      <c r="AH347" s="28">
        <f t="shared" si="199"/>
        <v>0</v>
      </c>
      <c r="AI347" s="17">
        <f t="shared" si="200"/>
        <v>0</v>
      </c>
      <c r="AJ347" s="28">
        <f t="shared" si="201"/>
        <v>0</v>
      </c>
      <c r="AK347" s="17">
        <f t="shared" si="209"/>
        <v>0</v>
      </c>
      <c r="AL347" s="28">
        <f t="shared" si="202"/>
        <v>0</v>
      </c>
      <c r="AM347" s="17">
        <f t="shared" si="217"/>
        <v>29</v>
      </c>
      <c r="AN347" s="28">
        <f t="shared" si="196"/>
        <v>59160</v>
      </c>
      <c r="AO347" s="17">
        <f t="shared" si="219"/>
        <v>0</v>
      </c>
      <c r="AP347" s="28">
        <f t="shared" si="220"/>
        <v>0</v>
      </c>
      <c r="AQ347" s="17">
        <f t="shared" si="221"/>
        <v>0</v>
      </c>
      <c r="AR347" s="28">
        <f t="shared" si="222"/>
        <v>0</v>
      </c>
      <c r="AS347" s="17">
        <f t="shared" si="213"/>
        <v>0</v>
      </c>
      <c r="AT347" s="28">
        <f t="shared" si="214"/>
        <v>0</v>
      </c>
      <c r="AU347" s="17">
        <f t="shared" si="215"/>
        <v>0</v>
      </c>
      <c r="AV347" s="28">
        <f t="shared" si="216"/>
        <v>0</v>
      </c>
      <c r="AW347" s="17">
        <f t="shared" si="203"/>
        <v>0</v>
      </c>
      <c r="AX347" s="28">
        <f t="shared" si="204"/>
        <v>0</v>
      </c>
      <c r="AY347" s="17">
        <f t="shared" si="205"/>
        <v>0</v>
      </c>
      <c r="AZ347" s="28">
        <f t="shared" si="206"/>
        <v>0</v>
      </c>
      <c r="BA347" s="27">
        <f t="shared" si="189"/>
        <v>0</v>
      </c>
      <c r="BB347" s="27">
        <f t="shared" si="208"/>
        <v>59160</v>
      </c>
      <c r="BC347" s="27">
        <f t="shared" si="210"/>
        <v>0</v>
      </c>
      <c r="BD347" s="27">
        <f t="shared" si="211"/>
        <v>0</v>
      </c>
      <c r="BE347" s="27">
        <f t="shared" si="212"/>
        <v>0</v>
      </c>
      <c r="BF347" s="29">
        <f t="shared" si="190"/>
        <v>59160</v>
      </c>
      <c r="BH347" s="30">
        <f t="shared" si="207"/>
        <v>29</v>
      </c>
      <c r="BM347" s="2">
        <f t="shared" si="223"/>
        <v>0</v>
      </c>
      <c r="BP347" s="2">
        <f t="shared" si="224"/>
        <v>0</v>
      </c>
    </row>
    <row r="348" spans="1:68" x14ac:dyDescent="0.25">
      <c r="A348" s="33" t="s">
        <v>373</v>
      </c>
      <c r="B348" s="23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13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>
        <v>7</v>
      </c>
      <c r="AC348" s="25"/>
      <c r="AD348" s="39">
        <f t="shared" si="225"/>
        <v>7</v>
      </c>
      <c r="AE348" s="26" t="s">
        <v>42</v>
      </c>
      <c r="AF348" s="27">
        <v>2040</v>
      </c>
      <c r="AG348" s="17">
        <f t="shared" si="198"/>
        <v>0</v>
      </c>
      <c r="AH348" s="28">
        <f t="shared" si="199"/>
        <v>0</v>
      </c>
      <c r="AI348" s="17">
        <f t="shared" si="200"/>
        <v>0</v>
      </c>
      <c r="AJ348" s="28">
        <f t="shared" si="201"/>
        <v>0</v>
      </c>
      <c r="AK348" s="17">
        <f t="shared" si="209"/>
        <v>0</v>
      </c>
      <c r="AL348" s="28">
        <f t="shared" si="202"/>
        <v>0</v>
      </c>
      <c r="AM348" s="17">
        <f t="shared" si="217"/>
        <v>7</v>
      </c>
      <c r="AN348" s="28">
        <f t="shared" si="196"/>
        <v>14280</v>
      </c>
      <c r="AO348" s="17">
        <f t="shared" si="219"/>
        <v>0</v>
      </c>
      <c r="AP348" s="28">
        <f t="shared" si="220"/>
        <v>0</v>
      </c>
      <c r="AQ348" s="17">
        <f t="shared" si="221"/>
        <v>0</v>
      </c>
      <c r="AR348" s="28">
        <f t="shared" si="222"/>
        <v>0</v>
      </c>
      <c r="AS348" s="17">
        <f t="shared" si="213"/>
        <v>0</v>
      </c>
      <c r="AT348" s="28">
        <f t="shared" si="214"/>
        <v>0</v>
      </c>
      <c r="AU348" s="17">
        <f t="shared" si="215"/>
        <v>0</v>
      </c>
      <c r="AV348" s="28">
        <f t="shared" si="216"/>
        <v>0</v>
      </c>
      <c r="AW348" s="17">
        <f t="shared" si="203"/>
        <v>0</v>
      </c>
      <c r="AX348" s="28">
        <f t="shared" si="204"/>
        <v>0</v>
      </c>
      <c r="AY348" s="17">
        <f t="shared" si="205"/>
        <v>0</v>
      </c>
      <c r="AZ348" s="28">
        <f t="shared" si="206"/>
        <v>0</v>
      </c>
      <c r="BA348" s="27">
        <f t="shared" si="189"/>
        <v>0</v>
      </c>
      <c r="BB348" s="27">
        <f t="shared" si="208"/>
        <v>14280</v>
      </c>
      <c r="BC348" s="27">
        <f t="shared" si="210"/>
        <v>0</v>
      </c>
      <c r="BD348" s="27">
        <f t="shared" si="211"/>
        <v>0</v>
      </c>
      <c r="BE348" s="27">
        <f t="shared" si="212"/>
        <v>0</v>
      </c>
      <c r="BF348" s="29">
        <f t="shared" si="190"/>
        <v>14280</v>
      </c>
      <c r="BH348" s="30">
        <f t="shared" si="207"/>
        <v>7</v>
      </c>
      <c r="BM348" s="2">
        <f t="shared" si="223"/>
        <v>0</v>
      </c>
      <c r="BP348" s="2">
        <f t="shared" si="224"/>
        <v>0</v>
      </c>
    </row>
    <row r="349" spans="1:68" x14ac:dyDescent="0.25">
      <c r="A349" s="33" t="s">
        <v>374</v>
      </c>
      <c r="B349" s="23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13">
        <v>93</v>
      </c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5"/>
      <c r="AD349" s="25">
        <f t="shared" si="218"/>
        <v>93</v>
      </c>
      <c r="AE349" s="26" t="s">
        <v>42</v>
      </c>
      <c r="AF349" s="27">
        <v>3000</v>
      </c>
      <c r="AG349" s="17">
        <f t="shared" si="198"/>
        <v>0</v>
      </c>
      <c r="AH349" s="28">
        <f t="shared" si="199"/>
        <v>0</v>
      </c>
      <c r="AI349" s="17">
        <f t="shared" si="200"/>
        <v>0</v>
      </c>
      <c r="AJ349" s="28">
        <f t="shared" si="201"/>
        <v>0</v>
      </c>
      <c r="AK349" s="17">
        <f t="shared" si="209"/>
        <v>93</v>
      </c>
      <c r="AL349" s="28">
        <f t="shared" si="202"/>
        <v>279000</v>
      </c>
      <c r="AM349" s="17">
        <f t="shared" si="217"/>
        <v>0</v>
      </c>
      <c r="AN349" s="28">
        <f t="shared" si="196"/>
        <v>0</v>
      </c>
      <c r="AO349" s="17">
        <f t="shared" si="219"/>
        <v>0</v>
      </c>
      <c r="AP349" s="28">
        <f t="shared" si="220"/>
        <v>0</v>
      </c>
      <c r="AQ349" s="17">
        <f t="shared" si="221"/>
        <v>0</v>
      </c>
      <c r="AR349" s="28">
        <f t="shared" si="222"/>
        <v>0</v>
      </c>
      <c r="AS349" s="17">
        <f t="shared" si="213"/>
        <v>0</v>
      </c>
      <c r="AT349" s="28">
        <f t="shared" si="214"/>
        <v>0</v>
      </c>
      <c r="AU349" s="17">
        <f t="shared" si="215"/>
        <v>0</v>
      </c>
      <c r="AV349" s="28">
        <f t="shared" si="216"/>
        <v>0</v>
      </c>
      <c r="AW349" s="17">
        <f t="shared" si="203"/>
        <v>0</v>
      </c>
      <c r="AX349" s="28">
        <f t="shared" si="204"/>
        <v>0</v>
      </c>
      <c r="AY349" s="17">
        <f t="shared" si="205"/>
        <v>0</v>
      </c>
      <c r="AZ349" s="28">
        <f t="shared" si="206"/>
        <v>0</v>
      </c>
      <c r="BA349" s="27">
        <f t="shared" si="189"/>
        <v>0</v>
      </c>
      <c r="BB349" s="27">
        <f t="shared" si="208"/>
        <v>279000</v>
      </c>
      <c r="BC349" s="27">
        <f t="shared" si="210"/>
        <v>0</v>
      </c>
      <c r="BD349" s="27">
        <f t="shared" si="211"/>
        <v>0</v>
      </c>
      <c r="BE349" s="27">
        <f t="shared" si="212"/>
        <v>0</v>
      </c>
      <c r="BF349" s="29">
        <f t="shared" si="190"/>
        <v>279000</v>
      </c>
      <c r="BH349" s="30">
        <f t="shared" si="207"/>
        <v>93</v>
      </c>
      <c r="BM349" s="2">
        <f t="shared" si="223"/>
        <v>93</v>
      </c>
      <c r="BP349" s="2">
        <f t="shared" si="224"/>
        <v>93</v>
      </c>
    </row>
    <row r="350" spans="1:68" ht="14.45" hidden="1" customHeight="1" x14ac:dyDescent="0.25">
      <c r="A350" s="33" t="s">
        <v>375</v>
      </c>
      <c r="B350" s="23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13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5"/>
      <c r="AD350" s="25">
        <f t="shared" si="218"/>
        <v>0</v>
      </c>
      <c r="AE350" s="26" t="s">
        <v>42</v>
      </c>
      <c r="AF350" s="27"/>
      <c r="AG350" s="17">
        <f t="shared" si="198"/>
        <v>0</v>
      </c>
      <c r="AH350" s="28">
        <f t="shared" si="199"/>
        <v>0</v>
      </c>
      <c r="AI350" s="17">
        <f t="shared" si="200"/>
        <v>0</v>
      </c>
      <c r="AJ350" s="28">
        <f t="shared" si="201"/>
        <v>0</v>
      </c>
      <c r="AK350" s="17">
        <f t="shared" si="209"/>
        <v>0</v>
      </c>
      <c r="AL350" s="28">
        <f t="shared" si="202"/>
        <v>0</v>
      </c>
      <c r="AM350" s="17">
        <f t="shared" si="217"/>
        <v>0</v>
      </c>
      <c r="AN350" s="28">
        <f t="shared" si="196"/>
        <v>0</v>
      </c>
      <c r="AO350" s="17">
        <f t="shared" si="219"/>
        <v>0</v>
      </c>
      <c r="AP350" s="28">
        <f t="shared" si="220"/>
        <v>0</v>
      </c>
      <c r="AQ350" s="17">
        <f t="shared" si="221"/>
        <v>0</v>
      </c>
      <c r="AR350" s="28">
        <f t="shared" si="222"/>
        <v>0</v>
      </c>
      <c r="AS350" s="17">
        <f t="shared" si="213"/>
        <v>0</v>
      </c>
      <c r="AT350" s="28">
        <f t="shared" si="214"/>
        <v>0</v>
      </c>
      <c r="AU350" s="17">
        <f t="shared" si="215"/>
        <v>0</v>
      </c>
      <c r="AV350" s="28">
        <f t="shared" si="216"/>
        <v>0</v>
      </c>
      <c r="AW350" s="17">
        <f t="shared" si="203"/>
        <v>0</v>
      </c>
      <c r="AX350" s="28">
        <f t="shared" si="204"/>
        <v>0</v>
      </c>
      <c r="AY350" s="17">
        <f t="shared" si="205"/>
        <v>0</v>
      </c>
      <c r="AZ350" s="28">
        <f t="shared" si="206"/>
        <v>0</v>
      </c>
      <c r="BA350" s="27">
        <f t="shared" si="189"/>
        <v>0</v>
      </c>
      <c r="BB350" s="27">
        <f t="shared" si="208"/>
        <v>0</v>
      </c>
      <c r="BC350" s="27">
        <f t="shared" si="210"/>
        <v>0</v>
      </c>
      <c r="BD350" s="27">
        <f t="shared" si="211"/>
        <v>0</v>
      </c>
      <c r="BE350" s="27">
        <f t="shared" si="212"/>
        <v>0</v>
      </c>
      <c r="BF350" s="29">
        <f t="shared" si="190"/>
        <v>0</v>
      </c>
      <c r="BH350" s="30">
        <f t="shared" si="207"/>
        <v>0</v>
      </c>
      <c r="BM350" s="2">
        <f t="shared" si="223"/>
        <v>0</v>
      </c>
      <c r="BP350" s="2">
        <f t="shared" si="224"/>
        <v>0</v>
      </c>
    </row>
    <row r="351" spans="1:68" ht="14.45" hidden="1" customHeight="1" x14ac:dyDescent="0.25">
      <c r="A351" s="33" t="s">
        <v>376</v>
      </c>
      <c r="B351" s="23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13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5"/>
      <c r="AD351" s="25">
        <f t="shared" si="218"/>
        <v>0</v>
      </c>
      <c r="AE351" s="26" t="s">
        <v>42</v>
      </c>
      <c r="AF351" s="27"/>
      <c r="AG351" s="17">
        <f t="shared" si="198"/>
        <v>0</v>
      </c>
      <c r="AH351" s="28">
        <f t="shared" si="199"/>
        <v>0</v>
      </c>
      <c r="AI351" s="17">
        <f t="shared" si="200"/>
        <v>0</v>
      </c>
      <c r="AJ351" s="28">
        <f t="shared" si="201"/>
        <v>0</v>
      </c>
      <c r="AK351" s="17">
        <f t="shared" si="209"/>
        <v>0</v>
      </c>
      <c r="AL351" s="28">
        <f t="shared" si="202"/>
        <v>0</v>
      </c>
      <c r="AM351" s="17">
        <f t="shared" si="217"/>
        <v>0</v>
      </c>
      <c r="AN351" s="28">
        <f t="shared" si="196"/>
        <v>0</v>
      </c>
      <c r="AO351" s="17">
        <f t="shared" si="219"/>
        <v>0</v>
      </c>
      <c r="AP351" s="28">
        <f t="shared" si="220"/>
        <v>0</v>
      </c>
      <c r="AQ351" s="17">
        <f t="shared" si="221"/>
        <v>0</v>
      </c>
      <c r="AR351" s="28">
        <f t="shared" si="222"/>
        <v>0</v>
      </c>
      <c r="AS351" s="17">
        <f t="shared" si="213"/>
        <v>0</v>
      </c>
      <c r="AT351" s="28">
        <f t="shared" si="214"/>
        <v>0</v>
      </c>
      <c r="AU351" s="17">
        <f t="shared" si="215"/>
        <v>0</v>
      </c>
      <c r="AV351" s="28">
        <f t="shared" si="216"/>
        <v>0</v>
      </c>
      <c r="AW351" s="17">
        <f t="shared" si="203"/>
        <v>0</v>
      </c>
      <c r="AX351" s="28">
        <f t="shared" si="204"/>
        <v>0</v>
      </c>
      <c r="AY351" s="17">
        <f t="shared" si="205"/>
        <v>0</v>
      </c>
      <c r="AZ351" s="28">
        <f t="shared" si="206"/>
        <v>0</v>
      </c>
      <c r="BA351" s="27">
        <f t="shared" si="189"/>
        <v>0</v>
      </c>
      <c r="BB351" s="27">
        <f t="shared" si="208"/>
        <v>0</v>
      </c>
      <c r="BC351" s="27">
        <f t="shared" si="210"/>
        <v>0</v>
      </c>
      <c r="BD351" s="27">
        <f t="shared" si="211"/>
        <v>0</v>
      </c>
      <c r="BE351" s="27">
        <f t="shared" si="212"/>
        <v>0</v>
      </c>
      <c r="BF351" s="29">
        <f t="shared" si="190"/>
        <v>0</v>
      </c>
      <c r="BH351" s="30">
        <f t="shared" si="207"/>
        <v>0</v>
      </c>
      <c r="BM351" s="2">
        <f t="shared" si="223"/>
        <v>0</v>
      </c>
      <c r="BP351" s="2">
        <f t="shared" si="224"/>
        <v>0</v>
      </c>
    </row>
    <row r="352" spans="1:68" ht="14.45" hidden="1" customHeight="1" x14ac:dyDescent="0.25">
      <c r="A352" s="33" t="s">
        <v>307</v>
      </c>
      <c r="B352" s="23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13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5"/>
      <c r="AD352" s="25">
        <f t="shared" si="218"/>
        <v>0</v>
      </c>
      <c r="AE352" s="26" t="s">
        <v>42</v>
      </c>
      <c r="AF352" s="27"/>
      <c r="AG352" s="17">
        <f t="shared" si="198"/>
        <v>0</v>
      </c>
      <c r="AH352" s="28">
        <f t="shared" si="199"/>
        <v>0</v>
      </c>
      <c r="AI352" s="17">
        <f t="shared" si="200"/>
        <v>0</v>
      </c>
      <c r="AJ352" s="28">
        <f t="shared" si="201"/>
        <v>0</v>
      </c>
      <c r="AK352" s="17">
        <f t="shared" si="209"/>
        <v>0</v>
      </c>
      <c r="AL352" s="28">
        <f t="shared" si="202"/>
        <v>0</v>
      </c>
      <c r="AM352" s="17">
        <f t="shared" si="217"/>
        <v>0</v>
      </c>
      <c r="AN352" s="28">
        <f t="shared" si="196"/>
        <v>0</v>
      </c>
      <c r="AO352" s="17">
        <f t="shared" si="219"/>
        <v>0</v>
      </c>
      <c r="AP352" s="28">
        <f t="shared" si="220"/>
        <v>0</v>
      </c>
      <c r="AQ352" s="17">
        <f t="shared" si="221"/>
        <v>0</v>
      </c>
      <c r="AR352" s="28">
        <f t="shared" si="222"/>
        <v>0</v>
      </c>
      <c r="AS352" s="17">
        <f t="shared" si="213"/>
        <v>0</v>
      </c>
      <c r="AT352" s="28">
        <f t="shared" si="214"/>
        <v>0</v>
      </c>
      <c r="AU352" s="17">
        <f t="shared" si="215"/>
        <v>0</v>
      </c>
      <c r="AV352" s="28">
        <f t="shared" si="216"/>
        <v>0</v>
      </c>
      <c r="AW352" s="17">
        <f t="shared" si="203"/>
        <v>0</v>
      </c>
      <c r="AX352" s="28">
        <f t="shared" si="204"/>
        <v>0</v>
      </c>
      <c r="AY352" s="17">
        <f t="shared" si="205"/>
        <v>0</v>
      </c>
      <c r="AZ352" s="28">
        <f t="shared" si="206"/>
        <v>0</v>
      </c>
      <c r="BA352" s="27">
        <f t="shared" si="189"/>
        <v>0</v>
      </c>
      <c r="BB352" s="27">
        <f t="shared" si="208"/>
        <v>0</v>
      </c>
      <c r="BC352" s="27">
        <f t="shared" si="210"/>
        <v>0</v>
      </c>
      <c r="BD352" s="27">
        <f t="shared" si="211"/>
        <v>0</v>
      </c>
      <c r="BE352" s="27">
        <f t="shared" si="212"/>
        <v>0</v>
      </c>
      <c r="BF352" s="29">
        <f t="shared" si="190"/>
        <v>0</v>
      </c>
      <c r="BH352" s="30">
        <f t="shared" si="207"/>
        <v>0</v>
      </c>
      <c r="BM352" s="2">
        <f t="shared" si="223"/>
        <v>0</v>
      </c>
      <c r="BP352" s="2">
        <f t="shared" si="224"/>
        <v>0</v>
      </c>
    </row>
    <row r="353" spans="1:68" ht="14.45" hidden="1" customHeight="1" x14ac:dyDescent="0.25">
      <c r="A353" s="33" t="s">
        <v>377</v>
      </c>
      <c r="B353" s="23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13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5"/>
      <c r="AD353" s="25">
        <f t="shared" si="218"/>
        <v>0</v>
      </c>
      <c r="AE353" s="26" t="s">
        <v>42</v>
      </c>
      <c r="AF353" s="27"/>
      <c r="AG353" s="17">
        <f t="shared" si="198"/>
        <v>0</v>
      </c>
      <c r="AH353" s="28">
        <f t="shared" si="199"/>
        <v>0</v>
      </c>
      <c r="AI353" s="17">
        <f t="shared" si="200"/>
        <v>0</v>
      </c>
      <c r="AJ353" s="28">
        <f t="shared" si="201"/>
        <v>0</v>
      </c>
      <c r="AK353" s="17">
        <f t="shared" si="209"/>
        <v>0</v>
      </c>
      <c r="AL353" s="28">
        <f t="shared" si="202"/>
        <v>0</v>
      </c>
      <c r="AM353" s="17">
        <f t="shared" si="217"/>
        <v>0</v>
      </c>
      <c r="AN353" s="28">
        <f t="shared" si="196"/>
        <v>0</v>
      </c>
      <c r="AO353" s="17">
        <f t="shared" si="219"/>
        <v>0</v>
      </c>
      <c r="AP353" s="28">
        <f t="shared" si="220"/>
        <v>0</v>
      </c>
      <c r="AQ353" s="17">
        <f t="shared" si="221"/>
        <v>0</v>
      </c>
      <c r="AR353" s="28">
        <f t="shared" si="222"/>
        <v>0</v>
      </c>
      <c r="AS353" s="17">
        <f t="shared" si="213"/>
        <v>0</v>
      </c>
      <c r="AT353" s="28">
        <f t="shared" si="214"/>
        <v>0</v>
      </c>
      <c r="AU353" s="17">
        <f t="shared" si="215"/>
        <v>0</v>
      </c>
      <c r="AV353" s="28">
        <f t="shared" si="216"/>
        <v>0</v>
      </c>
      <c r="AW353" s="17">
        <f t="shared" si="203"/>
        <v>0</v>
      </c>
      <c r="AX353" s="28">
        <f t="shared" si="204"/>
        <v>0</v>
      </c>
      <c r="AY353" s="17">
        <f t="shared" si="205"/>
        <v>0</v>
      </c>
      <c r="AZ353" s="28">
        <f t="shared" si="206"/>
        <v>0</v>
      </c>
      <c r="BA353" s="27">
        <f t="shared" si="189"/>
        <v>0</v>
      </c>
      <c r="BB353" s="27">
        <f t="shared" si="208"/>
        <v>0</v>
      </c>
      <c r="BC353" s="27">
        <f t="shared" si="210"/>
        <v>0</v>
      </c>
      <c r="BD353" s="27">
        <f t="shared" si="211"/>
        <v>0</v>
      </c>
      <c r="BE353" s="27">
        <f t="shared" si="212"/>
        <v>0</v>
      </c>
      <c r="BF353" s="29">
        <f t="shared" si="190"/>
        <v>0</v>
      </c>
      <c r="BH353" s="30">
        <f t="shared" si="207"/>
        <v>0</v>
      </c>
      <c r="BM353" s="2">
        <f t="shared" si="223"/>
        <v>0</v>
      </c>
      <c r="BP353" s="2">
        <f t="shared" si="224"/>
        <v>0</v>
      </c>
    </row>
    <row r="354" spans="1:68" ht="14.45" hidden="1" customHeight="1" x14ac:dyDescent="0.25">
      <c r="A354" s="33" t="s">
        <v>378</v>
      </c>
      <c r="B354" s="23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13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5"/>
      <c r="AD354" s="25">
        <f t="shared" si="218"/>
        <v>0</v>
      </c>
      <c r="AE354" s="26" t="s">
        <v>42</v>
      </c>
      <c r="AF354" s="27"/>
      <c r="AG354" s="17">
        <f t="shared" si="198"/>
        <v>0</v>
      </c>
      <c r="AH354" s="28">
        <f t="shared" si="199"/>
        <v>0</v>
      </c>
      <c r="AI354" s="17">
        <f t="shared" si="200"/>
        <v>0</v>
      </c>
      <c r="AJ354" s="28">
        <f t="shared" si="201"/>
        <v>0</v>
      </c>
      <c r="AK354" s="17">
        <f t="shared" si="209"/>
        <v>0</v>
      </c>
      <c r="AL354" s="28">
        <f t="shared" si="202"/>
        <v>0</v>
      </c>
      <c r="AM354" s="17">
        <f t="shared" si="217"/>
        <v>0</v>
      </c>
      <c r="AN354" s="28">
        <f t="shared" si="196"/>
        <v>0</v>
      </c>
      <c r="AO354" s="17">
        <f t="shared" si="219"/>
        <v>0</v>
      </c>
      <c r="AP354" s="28">
        <f t="shared" si="220"/>
        <v>0</v>
      </c>
      <c r="AQ354" s="17">
        <f t="shared" si="221"/>
        <v>0</v>
      </c>
      <c r="AR354" s="28">
        <f t="shared" si="222"/>
        <v>0</v>
      </c>
      <c r="AS354" s="17">
        <f t="shared" si="213"/>
        <v>0</v>
      </c>
      <c r="AT354" s="28">
        <f t="shared" si="214"/>
        <v>0</v>
      </c>
      <c r="AU354" s="17">
        <f t="shared" si="215"/>
        <v>0</v>
      </c>
      <c r="AV354" s="28">
        <f t="shared" si="216"/>
        <v>0</v>
      </c>
      <c r="AW354" s="17">
        <f t="shared" si="203"/>
        <v>0</v>
      </c>
      <c r="AX354" s="28">
        <f t="shared" si="204"/>
        <v>0</v>
      </c>
      <c r="AY354" s="17">
        <f t="shared" si="205"/>
        <v>0</v>
      </c>
      <c r="AZ354" s="28">
        <f t="shared" si="206"/>
        <v>0</v>
      </c>
      <c r="BA354" s="27">
        <f t="shared" si="189"/>
        <v>0</v>
      </c>
      <c r="BB354" s="27">
        <f t="shared" si="208"/>
        <v>0</v>
      </c>
      <c r="BC354" s="27">
        <f t="shared" si="210"/>
        <v>0</v>
      </c>
      <c r="BD354" s="27">
        <f t="shared" si="211"/>
        <v>0</v>
      </c>
      <c r="BE354" s="27">
        <f t="shared" si="212"/>
        <v>0</v>
      </c>
      <c r="BF354" s="29">
        <f t="shared" si="190"/>
        <v>0</v>
      </c>
      <c r="BH354" s="30">
        <f t="shared" si="207"/>
        <v>0</v>
      </c>
      <c r="BM354" s="2">
        <f t="shared" si="223"/>
        <v>0</v>
      </c>
      <c r="BP354" s="2">
        <f t="shared" si="224"/>
        <v>0</v>
      </c>
    </row>
    <row r="355" spans="1:68" ht="14.45" hidden="1" customHeight="1" x14ac:dyDescent="0.25">
      <c r="A355" s="33" t="s">
        <v>379</v>
      </c>
      <c r="B355" s="23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13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5"/>
      <c r="AD355" s="25">
        <f t="shared" si="218"/>
        <v>0</v>
      </c>
      <c r="AE355" s="26" t="s">
        <v>42</v>
      </c>
      <c r="AF355" s="27"/>
      <c r="AG355" s="17">
        <f t="shared" si="198"/>
        <v>0</v>
      </c>
      <c r="AH355" s="28">
        <f t="shared" si="199"/>
        <v>0</v>
      </c>
      <c r="AI355" s="17">
        <f t="shared" si="200"/>
        <v>0</v>
      </c>
      <c r="AJ355" s="28">
        <f t="shared" si="201"/>
        <v>0</v>
      </c>
      <c r="AK355" s="17">
        <f t="shared" si="209"/>
        <v>0</v>
      </c>
      <c r="AL355" s="28">
        <f t="shared" si="202"/>
        <v>0</v>
      </c>
      <c r="AM355" s="17">
        <f t="shared" si="217"/>
        <v>0</v>
      </c>
      <c r="AN355" s="28">
        <f t="shared" si="196"/>
        <v>0</v>
      </c>
      <c r="AO355" s="17">
        <f t="shared" si="219"/>
        <v>0</v>
      </c>
      <c r="AP355" s="28">
        <f t="shared" si="220"/>
        <v>0</v>
      </c>
      <c r="AQ355" s="17">
        <f t="shared" si="221"/>
        <v>0</v>
      </c>
      <c r="AR355" s="28">
        <f t="shared" si="222"/>
        <v>0</v>
      </c>
      <c r="AS355" s="17">
        <f t="shared" si="213"/>
        <v>0</v>
      </c>
      <c r="AT355" s="28">
        <f t="shared" si="214"/>
        <v>0</v>
      </c>
      <c r="AU355" s="17">
        <f t="shared" si="215"/>
        <v>0</v>
      </c>
      <c r="AV355" s="28">
        <f t="shared" si="216"/>
        <v>0</v>
      </c>
      <c r="AW355" s="17">
        <f t="shared" si="203"/>
        <v>0</v>
      </c>
      <c r="AX355" s="28">
        <f t="shared" si="204"/>
        <v>0</v>
      </c>
      <c r="AY355" s="17">
        <f t="shared" si="205"/>
        <v>0</v>
      </c>
      <c r="AZ355" s="28">
        <f t="shared" si="206"/>
        <v>0</v>
      </c>
      <c r="BA355" s="27">
        <f t="shared" si="189"/>
        <v>0</v>
      </c>
      <c r="BB355" s="27">
        <f t="shared" si="208"/>
        <v>0</v>
      </c>
      <c r="BC355" s="27">
        <f t="shared" si="210"/>
        <v>0</v>
      </c>
      <c r="BD355" s="27">
        <f t="shared" si="211"/>
        <v>0</v>
      </c>
      <c r="BE355" s="27">
        <f t="shared" si="212"/>
        <v>0</v>
      </c>
      <c r="BF355" s="29">
        <f t="shared" si="190"/>
        <v>0</v>
      </c>
      <c r="BH355" s="30">
        <f t="shared" si="207"/>
        <v>0</v>
      </c>
      <c r="BM355" s="2">
        <f t="shared" si="223"/>
        <v>0</v>
      </c>
      <c r="BP355" s="2">
        <f t="shared" si="224"/>
        <v>0</v>
      </c>
    </row>
    <row r="356" spans="1:68" ht="14.45" customHeight="1" x14ac:dyDescent="0.25">
      <c r="A356" s="33" t="s">
        <v>380</v>
      </c>
      <c r="B356" s="23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13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5"/>
      <c r="AD356" s="25"/>
      <c r="AE356" s="26" t="s">
        <v>42</v>
      </c>
      <c r="AF356" s="34">
        <v>55000</v>
      </c>
      <c r="AG356" s="17">
        <f t="shared" si="198"/>
        <v>0</v>
      </c>
      <c r="AH356" s="28">
        <f t="shared" si="199"/>
        <v>0</v>
      </c>
      <c r="AI356" s="17">
        <f t="shared" si="200"/>
        <v>0</v>
      </c>
      <c r="AJ356" s="28">
        <f t="shared" si="201"/>
        <v>0</v>
      </c>
      <c r="AK356" s="17">
        <f t="shared" si="209"/>
        <v>0</v>
      </c>
      <c r="AL356" s="28">
        <f t="shared" si="202"/>
        <v>0</v>
      </c>
      <c r="AM356" s="17">
        <f t="shared" si="217"/>
        <v>0</v>
      </c>
      <c r="AN356" s="28">
        <f t="shared" si="196"/>
        <v>0</v>
      </c>
      <c r="AO356" s="17">
        <f t="shared" si="219"/>
        <v>0</v>
      </c>
      <c r="AP356" s="28"/>
      <c r="AQ356" s="17">
        <f t="shared" si="221"/>
        <v>0</v>
      </c>
      <c r="AR356" s="28"/>
      <c r="AS356" s="17">
        <f t="shared" si="213"/>
        <v>0</v>
      </c>
      <c r="AT356" s="28">
        <f t="shared" si="214"/>
        <v>0</v>
      </c>
      <c r="AU356" s="17">
        <f t="shared" si="215"/>
        <v>0</v>
      </c>
      <c r="AV356" s="28">
        <f t="shared" si="216"/>
        <v>0</v>
      </c>
      <c r="AW356" s="17">
        <f t="shared" si="203"/>
        <v>0</v>
      </c>
      <c r="AX356" s="28">
        <f t="shared" si="204"/>
        <v>0</v>
      </c>
      <c r="AY356" s="17">
        <f t="shared" si="205"/>
        <v>0</v>
      </c>
      <c r="AZ356" s="28">
        <f t="shared" si="206"/>
        <v>0</v>
      </c>
      <c r="BA356" s="27">
        <f t="shared" ref="BA356:BA428" si="226">+AH356+AJ356</f>
        <v>0</v>
      </c>
      <c r="BB356" s="27">
        <f t="shared" si="208"/>
        <v>0</v>
      </c>
      <c r="BC356" s="27">
        <f t="shared" si="210"/>
        <v>0</v>
      </c>
      <c r="BD356" s="27">
        <f t="shared" si="211"/>
        <v>0</v>
      </c>
      <c r="BE356" s="27">
        <f t="shared" si="212"/>
        <v>0</v>
      </c>
      <c r="BF356" s="29">
        <f t="shared" si="190"/>
        <v>0</v>
      </c>
      <c r="BH356" s="30">
        <f t="shared" si="207"/>
        <v>0</v>
      </c>
    </row>
    <row r="357" spans="1:68" x14ac:dyDescent="0.25">
      <c r="A357" s="33" t="s">
        <v>381</v>
      </c>
      <c r="B357" s="23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13">
        <v>240</v>
      </c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5"/>
      <c r="AD357" s="25">
        <f t="shared" ref="AD357:AD396" si="227">SUM(B357:S357)</f>
        <v>240</v>
      </c>
      <c r="AE357" s="26" t="s">
        <v>42</v>
      </c>
      <c r="AF357" s="27">
        <f>2600*1.3</f>
        <v>3380</v>
      </c>
      <c r="AG357" s="17">
        <f t="shared" si="198"/>
        <v>0</v>
      </c>
      <c r="AH357" s="28">
        <f t="shared" si="199"/>
        <v>0</v>
      </c>
      <c r="AI357" s="17">
        <f t="shared" si="200"/>
        <v>0</v>
      </c>
      <c r="AJ357" s="28">
        <f t="shared" si="201"/>
        <v>0</v>
      </c>
      <c r="AK357" s="17">
        <f t="shared" si="209"/>
        <v>240</v>
      </c>
      <c r="AL357" s="28">
        <f t="shared" si="202"/>
        <v>811200</v>
      </c>
      <c r="AM357" s="17">
        <f t="shared" si="217"/>
        <v>0</v>
      </c>
      <c r="AN357" s="28">
        <f t="shared" si="196"/>
        <v>0</v>
      </c>
      <c r="AO357" s="17">
        <f t="shared" si="219"/>
        <v>0</v>
      </c>
      <c r="AP357" s="28">
        <f>+AO357*AF357</f>
        <v>0</v>
      </c>
      <c r="AQ357" s="17">
        <f t="shared" si="221"/>
        <v>0</v>
      </c>
      <c r="AR357" s="28">
        <f>+AQ357*AF357</f>
        <v>0</v>
      </c>
      <c r="AS357" s="17">
        <f t="shared" si="213"/>
        <v>0</v>
      </c>
      <c r="AT357" s="28">
        <f t="shared" si="214"/>
        <v>0</v>
      </c>
      <c r="AU357" s="17">
        <f t="shared" si="215"/>
        <v>0</v>
      </c>
      <c r="AV357" s="28">
        <f t="shared" si="216"/>
        <v>0</v>
      </c>
      <c r="AW357" s="17">
        <f t="shared" si="203"/>
        <v>0</v>
      </c>
      <c r="AX357" s="28">
        <f t="shared" si="204"/>
        <v>0</v>
      </c>
      <c r="AY357" s="17">
        <f t="shared" si="205"/>
        <v>0</v>
      </c>
      <c r="AZ357" s="28">
        <f t="shared" si="206"/>
        <v>0</v>
      </c>
      <c r="BA357" s="27">
        <f t="shared" si="226"/>
        <v>0</v>
      </c>
      <c r="BB357" s="27">
        <f t="shared" si="208"/>
        <v>811200</v>
      </c>
      <c r="BC357" s="27">
        <f t="shared" si="210"/>
        <v>0</v>
      </c>
      <c r="BD357" s="27">
        <f t="shared" si="211"/>
        <v>0</v>
      </c>
      <c r="BE357" s="27">
        <f t="shared" si="212"/>
        <v>0</v>
      </c>
      <c r="BF357" s="29">
        <f t="shared" ref="BF357:BF429" si="228">+BB357+BA357*5%+BD357*30%</f>
        <v>811200</v>
      </c>
      <c r="BH357" s="30">
        <f t="shared" si="207"/>
        <v>240</v>
      </c>
      <c r="BM357" s="2">
        <f>SUM(B357:S357)</f>
        <v>240</v>
      </c>
      <c r="BP357" s="2">
        <f>SUM(B357:S357)</f>
        <v>240</v>
      </c>
    </row>
    <row r="358" spans="1:68" ht="14.45" hidden="1" customHeight="1" x14ac:dyDescent="0.25">
      <c r="A358" s="33" t="s">
        <v>382</v>
      </c>
      <c r="B358" s="23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13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5"/>
      <c r="AD358" s="25">
        <f t="shared" si="227"/>
        <v>0</v>
      </c>
      <c r="AE358" s="26" t="s">
        <v>42</v>
      </c>
      <c r="AF358" s="27"/>
      <c r="AG358" s="17">
        <f t="shared" si="198"/>
        <v>0</v>
      </c>
      <c r="AH358" s="28">
        <f t="shared" si="199"/>
        <v>0</v>
      </c>
      <c r="AI358" s="17">
        <f t="shared" si="200"/>
        <v>0</v>
      </c>
      <c r="AJ358" s="28">
        <f t="shared" si="201"/>
        <v>0</v>
      </c>
      <c r="AK358" s="17">
        <f t="shared" si="209"/>
        <v>0</v>
      </c>
      <c r="AL358" s="28">
        <f t="shared" si="202"/>
        <v>0</v>
      </c>
      <c r="AM358" s="17">
        <f t="shared" si="217"/>
        <v>0</v>
      </c>
      <c r="AN358" s="28">
        <f t="shared" si="196"/>
        <v>0</v>
      </c>
      <c r="AO358" s="17">
        <f t="shared" si="219"/>
        <v>0</v>
      </c>
      <c r="AP358" s="28">
        <f>+AO358*AF358</f>
        <v>0</v>
      </c>
      <c r="AQ358" s="17">
        <f t="shared" si="221"/>
        <v>0</v>
      </c>
      <c r="AR358" s="28">
        <f>+AQ358*AF358</f>
        <v>0</v>
      </c>
      <c r="AS358" s="17">
        <f t="shared" si="213"/>
        <v>0</v>
      </c>
      <c r="AT358" s="28">
        <f t="shared" si="214"/>
        <v>0</v>
      </c>
      <c r="AU358" s="17">
        <f t="shared" si="215"/>
        <v>0</v>
      </c>
      <c r="AV358" s="28">
        <f t="shared" si="216"/>
        <v>0</v>
      </c>
      <c r="AW358" s="17">
        <f t="shared" si="203"/>
        <v>0</v>
      </c>
      <c r="AX358" s="28">
        <f t="shared" si="204"/>
        <v>0</v>
      </c>
      <c r="AY358" s="17">
        <f t="shared" si="205"/>
        <v>0</v>
      </c>
      <c r="AZ358" s="28">
        <f t="shared" si="206"/>
        <v>0</v>
      </c>
      <c r="BA358" s="27">
        <f t="shared" si="226"/>
        <v>0</v>
      </c>
      <c r="BB358" s="27">
        <f t="shared" si="208"/>
        <v>0</v>
      </c>
      <c r="BC358" s="27">
        <f t="shared" si="210"/>
        <v>0</v>
      </c>
      <c r="BD358" s="27">
        <f t="shared" si="211"/>
        <v>0</v>
      </c>
      <c r="BE358" s="27">
        <f t="shared" si="212"/>
        <v>0</v>
      </c>
      <c r="BF358" s="29">
        <f t="shared" si="228"/>
        <v>0</v>
      </c>
      <c r="BH358" s="30">
        <f t="shared" si="207"/>
        <v>0</v>
      </c>
      <c r="BM358" s="2">
        <f>SUM(B358:S358)</f>
        <v>0</v>
      </c>
      <c r="BP358" s="2">
        <f>SUM(B358:S358)</f>
        <v>0</v>
      </c>
    </row>
    <row r="359" spans="1:68" ht="14.45" customHeight="1" x14ac:dyDescent="0.25">
      <c r="A359" s="33" t="s">
        <v>383</v>
      </c>
      <c r="B359" s="23"/>
      <c r="C359" s="24"/>
      <c r="D359" s="24">
        <v>12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13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5"/>
      <c r="AD359" s="25"/>
      <c r="AE359" s="26"/>
      <c r="AF359" s="27"/>
      <c r="AG359" s="17">
        <f t="shared" si="198"/>
        <v>0</v>
      </c>
      <c r="AH359" s="28">
        <f t="shared" si="199"/>
        <v>0</v>
      </c>
      <c r="AI359" s="17">
        <f t="shared" si="200"/>
        <v>0</v>
      </c>
      <c r="AJ359" s="28">
        <f t="shared" si="201"/>
        <v>0</v>
      </c>
      <c r="AK359" s="17">
        <f t="shared" si="209"/>
        <v>0</v>
      </c>
      <c r="AL359" s="28">
        <f t="shared" si="202"/>
        <v>0</v>
      </c>
      <c r="AM359" s="17">
        <f t="shared" si="217"/>
        <v>0</v>
      </c>
      <c r="AN359" s="28">
        <f t="shared" si="196"/>
        <v>0</v>
      </c>
      <c r="AO359" s="17"/>
      <c r="AP359" s="28"/>
      <c r="AQ359" s="17"/>
      <c r="AR359" s="28"/>
      <c r="AS359" s="17">
        <f t="shared" si="213"/>
        <v>0</v>
      </c>
      <c r="AT359" s="28">
        <f t="shared" si="214"/>
        <v>0</v>
      </c>
      <c r="AU359" s="17">
        <f t="shared" si="215"/>
        <v>0</v>
      </c>
      <c r="AV359" s="28">
        <f t="shared" si="216"/>
        <v>0</v>
      </c>
      <c r="AW359" s="17">
        <f t="shared" si="203"/>
        <v>12</v>
      </c>
      <c r="AX359" s="28">
        <f t="shared" si="204"/>
        <v>0</v>
      </c>
      <c r="AY359" s="17">
        <f t="shared" si="205"/>
        <v>0</v>
      </c>
      <c r="AZ359" s="28">
        <f t="shared" si="206"/>
        <v>0</v>
      </c>
      <c r="BA359" s="27"/>
      <c r="BB359" s="27">
        <f t="shared" si="208"/>
        <v>0</v>
      </c>
      <c r="BC359" s="27">
        <f t="shared" si="210"/>
        <v>0</v>
      </c>
      <c r="BD359" s="27">
        <f t="shared" si="211"/>
        <v>0</v>
      </c>
      <c r="BE359" s="27">
        <f t="shared" si="212"/>
        <v>0</v>
      </c>
      <c r="BF359" s="29"/>
      <c r="BH359" s="30">
        <f t="shared" si="207"/>
        <v>0</v>
      </c>
    </row>
    <row r="360" spans="1:68" ht="14.45" customHeight="1" x14ac:dyDescent="0.25">
      <c r="A360" s="33" t="s">
        <v>384</v>
      </c>
      <c r="B360" s="23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13">
        <v>3</v>
      </c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5"/>
      <c r="AD360" s="39">
        <f t="shared" ref="AD360:AD368" si="229">SUM(B360:AB360)</f>
        <v>3</v>
      </c>
      <c r="AE360" s="26"/>
      <c r="AF360" s="27"/>
      <c r="AG360" s="17">
        <f t="shared" si="198"/>
        <v>0</v>
      </c>
      <c r="AH360" s="28">
        <f t="shared" si="199"/>
        <v>0</v>
      </c>
      <c r="AI360" s="17">
        <f t="shared" si="200"/>
        <v>0</v>
      </c>
      <c r="AJ360" s="28">
        <f t="shared" si="201"/>
        <v>0</v>
      </c>
      <c r="AK360" s="17">
        <f t="shared" si="209"/>
        <v>3</v>
      </c>
      <c r="AL360" s="28">
        <f t="shared" si="202"/>
        <v>0</v>
      </c>
      <c r="AM360" s="17">
        <f t="shared" si="217"/>
        <v>0</v>
      </c>
      <c r="AN360" s="28">
        <f t="shared" si="196"/>
        <v>0</v>
      </c>
      <c r="AO360" s="17"/>
      <c r="AP360" s="28"/>
      <c r="AQ360" s="17"/>
      <c r="AR360" s="28"/>
      <c r="AS360" s="17">
        <f t="shared" si="213"/>
        <v>0</v>
      </c>
      <c r="AT360" s="28">
        <f t="shared" si="214"/>
        <v>0</v>
      </c>
      <c r="AU360" s="17">
        <f t="shared" si="215"/>
        <v>0</v>
      </c>
      <c r="AV360" s="28">
        <f t="shared" si="216"/>
        <v>0</v>
      </c>
      <c r="AW360" s="17">
        <f t="shared" si="203"/>
        <v>0</v>
      </c>
      <c r="AX360" s="28">
        <f t="shared" si="204"/>
        <v>0</v>
      </c>
      <c r="AY360" s="17">
        <f t="shared" si="205"/>
        <v>0</v>
      </c>
      <c r="AZ360" s="28">
        <f t="shared" si="206"/>
        <v>0</v>
      </c>
      <c r="BA360" s="27"/>
      <c r="BB360" s="27">
        <f t="shared" si="208"/>
        <v>0</v>
      </c>
      <c r="BC360" s="27">
        <f t="shared" si="210"/>
        <v>0</v>
      </c>
      <c r="BD360" s="27">
        <f t="shared" si="211"/>
        <v>0</v>
      </c>
      <c r="BE360" s="27">
        <f t="shared" si="212"/>
        <v>0</v>
      </c>
      <c r="BF360" s="29"/>
      <c r="BH360" s="30">
        <f t="shared" si="207"/>
        <v>3</v>
      </c>
    </row>
    <row r="361" spans="1:68" x14ac:dyDescent="0.25">
      <c r="A361" s="33" t="s">
        <v>385</v>
      </c>
      <c r="B361" s="23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13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5"/>
      <c r="AD361" s="39">
        <f t="shared" si="229"/>
        <v>0</v>
      </c>
      <c r="AE361" s="26" t="s">
        <v>42</v>
      </c>
      <c r="AF361" s="27">
        <v>210628</v>
      </c>
      <c r="AG361" s="17">
        <f t="shared" si="198"/>
        <v>0</v>
      </c>
      <c r="AH361" s="28">
        <f t="shared" si="199"/>
        <v>0</v>
      </c>
      <c r="AI361" s="17">
        <f t="shared" si="200"/>
        <v>0</v>
      </c>
      <c r="AJ361" s="28">
        <f t="shared" si="201"/>
        <v>0</v>
      </c>
      <c r="AK361" s="17">
        <f t="shared" si="209"/>
        <v>0</v>
      </c>
      <c r="AL361" s="28">
        <f t="shared" si="202"/>
        <v>0</v>
      </c>
      <c r="AM361" s="17">
        <f t="shared" si="217"/>
        <v>0</v>
      </c>
      <c r="AN361" s="28">
        <f t="shared" si="196"/>
        <v>0</v>
      </c>
      <c r="AO361" s="17">
        <f t="shared" ref="AO361:AO366" si="230">+B361</f>
        <v>0</v>
      </c>
      <c r="AP361" s="28">
        <f t="shared" ref="AP361:AP366" si="231">+AO361*AF361</f>
        <v>0</v>
      </c>
      <c r="AQ361" s="17">
        <f t="shared" ref="AQ361:AQ366" si="232">+P361</f>
        <v>0</v>
      </c>
      <c r="AR361" s="28">
        <f t="shared" ref="AR361:AR366" si="233">+AQ361*AF361</f>
        <v>0</v>
      </c>
      <c r="AS361" s="17">
        <f t="shared" si="213"/>
        <v>0</v>
      </c>
      <c r="AT361" s="28">
        <f t="shared" si="214"/>
        <v>0</v>
      </c>
      <c r="AU361" s="17">
        <f t="shared" si="215"/>
        <v>0</v>
      </c>
      <c r="AV361" s="28">
        <f t="shared" si="216"/>
        <v>0</v>
      </c>
      <c r="AW361" s="17">
        <f t="shared" si="203"/>
        <v>0</v>
      </c>
      <c r="AX361" s="28">
        <f t="shared" si="204"/>
        <v>0</v>
      </c>
      <c r="AY361" s="17">
        <f t="shared" si="205"/>
        <v>0</v>
      </c>
      <c r="AZ361" s="28">
        <f t="shared" si="206"/>
        <v>0</v>
      </c>
      <c r="BA361" s="27">
        <f t="shared" si="226"/>
        <v>0</v>
      </c>
      <c r="BB361" s="27">
        <f t="shared" si="208"/>
        <v>0</v>
      </c>
      <c r="BC361" s="27">
        <f t="shared" si="210"/>
        <v>0</v>
      </c>
      <c r="BD361" s="27">
        <f t="shared" si="211"/>
        <v>0</v>
      </c>
      <c r="BE361" s="27">
        <f t="shared" si="212"/>
        <v>0</v>
      </c>
      <c r="BF361" s="29"/>
      <c r="BH361" s="30">
        <f t="shared" si="207"/>
        <v>0</v>
      </c>
      <c r="BM361" s="2">
        <f t="shared" ref="BM361:BM366" si="234">SUM(B361:S361)</f>
        <v>0</v>
      </c>
      <c r="BP361" s="2">
        <f t="shared" ref="BP361:BP366" si="235">SUM(B361:S361)</f>
        <v>0</v>
      </c>
    </row>
    <row r="362" spans="1:68" ht="14.45" hidden="1" customHeight="1" x14ac:dyDescent="0.25">
      <c r="A362" s="33" t="s">
        <v>386</v>
      </c>
      <c r="B362" s="23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13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5"/>
      <c r="AD362" s="39">
        <f t="shared" si="229"/>
        <v>0</v>
      </c>
      <c r="AE362" s="26" t="s">
        <v>42</v>
      </c>
      <c r="AF362" s="27"/>
      <c r="AG362" s="17">
        <f t="shared" si="198"/>
        <v>0</v>
      </c>
      <c r="AH362" s="28">
        <f t="shared" si="199"/>
        <v>0</v>
      </c>
      <c r="AI362" s="17">
        <f t="shared" si="200"/>
        <v>0</v>
      </c>
      <c r="AJ362" s="28">
        <f t="shared" si="201"/>
        <v>0</v>
      </c>
      <c r="AK362" s="17">
        <f t="shared" si="209"/>
        <v>0</v>
      </c>
      <c r="AL362" s="28">
        <f t="shared" si="202"/>
        <v>0</v>
      </c>
      <c r="AM362" s="17">
        <f t="shared" si="217"/>
        <v>0</v>
      </c>
      <c r="AN362" s="28">
        <f t="shared" si="196"/>
        <v>0</v>
      </c>
      <c r="AO362" s="17">
        <f t="shared" si="230"/>
        <v>0</v>
      </c>
      <c r="AP362" s="28">
        <f t="shared" si="231"/>
        <v>0</v>
      </c>
      <c r="AQ362" s="17">
        <f t="shared" si="232"/>
        <v>0</v>
      </c>
      <c r="AR362" s="28">
        <f t="shared" si="233"/>
        <v>0</v>
      </c>
      <c r="AS362" s="17">
        <f t="shared" si="213"/>
        <v>0</v>
      </c>
      <c r="AT362" s="28">
        <f t="shared" si="214"/>
        <v>0</v>
      </c>
      <c r="AU362" s="17">
        <f t="shared" si="215"/>
        <v>0</v>
      </c>
      <c r="AV362" s="28">
        <f t="shared" si="216"/>
        <v>0</v>
      </c>
      <c r="AW362" s="17">
        <f t="shared" si="203"/>
        <v>0</v>
      </c>
      <c r="AX362" s="28">
        <f t="shared" si="204"/>
        <v>0</v>
      </c>
      <c r="AY362" s="17">
        <f t="shared" si="205"/>
        <v>0</v>
      </c>
      <c r="AZ362" s="28">
        <f t="shared" si="206"/>
        <v>0</v>
      </c>
      <c r="BA362" s="27">
        <f t="shared" si="226"/>
        <v>0</v>
      </c>
      <c r="BB362" s="27">
        <f t="shared" si="208"/>
        <v>0</v>
      </c>
      <c r="BC362" s="27">
        <f t="shared" si="210"/>
        <v>0</v>
      </c>
      <c r="BD362" s="27">
        <f t="shared" si="211"/>
        <v>0</v>
      </c>
      <c r="BE362" s="27">
        <f t="shared" si="212"/>
        <v>0</v>
      </c>
      <c r="BF362" s="29"/>
      <c r="BH362" s="30">
        <f t="shared" si="207"/>
        <v>0</v>
      </c>
      <c r="BM362" s="2">
        <f t="shared" si="234"/>
        <v>0</v>
      </c>
      <c r="BP362" s="2">
        <f t="shared" si="235"/>
        <v>0</v>
      </c>
    </row>
    <row r="363" spans="1:68" ht="14.45" hidden="1" customHeight="1" x14ac:dyDescent="0.25">
      <c r="A363" s="33" t="s">
        <v>387</v>
      </c>
      <c r="B363" s="23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13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5"/>
      <c r="AD363" s="39">
        <f t="shared" si="229"/>
        <v>0</v>
      </c>
      <c r="AE363" s="26" t="s">
        <v>42</v>
      </c>
      <c r="AF363" s="27"/>
      <c r="AG363" s="17">
        <f t="shared" si="198"/>
        <v>0</v>
      </c>
      <c r="AH363" s="28">
        <f t="shared" si="199"/>
        <v>0</v>
      </c>
      <c r="AI363" s="17">
        <f t="shared" si="200"/>
        <v>0</v>
      </c>
      <c r="AJ363" s="28">
        <f t="shared" si="201"/>
        <v>0</v>
      </c>
      <c r="AK363" s="17">
        <f t="shared" si="209"/>
        <v>0</v>
      </c>
      <c r="AL363" s="28">
        <f t="shared" si="202"/>
        <v>0</v>
      </c>
      <c r="AM363" s="17">
        <f t="shared" si="217"/>
        <v>0</v>
      </c>
      <c r="AN363" s="28">
        <f t="shared" si="196"/>
        <v>0</v>
      </c>
      <c r="AO363" s="17">
        <f t="shared" si="230"/>
        <v>0</v>
      </c>
      <c r="AP363" s="28">
        <f t="shared" si="231"/>
        <v>0</v>
      </c>
      <c r="AQ363" s="17">
        <f t="shared" si="232"/>
        <v>0</v>
      </c>
      <c r="AR363" s="28">
        <f t="shared" si="233"/>
        <v>0</v>
      </c>
      <c r="AS363" s="17">
        <f t="shared" si="213"/>
        <v>0</v>
      </c>
      <c r="AT363" s="28">
        <f t="shared" si="214"/>
        <v>0</v>
      </c>
      <c r="AU363" s="17">
        <f t="shared" si="215"/>
        <v>0</v>
      </c>
      <c r="AV363" s="28">
        <f t="shared" si="216"/>
        <v>0</v>
      </c>
      <c r="AW363" s="17">
        <f t="shared" si="203"/>
        <v>0</v>
      </c>
      <c r="AX363" s="28">
        <f t="shared" si="204"/>
        <v>0</v>
      </c>
      <c r="AY363" s="17">
        <f t="shared" si="205"/>
        <v>0</v>
      </c>
      <c r="AZ363" s="28">
        <f t="shared" si="206"/>
        <v>0</v>
      </c>
      <c r="BA363" s="27">
        <f t="shared" si="226"/>
        <v>0</v>
      </c>
      <c r="BB363" s="27">
        <f t="shared" si="208"/>
        <v>0</v>
      </c>
      <c r="BC363" s="27">
        <f t="shared" si="210"/>
        <v>0</v>
      </c>
      <c r="BD363" s="27">
        <f t="shared" si="211"/>
        <v>0</v>
      </c>
      <c r="BE363" s="27">
        <f t="shared" si="212"/>
        <v>0</v>
      </c>
      <c r="BF363" s="29"/>
      <c r="BH363" s="30">
        <f t="shared" si="207"/>
        <v>0</v>
      </c>
      <c r="BM363" s="2">
        <f t="shared" si="234"/>
        <v>0</v>
      </c>
      <c r="BP363" s="2">
        <f t="shared" si="235"/>
        <v>0</v>
      </c>
    </row>
    <row r="364" spans="1:68" ht="14.45" hidden="1" customHeight="1" x14ac:dyDescent="0.25">
      <c r="A364" s="33" t="s">
        <v>387</v>
      </c>
      <c r="B364" s="23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13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5"/>
      <c r="AD364" s="39">
        <f t="shared" si="229"/>
        <v>0</v>
      </c>
      <c r="AE364" s="26" t="s">
        <v>42</v>
      </c>
      <c r="AF364" s="27"/>
      <c r="AG364" s="17">
        <f t="shared" si="198"/>
        <v>0</v>
      </c>
      <c r="AH364" s="28">
        <f t="shared" si="199"/>
        <v>0</v>
      </c>
      <c r="AI364" s="17">
        <f t="shared" si="200"/>
        <v>0</v>
      </c>
      <c r="AJ364" s="28">
        <f t="shared" si="201"/>
        <v>0</v>
      </c>
      <c r="AK364" s="17">
        <f t="shared" si="209"/>
        <v>0</v>
      </c>
      <c r="AL364" s="28">
        <f t="shared" si="202"/>
        <v>0</v>
      </c>
      <c r="AM364" s="17">
        <f t="shared" si="217"/>
        <v>0</v>
      </c>
      <c r="AN364" s="28">
        <f t="shared" si="196"/>
        <v>0</v>
      </c>
      <c r="AO364" s="17">
        <f t="shared" si="230"/>
        <v>0</v>
      </c>
      <c r="AP364" s="28">
        <f t="shared" si="231"/>
        <v>0</v>
      </c>
      <c r="AQ364" s="17">
        <f t="shared" si="232"/>
        <v>0</v>
      </c>
      <c r="AR364" s="28">
        <f t="shared" si="233"/>
        <v>0</v>
      </c>
      <c r="AS364" s="17">
        <f t="shared" si="213"/>
        <v>0</v>
      </c>
      <c r="AT364" s="28">
        <f t="shared" si="214"/>
        <v>0</v>
      </c>
      <c r="AU364" s="17">
        <f t="shared" si="215"/>
        <v>0</v>
      </c>
      <c r="AV364" s="28">
        <f t="shared" si="216"/>
        <v>0</v>
      </c>
      <c r="AW364" s="17">
        <f t="shared" si="203"/>
        <v>0</v>
      </c>
      <c r="AX364" s="28">
        <f t="shared" si="204"/>
        <v>0</v>
      </c>
      <c r="AY364" s="17">
        <f t="shared" si="205"/>
        <v>0</v>
      </c>
      <c r="AZ364" s="28">
        <f t="shared" si="206"/>
        <v>0</v>
      </c>
      <c r="BA364" s="27">
        <f t="shared" si="226"/>
        <v>0</v>
      </c>
      <c r="BB364" s="27">
        <f t="shared" si="208"/>
        <v>0</v>
      </c>
      <c r="BC364" s="27">
        <f t="shared" si="210"/>
        <v>0</v>
      </c>
      <c r="BD364" s="27">
        <f t="shared" si="211"/>
        <v>0</v>
      </c>
      <c r="BE364" s="27">
        <f t="shared" si="212"/>
        <v>0</v>
      </c>
      <c r="BF364" s="29"/>
      <c r="BH364" s="30">
        <f t="shared" si="207"/>
        <v>0</v>
      </c>
      <c r="BM364" s="2">
        <f t="shared" si="234"/>
        <v>0</v>
      </c>
      <c r="BP364" s="2">
        <f t="shared" si="235"/>
        <v>0</v>
      </c>
    </row>
    <row r="365" spans="1:68" ht="14.45" hidden="1" customHeight="1" x14ac:dyDescent="0.25">
      <c r="A365" s="33" t="s">
        <v>387</v>
      </c>
      <c r="B365" s="23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13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5"/>
      <c r="AD365" s="39">
        <f t="shared" si="229"/>
        <v>0</v>
      </c>
      <c r="AE365" s="26" t="s">
        <v>42</v>
      </c>
      <c r="AF365" s="27"/>
      <c r="AG365" s="17">
        <f t="shared" si="198"/>
        <v>0</v>
      </c>
      <c r="AH365" s="28">
        <f t="shared" si="199"/>
        <v>0</v>
      </c>
      <c r="AI365" s="17">
        <f t="shared" si="200"/>
        <v>0</v>
      </c>
      <c r="AJ365" s="28">
        <f t="shared" si="201"/>
        <v>0</v>
      </c>
      <c r="AK365" s="17">
        <f t="shared" si="209"/>
        <v>0</v>
      </c>
      <c r="AL365" s="28">
        <f t="shared" si="202"/>
        <v>0</v>
      </c>
      <c r="AM365" s="17">
        <f t="shared" si="217"/>
        <v>0</v>
      </c>
      <c r="AN365" s="28">
        <f t="shared" si="196"/>
        <v>0</v>
      </c>
      <c r="AO365" s="17">
        <f t="shared" si="230"/>
        <v>0</v>
      </c>
      <c r="AP365" s="28">
        <f t="shared" si="231"/>
        <v>0</v>
      </c>
      <c r="AQ365" s="17">
        <f t="shared" si="232"/>
        <v>0</v>
      </c>
      <c r="AR365" s="28">
        <f t="shared" si="233"/>
        <v>0</v>
      </c>
      <c r="AS365" s="17">
        <f t="shared" si="213"/>
        <v>0</v>
      </c>
      <c r="AT365" s="28">
        <f t="shared" si="214"/>
        <v>0</v>
      </c>
      <c r="AU365" s="17">
        <f t="shared" si="215"/>
        <v>0</v>
      </c>
      <c r="AV365" s="28">
        <f t="shared" si="216"/>
        <v>0</v>
      </c>
      <c r="AW365" s="17">
        <f t="shared" si="203"/>
        <v>0</v>
      </c>
      <c r="AX365" s="28">
        <f t="shared" si="204"/>
        <v>0</v>
      </c>
      <c r="AY365" s="17">
        <f t="shared" si="205"/>
        <v>0</v>
      </c>
      <c r="AZ365" s="28">
        <f t="shared" si="206"/>
        <v>0</v>
      </c>
      <c r="BA365" s="27">
        <f t="shared" si="226"/>
        <v>0</v>
      </c>
      <c r="BB365" s="27">
        <f t="shared" si="208"/>
        <v>0</v>
      </c>
      <c r="BC365" s="27">
        <f t="shared" si="210"/>
        <v>0</v>
      </c>
      <c r="BD365" s="27">
        <f t="shared" si="211"/>
        <v>0</v>
      </c>
      <c r="BE365" s="27">
        <f t="shared" si="212"/>
        <v>0</v>
      </c>
      <c r="BF365" s="29"/>
      <c r="BH365" s="30">
        <f t="shared" si="207"/>
        <v>0</v>
      </c>
      <c r="BM365" s="2">
        <f t="shared" si="234"/>
        <v>0</v>
      </c>
      <c r="BP365" s="2">
        <f t="shared" si="235"/>
        <v>0</v>
      </c>
    </row>
    <row r="366" spans="1:68" ht="14.45" hidden="1" customHeight="1" x14ac:dyDescent="0.25">
      <c r="A366" s="33" t="s">
        <v>388</v>
      </c>
      <c r="B366" s="23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13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5"/>
      <c r="AD366" s="39">
        <f t="shared" si="229"/>
        <v>0</v>
      </c>
      <c r="AE366" s="26" t="s">
        <v>42</v>
      </c>
      <c r="AF366" s="27"/>
      <c r="AG366" s="17">
        <f t="shared" si="198"/>
        <v>0</v>
      </c>
      <c r="AH366" s="28">
        <f t="shared" si="199"/>
        <v>0</v>
      </c>
      <c r="AI366" s="17">
        <f t="shared" si="200"/>
        <v>0</v>
      </c>
      <c r="AJ366" s="28">
        <f t="shared" si="201"/>
        <v>0</v>
      </c>
      <c r="AK366" s="17">
        <f t="shared" si="209"/>
        <v>0</v>
      </c>
      <c r="AL366" s="28">
        <f t="shared" si="202"/>
        <v>0</v>
      </c>
      <c r="AM366" s="17">
        <f t="shared" si="217"/>
        <v>0</v>
      </c>
      <c r="AN366" s="28">
        <f t="shared" si="196"/>
        <v>0</v>
      </c>
      <c r="AO366" s="17">
        <f t="shared" si="230"/>
        <v>0</v>
      </c>
      <c r="AP366" s="28">
        <f t="shared" si="231"/>
        <v>0</v>
      </c>
      <c r="AQ366" s="17">
        <f t="shared" si="232"/>
        <v>0</v>
      </c>
      <c r="AR366" s="28">
        <f t="shared" si="233"/>
        <v>0</v>
      </c>
      <c r="AS366" s="17">
        <f t="shared" si="213"/>
        <v>0</v>
      </c>
      <c r="AT366" s="28">
        <f t="shared" si="214"/>
        <v>0</v>
      </c>
      <c r="AU366" s="17">
        <f t="shared" si="215"/>
        <v>0</v>
      </c>
      <c r="AV366" s="28">
        <f t="shared" si="216"/>
        <v>0</v>
      </c>
      <c r="AW366" s="17">
        <f t="shared" si="203"/>
        <v>0</v>
      </c>
      <c r="AX366" s="28">
        <f t="shared" si="204"/>
        <v>0</v>
      </c>
      <c r="AY366" s="17">
        <f t="shared" si="205"/>
        <v>0</v>
      </c>
      <c r="AZ366" s="28">
        <f t="shared" si="206"/>
        <v>0</v>
      </c>
      <c r="BA366" s="27">
        <f t="shared" si="226"/>
        <v>0</v>
      </c>
      <c r="BB366" s="27">
        <f t="shared" si="208"/>
        <v>0</v>
      </c>
      <c r="BC366" s="27">
        <f t="shared" si="210"/>
        <v>0</v>
      </c>
      <c r="BD366" s="27">
        <f t="shared" si="211"/>
        <v>0</v>
      </c>
      <c r="BE366" s="27">
        <f t="shared" si="212"/>
        <v>0</v>
      </c>
      <c r="BF366" s="29"/>
      <c r="BH366" s="30">
        <f t="shared" si="207"/>
        <v>0</v>
      </c>
      <c r="BM366" s="2">
        <f t="shared" si="234"/>
        <v>0</v>
      </c>
      <c r="BP366" s="2">
        <f t="shared" si="235"/>
        <v>0</v>
      </c>
    </row>
    <row r="367" spans="1:68" ht="14.45" customHeight="1" x14ac:dyDescent="0.25">
      <c r="A367" s="33" t="s">
        <v>389</v>
      </c>
      <c r="B367" s="23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13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5"/>
      <c r="AD367" s="39">
        <f t="shared" si="229"/>
        <v>0</v>
      </c>
      <c r="AE367" s="26"/>
      <c r="AF367" s="27"/>
      <c r="AG367" s="17">
        <f t="shared" si="198"/>
        <v>0</v>
      </c>
      <c r="AH367" s="28">
        <f t="shared" si="199"/>
        <v>0</v>
      </c>
      <c r="AI367" s="17">
        <f t="shared" si="200"/>
        <v>0</v>
      </c>
      <c r="AJ367" s="28">
        <f t="shared" si="201"/>
        <v>0</v>
      </c>
      <c r="AK367" s="17">
        <f t="shared" si="209"/>
        <v>0</v>
      </c>
      <c r="AL367" s="28">
        <f t="shared" si="202"/>
        <v>0</v>
      </c>
      <c r="AM367" s="17">
        <f t="shared" si="217"/>
        <v>0</v>
      </c>
      <c r="AN367" s="28">
        <f t="shared" si="196"/>
        <v>0</v>
      </c>
      <c r="AO367" s="17"/>
      <c r="AP367" s="28"/>
      <c r="AQ367" s="17"/>
      <c r="AR367" s="28"/>
      <c r="AS367" s="17">
        <f t="shared" si="213"/>
        <v>0</v>
      </c>
      <c r="AT367" s="28">
        <f t="shared" si="214"/>
        <v>0</v>
      </c>
      <c r="AU367" s="17">
        <f t="shared" si="215"/>
        <v>0</v>
      </c>
      <c r="AV367" s="28">
        <f t="shared" si="216"/>
        <v>0</v>
      </c>
      <c r="AW367" s="17">
        <f t="shared" si="203"/>
        <v>0</v>
      </c>
      <c r="AX367" s="28">
        <f t="shared" si="204"/>
        <v>0</v>
      </c>
      <c r="AY367" s="17">
        <f t="shared" si="205"/>
        <v>0</v>
      </c>
      <c r="AZ367" s="28">
        <f t="shared" si="206"/>
        <v>0</v>
      </c>
      <c r="BA367" s="27"/>
      <c r="BB367" s="27">
        <f t="shared" si="208"/>
        <v>0</v>
      </c>
      <c r="BC367" s="27">
        <f t="shared" si="210"/>
        <v>0</v>
      </c>
      <c r="BD367" s="27">
        <f t="shared" si="211"/>
        <v>0</v>
      </c>
      <c r="BE367" s="27">
        <f t="shared" si="212"/>
        <v>0</v>
      </c>
      <c r="BF367" s="29"/>
      <c r="BH367" s="30">
        <f t="shared" si="207"/>
        <v>0</v>
      </c>
    </row>
    <row r="368" spans="1:68" ht="14.45" customHeight="1" x14ac:dyDescent="0.25">
      <c r="A368" s="33" t="s">
        <v>390</v>
      </c>
      <c r="B368" s="23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13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5"/>
      <c r="AD368" s="39">
        <f t="shared" si="229"/>
        <v>0</v>
      </c>
      <c r="AE368" s="26"/>
      <c r="AF368" s="27"/>
      <c r="AG368" s="17">
        <f t="shared" si="198"/>
        <v>0</v>
      </c>
      <c r="AH368" s="28">
        <f t="shared" si="199"/>
        <v>0</v>
      </c>
      <c r="AI368" s="17">
        <f t="shared" si="200"/>
        <v>0</v>
      </c>
      <c r="AJ368" s="28">
        <f t="shared" si="201"/>
        <v>0</v>
      </c>
      <c r="AK368" s="17">
        <f t="shared" si="209"/>
        <v>0</v>
      </c>
      <c r="AL368" s="28">
        <f t="shared" si="202"/>
        <v>0</v>
      </c>
      <c r="AM368" s="17">
        <f t="shared" si="217"/>
        <v>0</v>
      </c>
      <c r="AN368" s="28">
        <f t="shared" si="196"/>
        <v>0</v>
      </c>
      <c r="AO368" s="17"/>
      <c r="AP368" s="28"/>
      <c r="AQ368" s="17"/>
      <c r="AR368" s="28"/>
      <c r="AS368" s="17">
        <f t="shared" si="213"/>
        <v>0</v>
      </c>
      <c r="AT368" s="28">
        <f t="shared" si="214"/>
        <v>0</v>
      </c>
      <c r="AU368" s="17">
        <f t="shared" si="215"/>
        <v>0</v>
      </c>
      <c r="AV368" s="28">
        <f t="shared" si="216"/>
        <v>0</v>
      </c>
      <c r="AW368" s="17">
        <f t="shared" si="203"/>
        <v>0</v>
      </c>
      <c r="AX368" s="28">
        <f t="shared" si="204"/>
        <v>0</v>
      </c>
      <c r="AY368" s="17">
        <f t="shared" si="205"/>
        <v>0</v>
      </c>
      <c r="AZ368" s="28">
        <f t="shared" si="206"/>
        <v>0</v>
      </c>
      <c r="BA368" s="27"/>
      <c r="BB368" s="27">
        <f t="shared" si="208"/>
        <v>0</v>
      </c>
      <c r="BC368" s="27">
        <f t="shared" si="210"/>
        <v>0</v>
      </c>
      <c r="BD368" s="27">
        <f t="shared" si="211"/>
        <v>0</v>
      </c>
      <c r="BE368" s="27">
        <f t="shared" si="212"/>
        <v>0</v>
      </c>
      <c r="BF368" s="29"/>
      <c r="BH368" s="30">
        <f t="shared" si="207"/>
        <v>0</v>
      </c>
    </row>
    <row r="369" spans="1:68" ht="14.45" customHeight="1" x14ac:dyDescent="0.25">
      <c r="A369" s="45" t="s">
        <v>793</v>
      </c>
      <c r="B369" s="23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13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5"/>
      <c r="AD369" s="39">
        <f>SUM(B369:AB369)</f>
        <v>0</v>
      </c>
      <c r="AE369" s="26"/>
      <c r="AF369" s="27">
        <f>2*950/10</f>
        <v>190</v>
      </c>
      <c r="AG369" s="17">
        <f t="shared" si="198"/>
        <v>0</v>
      </c>
      <c r="AH369" s="28">
        <f t="shared" si="199"/>
        <v>0</v>
      </c>
      <c r="AI369" s="17">
        <f t="shared" si="200"/>
        <v>0</v>
      </c>
      <c r="AJ369" s="28">
        <f t="shared" si="201"/>
        <v>0</v>
      </c>
      <c r="AK369" s="17">
        <f t="shared" si="209"/>
        <v>0</v>
      </c>
      <c r="AL369" s="28">
        <f t="shared" si="202"/>
        <v>0</v>
      </c>
      <c r="AM369" s="17">
        <f t="shared" si="217"/>
        <v>0</v>
      </c>
      <c r="AN369" s="28">
        <f t="shared" si="196"/>
        <v>0</v>
      </c>
      <c r="AO369" s="17"/>
      <c r="AP369" s="28"/>
      <c r="AQ369" s="17"/>
      <c r="AR369" s="28"/>
      <c r="AS369" s="17">
        <f t="shared" si="213"/>
        <v>0</v>
      </c>
      <c r="AT369" s="28">
        <f t="shared" si="214"/>
        <v>0</v>
      </c>
      <c r="AU369" s="17">
        <f t="shared" si="215"/>
        <v>0</v>
      </c>
      <c r="AV369" s="28">
        <f t="shared" si="216"/>
        <v>0</v>
      </c>
      <c r="AW369" s="17">
        <f t="shared" si="203"/>
        <v>0</v>
      </c>
      <c r="AX369" s="28">
        <f t="shared" si="204"/>
        <v>0</v>
      </c>
      <c r="AY369" s="17">
        <f t="shared" si="205"/>
        <v>0</v>
      </c>
      <c r="AZ369" s="28">
        <f t="shared" si="206"/>
        <v>0</v>
      </c>
      <c r="BA369" s="27"/>
      <c r="BB369" s="27">
        <f t="shared" si="208"/>
        <v>0</v>
      </c>
      <c r="BC369" s="27">
        <f t="shared" si="210"/>
        <v>0</v>
      </c>
      <c r="BD369" s="27">
        <f t="shared" si="211"/>
        <v>0</v>
      </c>
      <c r="BE369" s="27">
        <f t="shared" si="212"/>
        <v>0</v>
      </c>
      <c r="BF369" s="29"/>
      <c r="BH369" s="30">
        <f t="shared" si="207"/>
        <v>0</v>
      </c>
    </row>
    <row r="370" spans="1:68" ht="14.45" customHeight="1" x14ac:dyDescent="0.25">
      <c r="A370" s="33" t="s">
        <v>392</v>
      </c>
      <c r="B370" s="23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13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>
        <v>500</v>
      </c>
      <c r="AC370" s="25"/>
      <c r="AD370" s="39">
        <f t="shared" ref="AD370" si="236">SUM(B370:AB370)</f>
        <v>500</v>
      </c>
      <c r="AE370" s="26"/>
      <c r="AF370" s="27">
        <f>2*950/10</f>
        <v>190</v>
      </c>
      <c r="AG370" s="17">
        <f t="shared" si="198"/>
        <v>0</v>
      </c>
      <c r="AH370" s="28">
        <f t="shared" si="199"/>
        <v>0</v>
      </c>
      <c r="AI370" s="17">
        <f t="shared" si="200"/>
        <v>0</v>
      </c>
      <c r="AJ370" s="28">
        <f t="shared" si="201"/>
        <v>0</v>
      </c>
      <c r="AK370" s="17">
        <f t="shared" si="209"/>
        <v>0</v>
      </c>
      <c r="AL370" s="28">
        <f t="shared" si="202"/>
        <v>0</v>
      </c>
      <c r="AM370" s="17">
        <f t="shared" si="217"/>
        <v>500</v>
      </c>
      <c r="AN370" s="28">
        <f t="shared" ref="AN370:AN432" si="237">+AM370*AF370</f>
        <v>95000</v>
      </c>
      <c r="AO370" s="17"/>
      <c r="AP370" s="28"/>
      <c r="AQ370" s="17"/>
      <c r="AR370" s="28"/>
      <c r="AS370" s="17">
        <f t="shared" si="213"/>
        <v>0</v>
      </c>
      <c r="AT370" s="28">
        <f t="shared" si="214"/>
        <v>0</v>
      </c>
      <c r="AU370" s="17">
        <f t="shared" si="215"/>
        <v>0</v>
      </c>
      <c r="AV370" s="28">
        <f t="shared" si="216"/>
        <v>0</v>
      </c>
      <c r="AW370" s="17">
        <f t="shared" si="203"/>
        <v>0</v>
      </c>
      <c r="AX370" s="28">
        <f t="shared" si="204"/>
        <v>0</v>
      </c>
      <c r="AY370" s="17">
        <f t="shared" si="205"/>
        <v>0</v>
      </c>
      <c r="AZ370" s="28">
        <f t="shared" si="206"/>
        <v>0</v>
      </c>
      <c r="BA370" s="27"/>
      <c r="BB370" s="27">
        <f t="shared" si="208"/>
        <v>95000</v>
      </c>
      <c r="BC370" s="27">
        <f t="shared" si="210"/>
        <v>0</v>
      </c>
      <c r="BD370" s="27">
        <f t="shared" si="211"/>
        <v>0</v>
      </c>
      <c r="BE370" s="27">
        <f t="shared" si="212"/>
        <v>0</v>
      </c>
      <c r="BF370" s="29"/>
      <c r="BH370" s="30">
        <f t="shared" si="207"/>
        <v>500</v>
      </c>
    </row>
    <row r="371" spans="1:68" ht="14.45" customHeight="1" x14ac:dyDescent="0.25">
      <c r="A371" s="45" t="s">
        <v>391</v>
      </c>
      <c r="B371" s="23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13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>
        <v>105</v>
      </c>
      <c r="AC371" s="25"/>
      <c r="AD371" s="25"/>
      <c r="AE371" s="26"/>
      <c r="AF371" s="27">
        <f>2*950/10</f>
        <v>190</v>
      </c>
      <c r="AG371" s="17">
        <f t="shared" si="198"/>
        <v>0</v>
      </c>
      <c r="AH371" s="28">
        <f t="shared" si="199"/>
        <v>0</v>
      </c>
      <c r="AI371" s="17">
        <f t="shared" si="200"/>
        <v>0</v>
      </c>
      <c r="AJ371" s="28">
        <f t="shared" si="201"/>
        <v>0</v>
      </c>
      <c r="AK371" s="17">
        <f t="shared" si="209"/>
        <v>0</v>
      </c>
      <c r="AL371" s="28">
        <f t="shared" si="202"/>
        <v>0</v>
      </c>
      <c r="AM371" s="17">
        <f t="shared" si="217"/>
        <v>105</v>
      </c>
      <c r="AN371" s="28">
        <f t="shared" si="237"/>
        <v>19950</v>
      </c>
      <c r="AO371" s="17"/>
      <c r="AP371" s="28"/>
      <c r="AQ371" s="17"/>
      <c r="AR371" s="28"/>
      <c r="AS371" s="17">
        <f t="shared" si="213"/>
        <v>0</v>
      </c>
      <c r="AT371" s="28">
        <f t="shared" si="214"/>
        <v>0</v>
      </c>
      <c r="AU371" s="17">
        <f t="shared" si="215"/>
        <v>0</v>
      </c>
      <c r="AV371" s="28">
        <f t="shared" si="216"/>
        <v>0</v>
      </c>
      <c r="AW371" s="17">
        <f t="shared" si="203"/>
        <v>0</v>
      </c>
      <c r="AX371" s="28">
        <f t="shared" si="204"/>
        <v>0</v>
      </c>
      <c r="AY371" s="17">
        <f t="shared" si="205"/>
        <v>0</v>
      </c>
      <c r="AZ371" s="28">
        <f t="shared" si="206"/>
        <v>0</v>
      </c>
      <c r="BA371" s="27"/>
      <c r="BB371" s="27">
        <f t="shared" si="208"/>
        <v>19950</v>
      </c>
      <c r="BC371" s="27">
        <f t="shared" si="210"/>
        <v>0</v>
      </c>
      <c r="BD371" s="27">
        <f t="shared" si="211"/>
        <v>0</v>
      </c>
      <c r="BE371" s="27">
        <f t="shared" si="212"/>
        <v>0</v>
      </c>
      <c r="BF371" s="29"/>
      <c r="BH371" s="30">
        <f t="shared" si="207"/>
        <v>105</v>
      </c>
    </row>
    <row r="372" spans="1:68" x14ac:dyDescent="0.25">
      <c r="A372" s="45" t="s">
        <v>390</v>
      </c>
      <c r="B372" s="23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13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>
        <v>400</v>
      </c>
      <c r="AA372" s="24"/>
      <c r="AB372" s="24">
        <v>2050</v>
      </c>
      <c r="AC372" s="25"/>
      <c r="AD372" s="25">
        <f t="shared" si="227"/>
        <v>0</v>
      </c>
      <c r="AE372" s="26" t="s">
        <v>42</v>
      </c>
      <c r="AF372" s="27">
        <v>190</v>
      </c>
      <c r="AG372" s="17">
        <f t="shared" si="198"/>
        <v>0</v>
      </c>
      <c r="AH372" s="28">
        <f t="shared" si="199"/>
        <v>0</v>
      </c>
      <c r="AI372" s="17">
        <f t="shared" si="200"/>
        <v>0</v>
      </c>
      <c r="AJ372" s="28">
        <f t="shared" si="201"/>
        <v>0</v>
      </c>
      <c r="AK372" s="17">
        <f t="shared" si="209"/>
        <v>0</v>
      </c>
      <c r="AL372" s="28">
        <f t="shared" si="202"/>
        <v>0</v>
      </c>
      <c r="AM372" s="46">
        <f t="shared" si="217"/>
        <v>2050</v>
      </c>
      <c r="AN372" s="47">
        <f t="shared" si="237"/>
        <v>389500</v>
      </c>
      <c r="AO372" s="17">
        <f t="shared" ref="AO372:AO398" si="238">+B372</f>
        <v>0</v>
      </c>
      <c r="AP372" s="28">
        <f t="shared" ref="AP372:AP396" si="239">+AO372*AF372</f>
        <v>0</v>
      </c>
      <c r="AQ372" s="17">
        <f t="shared" ref="AQ372:AQ398" si="240">+P372</f>
        <v>0</v>
      </c>
      <c r="AR372" s="28">
        <f t="shared" ref="AR372:AR396" si="241">+AQ372*AF372</f>
        <v>0</v>
      </c>
      <c r="AS372" s="17">
        <f t="shared" si="213"/>
        <v>0</v>
      </c>
      <c r="AT372" s="28">
        <f t="shared" si="214"/>
        <v>0</v>
      </c>
      <c r="AU372" s="17">
        <f t="shared" si="215"/>
        <v>0</v>
      </c>
      <c r="AV372" s="28">
        <f t="shared" si="216"/>
        <v>0</v>
      </c>
      <c r="AW372" s="17">
        <f t="shared" si="203"/>
        <v>0</v>
      </c>
      <c r="AX372" s="28">
        <f t="shared" si="204"/>
        <v>0</v>
      </c>
      <c r="AY372" s="17">
        <f t="shared" si="205"/>
        <v>0</v>
      </c>
      <c r="AZ372" s="28">
        <f t="shared" si="206"/>
        <v>0</v>
      </c>
      <c r="BA372" s="27">
        <f t="shared" si="226"/>
        <v>0</v>
      </c>
      <c r="BB372" s="27">
        <f t="shared" si="208"/>
        <v>389500</v>
      </c>
      <c r="BC372" s="27">
        <f t="shared" si="210"/>
        <v>0</v>
      </c>
      <c r="BD372" s="27">
        <f t="shared" si="211"/>
        <v>0</v>
      </c>
      <c r="BE372" s="27">
        <f t="shared" si="212"/>
        <v>0</v>
      </c>
      <c r="BF372" s="48">
        <f t="shared" si="228"/>
        <v>389500</v>
      </c>
      <c r="BG372" s="2" t="s">
        <v>393</v>
      </c>
      <c r="BH372" s="30">
        <f t="shared" si="207"/>
        <v>2450</v>
      </c>
      <c r="BM372" s="2">
        <f t="shared" ref="BM372:BM396" si="242">SUM(B372:S372)</f>
        <v>0</v>
      </c>
      <c r="BP372" s="2">
        <f t="shared" ref="BP372:BP396" si="243">SUM(B372:S372)</f>
        <v>0</v>
      </c>
    </row>
    <row r="373" spans="1:68" ht="14.45" hidden="1" customHeight="1" x14ac:dyDescent="0.25">
      <c r="A373" s="33" t="s">
        <v>394</v>
      </c>
      <c r="B373" s="23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13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5"/>
      <c r="AD373" s="25">
        <f t="shared" si="227"/>
        <v>0</v>
      </c>
      <c r="AE373" s="26" t="s">
        <v>42</v>
      </c>
      <c r="AF373" s="27"/>
      <c r="AG373" s="17">
        <f t="shared" si="198"/>
        <v>0</v>
      </c>
      <c r="AH373" s="28">
        <f t="shared" si="199"/>
        <v>0</v>
      </c>
      <c r="AI373" s="17">
        <f t="shared" si="200"/>
        <v>0</v>
      </c>
      <c r="AJ373" s="28">
        <f t="shared" si="201"/>
        <v>0</v>
      </c>
      <c r="AK373" s="17">
        <f t="shared" si="209"/>
        <v>0</v>
      </c>
      <c r="AL373" s="28">
        <f t="shared" si="202"/>
        <v>0</v>
      </c>
      <c r="AM373" s="17">
        <f t="shared" si="217"/>
        <v>0</v>
      </c>
      <c r="AN373" s="28">
        <f t="shared" si="237"/>
        <v>0</v>
      </c>
      <c r="AO373" s="17">
        <f t="shared" si="238"/>
        <v>0</v>
      </c>
      <c r="AP373" s="28">
        <f t="shared" si="239"/>
        <v>0</v>
      </c>
      <c r="AQ373" s="17">
        <f t="shared" si="240"/>
        <v>0</v>
      </c>
      <c r="AR373" s="28">
        <f t="shared" si="241"/>
        <v>0</v>
      </c>
      <c r="AS373" s="17">
        <f t="shared" si="213"/>
        <v>0</v>
      </c>
      <c r="AT373" s="28">
        <f t="shared" si="214"/>
        <v>0</v>
      </c>
      <c r="AU373" s="17">
        <f t="shared" si="215"/>
        <v>0</v>
      </c>
      <c r="AV373" s="28">
        <f t="shared" si="216"/>
        <v>0</v>
      </c>
      <c r="AW373" s="17">
        <f t="shared" si="203"/>
        <v>0</v>
      </c>
      <c r="AX373" s="28">
        <f t="shared" si="204"/>
        <v>0</v>
      </c>
      <c r="AY373" s="17">
        <f t="shared" si="205"/>
        <v>0</v>
      </c>
      <c r="AZ373" s="28">
        <f t="shared" si="206"/>
        <v>0</v>
      </c>
      <c r="BA373" s="27">
        <f t="shared" si="226"/>
        <v>0</v>
      </c>
      <c r="BB373" s="27">
        <f t="shared" si="208"/>
        <v>0</v>
      </c>
      <c r="BC373" s="27">
        <f t="shared" si="210"/>
        <v>0</v>
      </c>
      <c r="BD373" s="27">
        <f t="shared" si="211"/>
        <v>0</v>
      </c>
      <c r="BE373" s="27">
        <f t="shared" si="212"/>
        <v>0</v>
      </c>
      <c r="BF373" s="29">
        <f t="shared" si="228"/>
        <v>0</v>
      </c>
      <c r="BH373" s="30">
        <f t="shared" si="207"/>
        <v>0</v>
      </c>
      <c r="BM373" s="2">
        <f t="shared" si="242"/>
        <v>0</v>
      </c>
      <c r="BP373" s="2">
        <f t="shared" si="243"/>
        <v>0</v>
      </c>
    </row>
    <row r="374" spans="1:68" ht="14.45" hidden="1" customHeight="1" x14ac:dyDescent="0.25">
      <c r="A374" s="33" t="s">
        <v>395</v>
      </c>
      <c r="B374" s="23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13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5"/>
      <c r="AD374" s="25">
        <f t="shared" si="227"/>
        <v>0</v>
      </c>
      <c r="AE374" s="26" t="s">
        <v>42</v>
      </c>
      <c r="AF374" s="27"/>
      <c r="AG374" s="17">
        <f t="shared" si="198"/>
        <v>0</v>
      </c>
      <c r="AH374" s="28">
        <f t="shared" si="199"/>
        <v>0</v>
      </c>
      <c r="AI374" s="17">
        <f t="shared" si="200"/>
        <v>0</v>
      </c>
      <c r="AJ374" s="28">
        <f t="shared" si="201"/>
        <v>0</v>
      </c>
      <c r="AK374" s="17">
        <f t="shared" si="209"/>
        <v>0</v>
      </c>
      <c r="AL374" s="28">
        <f t="shared" si="202"/>
        <v>0</v>
      </c>
      <c r="AM374" s="17">
        <f t="shared" si="217"/>
        <v>0</v>
      </c>
      <c r="AN374" s="28">
        <f t="shared" si="237"/>
        <v>0</v>
      </c>
      <c r="AO374" s="17">
        <f t="shared" si="238"/>
        <v>0</v>
      </c>
      <c r="AP374" s="28">
        <f t="shared" si="239"/>
        <v>0</v>
      </c>
      <c r="AQ374" s="17">
        <f t="shared" si="240"/>
        <v>0</v>
      </c>
      <c r="AR374" s="28">
        <f t="shared" si="241"/>
        <v>0</v>
      </c>
      <c r="AS374" s="17">
        <f t="shared" si="213"/>
        <v>0</v>
      </c>
      <c r="AT374" s="28">
        <f t="shared" si="214"/>
        <v>0</v>
      </c>
      <c r="AU374" s="17">
        <f t="shared" si="215"/>
        <v>0</v>
      </c>
      <c r="AV374" s="28">
        <f t="shared" si="216"/>
        <v>0</v>
      </c>
      <c r="AW374" s="17">
        <f t="shared" si="203"/>
        <v>0</v>
      </c>
      <c r="AX374" s="28">
        <f t="shared" si="204"/>
        <v>0</v>
      </c>
      <c r="AY374" s="17">
        <f t="shared" si="205"/>
        <v>0</v>
      </c>
      <c r="AZ374" s="28">
        <f t="shared" si="206"/>
        <v>0</v>
      </c>
      <c r="BA374" s="27">
        <f t="shared" si="226"/>
        <v>0</v>
      </c>
      <c r="BB374" s="27">
        <f t="shared" si="208"/>
        <v>0</v>
      </c>
      <c r="BC374" s="27">
        <f t="shared" si="210"/>
        <v>0</v>
      </c>
      <c r="BD374" s="27">
        <f t="shared" si="211"/>
        <v>0</v>
      </c>
      <c r="BE374" s="27">
        <f t="shared" si="212"/>
        <v>0</v>
      </c>
      <c r="BF374" s="29">
        <f t="shared" si="228"/>
        <v>0</v>
      </c>
      <c r="BH374" s="30">
        <f t="shared" si="207"/>
        <v>0</v>
      </c>
      <c r="BM374" s="2">
        <f t="shared" si="242"/>
        <v>0</v>
      </c>
      <c r="BP374" s="2">
        <f t="shared" si="243"/>
        <v>0</v>
      </c>
    </row>
    <row r="375" spans="1:68" ht="14.45" hidden="1" customHeight="1" x14ac:dyDescent="0.25">
      <c r="A375" s="33" t="s">
        <v>396</v>
      </c>
      <c r="B375" s="23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13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5"/>
      <c r="AD375" s="25">
        <f t="shared" si="227"/>
        <v>0</v>
      </c>
      <c r="AE375" s="26" t="s">
        <v>42</v>
      </c>
      <c r="AF375" s="27"/>
      <c r="AG375" s="17">
        <f t="shared" si="198"/>
        <v>0</v>
      </c>
      <c r="AH375" s="28">
        <f t="shared" si="199"/>
        <v>0</v>
      </c>
      <c r="AI375" s="17">
        <f t="shared" si="200"/>
        <v>0</v>
      </c>
      <c r="AJ375" s="28">
        <f t="shared" si="201"/>
        <v>0</v>
      </c>
      <c r="AK375" s="17">
        <f t="shared" si="209"/>
        <v>0</v>
      </c>
      <c r="AL375" s="28">
        <f t="shared" si="202"/>
        <v>0</v>
      </c>
      <c r="AM375" s="17">
        <f t="shared" si="217"/>
        <v>0</v>
      </c>
      <c r="AN375" s="28">
        <f t="shared" si="237"/>
        <v>0</v>
      </c>
      <c r="AO375" s="17">
        <f t="shared" si="238"/>
        <v>0</v>
      </c>
      <c r="AP375" s="28">
        <f t="shared" si="239"/>
        <v>0</v>
      </c>
      <c r="AQ375" s="17">
        <f t="shared" si="240"/>
        <v>0</v>
      </c>
      <c r="AR375" s="28">
        <f t="shared" si="241"/>
        <v>0</v>
      </c>
      <c r="AS375" s="17">
        <f t="shared" si="213"/>
        <v>0</v>
      </c>
      <c r="AT375" s="28">
        <f t="shared" si="214"/>
        <v>0</v>
      </c>
      <c r="AU375" s="17">
        <f t="shared" si="215"/>
        <v>0</v>
      </c>
      <c r="AV375" s="28">
        <f t="shared" si="216"/>
        <v>0</v>
      </c>
      <c r="AW375" s="17">
        <f t="shared" si="203"/>
        <v>0</v>
      </c>
      <c r="AX375" s="28">
        <f t="shared" si="204"/>
        <v>0</v>
      </c>
      <c r="AY375" s="17">
        <f t="shared" si="205"/>
        <v>0</v>
      </c>
      <c r="AZ375" s="28">
        <f t="shared" si="206"/>
        <v>0</v>
      </c>
      <c r="BA375" s="27">
        <f t="shared" si="226"/>
        <v>0</v>
      </c>
      <c r="BB375" s="27">
        <f t="shared" si="208"/>
        <v>0</v>
      </c>
      <c r="BC375" s="27">
        <f t="shared" si="210"/>
        <v>0</v>
      </c>
      <c r="BD375" s="27">
        <f t="shared" si="211"/>
        <v>0</v>
      </c>
      <c r="BE375" s="27">
        <f t="shared" si="212"/>
        <v>0</v>
      </c>
      <c r="BF375" s="29">
        <f t="shared" si="228"/>
        <v>0</v>
      </c>
      <c r="BH375" s="30">
        <f t="shared" si="207"/>
        <v>0</v>
      </c>
      <c r="BM375" s="2">
        <f t="shared" si="242"/>
        <v>0</v>
      </c>
      <c r="BP375" s="2">
        <f t="shared" si="243"/>
        <v>0</v>
      </c>
    </row>
    <row r="376" spans="1:68" ht="14.45" hidden="1" customHeight="1" x14ac:dyDescent="0.25">
      <c r="A376" s="33" t="s">
        <v>397</v>
      </c>
      <c r="B376" s="23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13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5"/>
      <c r="AD376" s="25">
        <f t="shared" si="227"/>
        <v>0</v>
      </c>
      <c r="AE376" s="26" t="s">
        <v>42</v>
      </c>
      <c r="AF376" s="27"/>
      <c r="AG376" s="17">
        <f t="shared" si="198"/>
        <v>0</v>
      </c>
      <c r="AH376" s="28">
        <f t="shared" si="199"/>
        <v>0</v>
      </c>
      <c r="AI376" s="17">
        <f t="shared" si="200"/>
        <v>0</v>
      </c>
      <c r="AJ376" s="28">
        <f t="shared" si="201"/>
        <v>0</v>
      </c>
      <c r="AK376" s="17">
        <f t="shared" si="209"/>
        <v>0</v>
      </c>
      <c r="AL376" s="28">
        <f t="shared" si="202"/>
        <v>0</v>
      </c>
      <c r="AM376" s="17">
        <f t="shared" si="217"/>
        <v>0</v>
      </c>
      <c r="AN376" s="28">
        <f t="shared" si="237"/>
        <v>0</v>
      </c>
      <c r="AO376" s="17">
        <f t="shared" si="238"/>
        <v>0</v>
      </c>
      <c r="AP376" s="28">
        <f t="shared" si="239"/>
        <v>0</v>
      </c>
      <c r="AQ376" s="17">
        <f t="shared" si="240"/>
        <v>0</v>
      </c>
      <c r="AR376" s="28">
        <f t="shared" si="241"/>
        <v>0</v>
      </c>
      <c r="AS376" s="17">
        <f t="shared" si="213"/>
        <v>0</v>
      </c>
      <c r="AT376" s="28">
        <f t="shared" si="214"/>
        <v>0</v>
      </c>
      <c r="AU376" s="17">
        <f t="shared" si="215"/>
        <v>0</v>
      </c>
      <c r="AV376" s="28">
        <f t="shared" si="216"/>
        <v>0</v>
      </c>
      <c r="AW376" s="17">
        <f t="shared" si="203"/>
        <v>0</v>
      </c>
      <c r="AX376" s="28">
        <f t="shared" si="204"/>
        <v>0</v>
      </c>
      <c r="AY376" s="17">
        <f t="shared" si="205"/>
        <v>0</v>
      </c>
      <c r="AZ376" s="28">
        <f t="shared" si="206"/>
        <v>0</v>
      </c>
      <c r="BA376" s="27">
        <f t="shared" si="226"/>
        <v>0</v>
      </c>
      <c r="BB376" s="27">
        <f t="shared" si="208"/>
        <v>0</v>
      </c>
      <c r="BC376" s="27">
        <f t="shared" si="210"/>
        <v>0</v>
      </c>
      <c r="BD376" s="27">
        <f t="shared" si="211"/>
        <v>0</v>
      </c>
      <c r="BE376" s="27">
        <f t="shared" si="212"/>
        <v>0</v>
      </c>
      <c r="BF376" s="29">
        <f t="shared" si="228"/>
        <v>0</v>
      </c>
      <c r="BH376" s="30">
        <f t="shared" si="207"/>
        <v>0</v>
      </c>
      <c r="BM376" s="2">
        <f t="shared" si="242"/>
        <v>0</v>
      </c>
      <c r="BP376" s="2">
        <f t="shared" si="243"/>
        <v>0</v>
      </c>
    </row>
    <row r="377" spans="1:68" ht="14.45" hidden="1" customHeight="1" x14ac:dyDescent="0.25">
      <c r="A377" s="33" t="s">
        <v>398</v>
      </c>
      <c r="B377" s="23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13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5"/>
      <c r="AD377" s="25">
        <f t="shared" si="227"/>
        <v>0</v>
      </c>
      <c r="AE377" s="26" t="s">
        <v>42</v>
      </c>
      <c r="AF377" s="27"/>
      <c r="AG377" s="17">
        <f t="shared" si="198"/>
        <v>0</v>
      </c>
      <c r="AH377" s="28">
        <f t="shared" si="199"/>
        <v>0</v>
      </c>
      <c r="AI377" s="17">
        <f t="shared" si="200"/>
        <v>0</v>
      </c>
      <c r="AJ377" s="28">
        <f t="shared" si="201"/>
        <v>0</v>
      </c>
      <c r="AK377" s="17">
        <f t="shared" si="209"/>
        <v>0</v>
      </c>
      <c r="AL377" s="28">
        <f t="shared" si="202"/>
        <v>0</v>
      </c>
      <c r="AM377" s="17">
        <f t="shared" si="217"/>
        <v>0</v>
      </c>
      <c r="AN377" s="28">
        <f t="shared" si="237"/>
        <v>0</v>
      </c>
      <c r="AO377" s="17">
        <f t="shared" si="238"/>
        <v>0</v>
      </c>
      <c r="AP377" s="28">
        <f t="shared" si="239"/>
        <v>0</v>
      </c>
      <c r="AQ377" s="17">
        <f t="shared" si="240"/>
        <v>0</v>
      </c>
      <c r="AR377" s="28">
        <f t="shared" si="241"/>
        <v>0</v>
      </c>
      <c r="AS377" s="17">
        <f t="shared" si="213"/>
        <v>0</v>
      </c>
      <c r="AT377" s="28">
        <f t="shared" si="214"/>
        <v>0</v>
      </c>
      <c r="AU377" s="17">
        <f t="shared" si="215"/>
        <v>0</v>
      </c>
      <c r="AV377" s="28">
        <f t="shared" si="216"/>
        <v>0</v>
      </c>
      <c r="AW377" s="17">
        <f t="shared" si="203"/>
        <v>0</v>
      </c>
      <c r="AX377" s="28">
        <f t="shared" si="204"/>
        <v>0</v>
      </c>
      <c r="AY377" s="17">
        <f t="shared" si="205"/>
        <v>0</v>
      </c>
      <c r="AZ377" s="28">
        <f t="shared" si="206"/>
        <v>0</v>
      </c>
      <c r="BA377" s="27">
        <f t="shared" si="226"/>
        <v>0</v>
      </c>
      <c r="BB377" s="27">
        <f t="shared" si="208"/>
        <v>0</v>
      </c>
      <c r="BC377" s="27">
        <f t="shared" si="210"/>
        <v>0</v>
      </c>
      <c r="BD377" s="27">
        <f t="shared" si="211"/>
        <v>0</v>
      </c>
      <c r="BE377" s="27">
        <f t="shared" si="212"/>
        <v>0</v>
      </c>
      <c r="BF377" s="29">
        <f t="shared" si="228"/>
        <v>0</v>
      </c>
      <c r="BH377" s="30">
        <f t="shared" si="207"/>
        <v>0</v>
      </c>
      <c r="BM377" s="2">
        <f t="shared" si="242"/>
        <v>0</v>
      </c>
      <c r="BP377" s="2">
        <f t="shared" si="243"/>
        <v>0</v>
      </c>
    </row>
    <row r="378" spans="1:68" ht="14.45" hidden="1" customHeight="1" x14ac:dyDescent="0.25">
      <c r="A378" s="33" t="s">
        <v>399</v>
      </c>
      <c r="B378" s="23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13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5"/>
      <c r="AD378" s="25">
        <f t="shared" si="227"/>
        <v>0</v>
      </c>
      <c r="AE378" s="26" t="s">
        <v>42</v>
      </c>
      <c r="AF378" s="27"/>
      <c r="AG378" s="17">
        <f t="shared" si="198"/>
        <v>0</v>
      </c>
      <c r="AH378" s="28">
        <f t="shared" si="199"/>
        <v>0</v>
      </c>
      <c r="AI378" s="17">
        <f t="shared" si="200"/>
        <v>0</v>
      </c>
      <c r="AJ378" s="28">
        <f t="shared" si="201"/>
        <v>0</v>
      </c>
      <c r="AK378" s="17">
        <f t="shared" si="209"/>
        <v>0</v>
      </c>
      <c r="AL378" s="28">
        <f t="shared" si="202"/>
        <v>0</v>
      </c>
      <c r="AM378" s="17">
        <f t="shared" si="217"/>
        <v>0</v>
      </c>
      <c r="AN378" s="28">
        <f t="shared" si="237"/>
        <v>0</v>
      </c>
      <c r="AO378" s="17">
        <f t="shared" si="238"/>
        <v>0</v>
      </c>
      <c r="AP378" s="28">
        <f t="shared" si="239"/>
        <v>0</v>
      </c>
      <c r="AQ378" s="17">
        <f t="shared" si="240"/>
        <v>0</v>
      </c>
      <c r="AR378" s="28">
        <f t="shared" si="241"/>
        <v>0</v>
      </c>
      <c r="AS378" s="17">
        <f t="shared" si="213"/>
        <v>0</v>
      </c>
      <c r="AT378" s="28">
        <f t="shared" si="214"/>
        <v>0</v>
      </c>
      <c r="AU378" s="17">
        <f t="shared" si="215"/>
        <v>0</v>
      </c>
      <c r="AV378" s="28">
        <f t="shared" si="216"/>
        <v>0</v>
      </c>
      <c r="AW378" s="17">
        <f t="shared" si="203"/>
        <v>0</v>
      </c>
      <c r="AX378" s="28">
        <f t="shared" si="204"/>
        <v>0</v>
      </c>
      <c r="AY378" s="17">
        <f t="shared" si="205"/>
        <v>0</v>
      </c>
      <c r="AZ378" s="28">
        <f t="shared" si="206"/>
        <v>0</v>
      </c>
      <c r="BA378" s="27">
        <f t="shared" si="226"/>
        <v>0</v>
      </c>
      <c r="BB378" s="27">
        <f t="shared" si="208"/>
        <v>0</v>
      </c>
      <c r="BC378" s="27">
        <f t="shared" si="210"/>
        <v>0</v>
      </c>
      <c r="BD378" s="27">
        <f t="shared" si="211"/>
        <v>0</v>
      </c>
      <c r="BE378" s="27">
        <f t="shared" si="212"/>
        <v>0</v>
      </c>
      <c r="BF378" s="29">
        <f t="shared" si="228"/>
        <v>0</v>
      </c>
      <c r="BH378" s="30">
        <f t="shared" si="207"/>
        <v>0</v>
      </c>
      <c r="BM378" s="2">
        <f t="shared" si="242"/>
        <v>0</v>
      </c>
      <c r="BP378" s="2">
        <f t="shared" si="243"/>
        <v>0</v>
      </c>
    </row>
    <row r="379" spans="1:68" ht="14.45" hidden="1" customHeight="1" x14ac:dyDescent="0.25">
      <c r="A379" s="33" t="s">
        <v>400</v>
      </c>
      <c r="B379" s="23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13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5"/>
      <c r="AD379" s="25">
        <f t="shared" si="227"/>
        <v>0</v>
      </c>
      <c r="AE379" s="26" t="s">
        <v>42</v>
      </c>
      <c r="AF379" s="27"/>
      <c r="AG379" s="17">
        <f t="shared" si="198"/>
        <v>0</v>
      </c>
      <c r="AH379" s="28">
        <f t="shared" si="199"/>
        <v>0</v>
      </c>
      <c r="AI379" s="17">
        <f t="shared" si="200"/>
        <v>0</v>
      </c>
      <c r="AJ379" s="28">
        <f t="shared" si="201"/>
        <v>0</v>
      </c>
      <c r="AK379" s="17">
        <f t="shared" si="209"/>
        <v>0</v>
      </c>
      <c r="AL379" s="28">
        <f t="shared" si="202"/>
        <v>0</v>
      </c>
      <c r="AM379" s="17">
        <f t="shared" si="217"/>
        <v>0</v>
      </c>
      <c r="AN379" s="28">
        <f t="shared" si="237"/>
        <v>0</v>
      </c>
      <c r="AO379" s="17">
        <f t="shared" si="238"/>
        <v>0</v>
      </c>
      <c r="AP379" s="28">
        <f t="shared" si="239"/>
        <v>0</v>
      </c>
      <c r="AQ379" s="17">
        <f t="shared" si="240"/>
        <v>0</v>
      </c>
      <c r="AR379" s="28">
        <f t="shared" si="241"/>
        <v>0</v>
      </c>
      <c r="AS379" s="17">
        <f t="shared" si="213"/>
        <v>0</v>
      </c>
      <c r="AT379" s="28">
        <f t="shared" si="214"/>
        <v>0</v>
      </c>
      <c r="AU379" s="17">
        <f t="shared" si="215"/>
        <v>0</v>
      </c>
      <c r="AV379" s="28">
        <f t="shared" si="216"/>
        <v>0</v>
      </c>
      <c r="AW379" s="17">
        <f t="shared" si="203"/>
        <v>0</v>
      </c>
      <c r="AX379" s="28">
        <f t="shared" si="204"/>
        <v>0</v>
      </c>
      <c r="AY379" s="17">
        <f t="shared" si="205"/>
        <v>0</v>
      </c>
      <c r="AZ379" s="28">
        <f t="shared" si="206"/>
        <v>0</v>
      </c>
      <c r="BA379" s="27">
        <f t="shared" si="226"/>
        <v>0</v>
      </c>
      <c r="BB379" s="27">
        <f t="shared" si="208"/>
        <v>0</v>
      </c>
      <c r="BC379" s="27">
        <f t="shared" si="210"/>
        <v>0</v>
      </c>
      <c r="BD379" s="27">
        <f t="shared" si="211"/>
        <v>0</v>
      </c>
      <c r="BE379" s="27">
        <f t="shared" si="212"/>
        <v>0</v>
      </c>
      <c r="BF379" s="29">
        <f t="shared" si="228"/>
        <v>0</v>
      </c>
      <c r="BH379" s="30">
        <f t="shared" si="207"/>
        <v>0</v>
      </c>
      <c r="BM379" s="2">
        <f t="shared" si="242"/>
        <v>0</v>
      </c>
      <c r="BP379" s="2">
        <f t="shared" si="243"/>
        <v>0</v>
      </c>
    </row>
    <row r="380" spans="1:68" ht="14.45" hidden="1" customHeight="1" x14ac:dyDescent="0.25">
      <c r="A380" s="33" t="s">
        <v>401</v>
      </c>
      <c r="B380" s="23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13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5"/>
      <c r="AD380" s="25">
        <f t="shared" si="227"/>
        <v>0</v>
      </c>
      <c r="AE380" s="26" t="s">
        <v>42</v>
      </c>
      <c r="AF380" s="27"/>
      <c r="AG380" s="17">
        <f t="shared" si="198"/>
        <v>0</v>
      </c>
      <c r="AH380" s="28">
        <f t="shared" si="199"/>
        <v>0</v>
      </c>
      <c r="AI380" s="17">
        <f t="shared" si="200"/>
        <v>0</v>
      </c>
      <c r="AJ380" s="28">
        <f t="shared" si="201"/>
        <v>0</v>
      </c>
      <c r="AK380" s="17">
        <f t="shared" si="209"/>
        <v>0</v>
      </c>
      <c r="AL380" s="28">
        <f t="shared" si="202"/>
        <v>0</v>
      </c>
      <c r="AM380" s="17">
        <f t="shared" si="217"/>
        <v>0</v>
      </c>
      <c r="AN380" s="28">
        <f t="shared" si="237"/>
        <v>0</v>
      </c>
      <c r="AO380" s="17">
        <f t="shared" si="238"/>
        <v>0</v>
      </c>
      <c r="AP380" s="28">
        <f t="shared" si="239"/>
        <v>0</v>
      </c>
      <c r="AQ380" s="17">
        <f t="shared" si="240"/>
        <v>0</v>
      </c>
      <c r="AR380" s="28">
        <f t="shared" si="241"/>
        <v>0</v>
      </c>
      <c r="AS380" s="17">
        <f t="shared" si="213"/>
        <v>0</v>
      </c>
      <c r="AT380" s="28">
        <f t="shared" si="214"/>
        <v>0</v>
      </c>
      <c r="AU380" s="17">
        <f t="shared" si="215"/>
        <v>0</v>
      </c>
      <c r="AV380" s="28">
        <f t="shared" si="216"/>
        <v>0</v>
      </c>
      <c r="AW380" s="17">
        <f t="shared" si="203"/>
        <v>0</v>
      </c>
      <c r="AX380" s="28">
        <f t="shared" si="204"/>
        <v>0</v>
      </c>
      <c r="AY380" s="17">
        <f t="shared" si="205"/>
        <v>0</v>
      </c>
      <c r="AZ380" s="28">
        <f t="shared" si="206"/>
        <v>0</v>
      </c>
      <c r="BA380" s="27">
        <f t="shared" si="226"/>
        <v>0</v>
      </c>
      <c r="BB380" s="27">
        <f t="shared" si="208"/>
        <v>0</v>
      </c>
      <c r="BC380" s="27">
        <f t="shared" si="210"/>
        <v>0</v>
      </c>
      <c r="BD380" s="27">
        <f t="shared" si="211"/>
        <v>0</v>
      </c>
      <c r="BE380" s="27">
        <f t="shared" si="212"/>
        <v>0</v>
      </c>
      <c r="BF380" s="29">
        <f t="shared" si="228"/>
        <v>0</v>
      </c>
      <c r="BH380" s="30">
        <f t="shared" si="207"/>
        <v>0</v>
      </c>
      <c r="BM380" s="2">
        <f t="shared" si="242"/>
        <v>0</v>
      </c>
      <c r="BP380" s="2">
        <f t="shared" si="243"/>
        <v>0</v>
      </c>
    </row>
    <row r="381" spans="1:68" ht="14.45" hidden="1" customHeight="1" x14ac:dyDescent="0.25">
      <c r="A381" s="33" t="s">
        <v>402</v>
      </c>
      <c r="B381" s="23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13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5"/>
      <c r="AD381" s="25">
        <f t="shared" si="227"/>
        <v>0</v>
      </c>
      <c r="AE381" s="26" t="s">
        <v>42</v>
      </c>
      <c r="AF381" s="27"/>
      <c r="AG381" s="17">
        <f t="shared" si="198"/>
        <v>0</v>
      </c>
      <c r="AH381" s="28">
        <f t="shared" si="199"/>
        <v>0</v>
      </c>
      <c r="AI381" s="17">
        <f t="shared" si="200"/>
        <v>0</v>
      </c>
      <c r="AJ381" s="28">
        <f t="shared" si="201"/>
        <v>0</v>
      </c>
      <c r="AK381" s="17">
        <f t="shared" si="209"/>
        <v>0</v>
      </c>
      <c r="AL381" s="28">
        <f t="shared" si="202"/>
        <v>0</v>
      </c>
      <c r="AM381" s="17">
        <f t="shared" si="217"/>
        <v>0</v>
      </c>
      <c r="AN381" s="28">
        <f t="shared" si="237"/>
        <v>0</v>
      </c>
      <c r="AO381" s="17">
        <f t="shared" si="238"/>
        <v>0</v>
      </c>
      <c r="AP381" s="28">
        <f t="shared" si="239"/>
        <v>0</v>
      </c>
      <c r="AQ381" s="17">
        <f t="shared" si="240"/>
        <v>0</v>
      </c>
      <c r="AR381" s="28">
        <f t="shared" si="241"/>
        <v>0</v>
      </c>
      <c r="AS381" s="17">
        <f t="shared" si="213"/>
        <v>0</v>
      </c>
      <c r="AT381" s="28">
        <f t="shared" si="214"/>
        <v>0</v>
      </c>
      <c r="AU381" s="17">
        <f t="shared" si="215"/>
        <v>0</v>
      </c>
      <c r="AV381" s="28">
        <f t="shared" si="216"/>
        <v>0</v>
      </c>
      <c r="AW381" s="17">
        <f t="shared" si="203"/>
        <v>0</v>
      </c>
      <c r="AX381" s="28">
        <f t="shared" si="204"/>
        <v>0</v>
      </c>
      <c r="AY381" s="17">
        <f t="shared" si="205"/>
        <v>0</v>
      </c>
      <c r="AZ381" s="28">
        <f t="shared" si="206"/>
        <v>0</v>
      </c>
      <c r="BA381" s="27">
        <f t="shared" si="226"/>
        <v>0</v>
      </c>
      <c r="BB381" s="27">
        <f t="shared" si="208"/>
        <v>0</v>
      </c>
      <c r="BC381" s="27">
        <f t="shared" si="210"/>
        <v>0</v>
      </c>
      <c r="BD381" s="27">
        <f t="shared" si="211"/>
        <v>0</v>
      </c>
      <c r="BE381" s="27">
        <f t="shared" si="212"/>
        <v>0</v>
      </c>
      <c r="BF381" s="29">
        <f t="shared" si="228"/>
        <v>0</v>
      </c>
      <c r="BH381" s="30">
        <f t="shared" si="207"/>
        <v>0</v>
      </c>
      <c r="BM381" s="2">
        <f t="shared" si="242"/>
        <v>0</v>
      </c>
      <c r="BP381" s="2">
        <f t="shared" si="243"/>
        <v>0</v>
      </c>
    </row>
    <row r="382" spans="1:68" ht="14.45" hidden="1" customHeight="1" x14ac:dyDescent="0.25">
      <c r="A382" s="33" t="s">
        <v>403</v>
      </c>
      <c r="B382" s="23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13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5"/>
      <c r="AD382" s="25">
        <f t="shared" si="227"/>
        <v>0</v>
      </c>
      <c r="AE382" s="26" t="s">
        <v>42</v>
      </c>
      <c r="AF382" s="27"/>
      <c r="AG382" s="17">
        <f t="shared" si="198"/>
        <v>0</v>
      </c>
      <c r="AH382" s="28">
        <f t="shared" si="199"/>
        <v>0</v>
      </c>
      <c r="AI382" s="17">
        <f t="shared" si="200"/>
        <v>0</v>
      </c>
      <c r="AJ382" s="28">
        <f t="shared" si="201"/>
        <v>0</v>
      </c>
      <c r="AK382" s="17">
        <f t="shared" si="209"/>
        <v>0</v>
      </c>
      <c r="AL382" s="28">
        <f t="shared" si="202"/>
        <v>0</v>
      </c>
      <c r="AM382" s="17">
        <f t="shared" si="217"/>
        <v>0</v>
      </c>
      <c r="AN382" s="28">
        <f t="shared" si="237"/>
        <v>0</v>
      </c>
      <c r="AO382" s="17">
        <f t="shared" si="238"/>
        <v>0</v>
      </c>
      <c r="AP382" s="28">
        <f t="shared" si="239"/>
        <v>0</v>
      </c>
      <c r="AQ382" s="17">
        <f t="shared" si="240"/>
        <v>0</v>
      </c>
      <c r="AR382" s="28">
        <f t="shared" si="241"/>
        <v>0</v>
      </c>
      <c r="AS382" s="17">
        <f t="shared" si="213"/>
        <v>0</v>
      </c>
      <c r="AT382" s="28">
        <f t="shared" si="214"/>
        <v>0</v>
      </c>
      <c r="AU382" s="17">
        <f t="shared" si="215"/>
        <v>0</v>
      </c>
      <c r="AV382" s="28">
        <f t="shared" si="216"/>
        <v>0</v>
      </c>
      <c r="AW382" s="17">
        <f t="shared" si="203"/>
        <v>0</v>
      </c>
      <c r="AX382" s="28">
        <f t="shared" si="204"/>
        <v>0</v>
      </c>
      <c r="AY382" s="17">
        <f t="shared" si="205"/>
        <v>0</v>
      </c>
      <c r="AZ382" s="28">
        <f t="shared" si="206"/>
        <v>0</v>
      </c>
      <c r="BA382" s="27">
        <f t="shared" si="226"/>
        <v>0</v>
      </c>
      <c r="BB382" s="27">
        <f t="shared" si="208"/>
        <v>0</v>
      </c>
      <c r="BC382" s="27">
        <f t="shared" si="210"/>
        <v>0</v>
      </c>
      <c r="BD382" s="27">
        <f t="shared" si="211"/>
        <v>0</v>
      </c>
      <c r="BE382" s="27">
        <f t="shared" si="212"/>
        <v>0</v>
      </c>
      <c r="BF382" s="29">
        <f t="shared" si="228"/>
        <v>0</v>
      </c>
      <c r="BH382" s="30">
        <f t="shared" si="207"/>
        <v>0</v>
      </c>
      <c r="BM382" s="2">
        <f t="shared" si="242"/>
        <v>0</v>
      </c>
      <c r="BP382" s="2">
        <f t="shared" si="243"/>
        <v>0</v>
      </c>
    </row>
    <row r="383" spans="1:68" ht="14.45" hidden="1" customHeight="1" x14ac:dyDescent="0.25">
      <c r="A383" s="33" t="s">
        <v>404</v>
      </c>
      <c r="B383" s="23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13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5"/>
      <c r="AD383" s="25">
        <f t="shared" si="227"/>
        <v>0</v>
      </c>
      <c r="AE383" s="26" t="s">
        <v>42</v>
      </c>
      <c r="AF383" s="27"/>
      <c r="AG383" s="17">
        <f t="shared" si="198"/>
        <v>0</v>
      </c>
      <c r="AH383" s="28">
        <f t="shared" si="199"/>
        <v>0</v>
      </c>
      <c r="AI383" s="17">
        <f t="shared" si="200"/>
        <v>0</v>
      </c>
      <c r="AJ383" s="28">
        <f t="shared" si="201"/>
        <v>0</v>
      </c>
      <c r="AK383" s="17">
        <f t="shared" si="209"/>
        <v>0</v>
      </c>
      <c r="AL383" s="28">
        <f t="shared" si="202"/>
        <v>0</v>
      </c>
      <c r="AM383" s="17">
        <f t="shared" si="217"/>
        <v>0</v>
      </c>
      <c r="AN383" s="28">
        <f t="shared" si="237"/>
        <v>0</v>
      </c>
      <c r="AO383" s="17">
        <f t="shared" si="238"/>
        <v>0</v>
      </c>
      <c r="AP383" s="28">
        <f t="shared" si="239"/>
        <v>0</v>
      </c>
      <c r="AQ383" s="17">
        <f t="shared" si="240"/>
        <v>0</v>
      </c>
      <c r="AR383" s="28">
        <f t="shared" si="241"/>
        <v>0</v>
      </c>
      <c r="AS383" s="17">
        <f t="shared" si="213"/>
        <v>0</v>
      </c>
      <c r="AT383" s="28">
        <f t="shared" si="214"/>
        <v>0</v>
      </c>
      <c r="AU383" s="17">
        <f t="shared" si="215"/>
        <v>0</v>
      </c>
      <c r="AV383" s="28">
        <f t="shared" si="216"/>
        <v>0</v>
      </c>
      <c r="AW383" s="17">
        <f t="shared" si="203"/>
        <v>0</v>
      </c>
      <c r="AX383" s="28">
        <f t="shared" si="204"/>
        <v>0</v>
      </c>
      <c r="AY383" s="17">
        <f t="shared" si="205"/>
        <v>0</v>
      </c>
      <c r="AZ383" s="28">
        <f t="shared" si="206"/>
        <v>0</v>
      </c>
      <c r="BA383" s="27">
        <f t="shared" si="226"/>
        <v>0</v>
      </c>
      <c r="BB383" s="27">
        <f t="shared" si="208"/>
        <v>0</v>
      </c>
      <c r="BC383" s="27">
        <f t="shared" si="210"/>
        <v>0</v>
      </c>
      <c r="BD383" s="27">
        <f t="shared" si="211"/>
        <v>0</v>
      </c>
      <c r="BE383" s="27">
        <f t="shared" si="212"/>
        <v>0</v>
      </c>
      <c r="BF383" s="29">
        <f t="shared" si="228"/>
        <v>0</v>
      </c>
      <c r="BH383" s="30">
        <f t="shared" si="207"/>
        <v>0</v>
      </c>
      <c r="BM383" s="2">
        <f t="shared" si="242"/>
        <v>0</v>
      </c>
      <c r="BP383" s="2">
        <f t="shared" si="243"/>
        <v>0</v>
      </c>
    </row>
    <row r="384" spans="1:68" ht="14.45" hidden="1" customHeight="1" x14ac:dyDescent="0.25">
      <c r="A384" s="33" t="s">
        <v>405</v>
      </c>
      <c r="B384" s="23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13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5"/>
      <c r="AD384" s="25">
        <f t="shared" si="227"/>
        <v>0</v>
      </c>
      <c r="AE384" s="26" t="s">
        <v>42</v>
      </c>
      <c r="AF384" s="27"/>
      <c r="AG384" s="17">
        <f t="shared" si="198"/>
        <v>0</v>
      </c>
      <c r="AH384" s="28">
        <f t="shared" si="199"/>
        <v>0</v>
      </c>
      <c r="AI384" s="17">
        <f t="shared" si="200"/>
        <v>0</v>
      </c>
      <c r="AJ384" s="28">
        <f t="shared" si="201"/>
        <v>0</v>
      </c>
      <c r="AK384" s="17">
        <f t="shared" si="209"/>
        <v>0</v>
      </c>
      <c r="AL384" s="28">
        <f t="shared" si="202"/>
        <v>0</v>
      </c>
      <c r="AM384" s="17">
        <f t="shared" si="217"/>
        <v>0</v>
      </c>
      <c r="AN384" s="28">
        <f t="shared" si="237"/>
        <v>0</v>
      </c>
      <c r="AO384" s="17">
        <f t="shared" si="238"/>
        <v>0</v>
      </c>
      <c r="AP384" s="28">
        <f t="shared" si="239"/>
        <v>0</v>
      </c>
      <c r="AQ384" s="17">
        <f t="shared" si="240"/>
        <v>0</v>
      </c>
      <c r="AR384" s="28">
        <f t="shared" si="241"/>
        <v>0</v>
      </c>
      <c r="AS384" s="17">
        <f t="shared" si="213"/>
        <v>0</v>
      </c>
      <c r="AT384" s="28">
        <f t="shared" si="214"/>
        <v>0</v>
      </c>
      <c r="AU384" s="17">
        <f t="shared" si="215"/>
        <v>0</v>
      </c>
      <c r="AV384" s="28">
        <f t="shared" si="216"/>
        <v>0</v>
      </c>
      <c r="AW384" s="17">
        <f t="shared" si="203"/>
        <v>0</v>
      </c>
      <c r="AX384" s="28">
        <f t="shared" si="204"/>
        <v>0</v>
      </c>
      <c r="AY384" s="17">
        <f t="shared" si="205"/>
        <v>0</v>
      </c>
      <c r="AZ384" s="28">
        <f t="shared" si="206"/>
        <v>0</v>
      </c>
      <c r="BA384" s="27">
        <f t="shared" si="226"/>
        <v>0</v>
      </c>
      <c r="BB384" s="27">
        <f t="shared" si="208"/>
        <v>0</v>
      </c>
      <c r="BC384" s="27">
        <f t="shared" si="210"/>
        <v>0</v>
      </c>
      <c r="BD384" s="27">
        <f t="shared" si="211"/>
        <v>0</v>
      </c>
      <c r="BE384" s="27">
        <f t="shared" si="212"/>
        <v>0</v>
      </c>
      <c r="BF384" s="29">
        <f t="shared" si="228"/>
        <v>0</v>
      </c>
      <c r="BH384" s="30">
        <f t="shared" si="207"/>
        <v>0</v>
      </c>
      <c r="BM384" s="2">
        <f t="shared" si="242"/>
        <v>0</v>
      </c>
      <c r="BP384" s="2">
        <f t="shared" si="243"/>
        <v>0</v>
      </c>
    </row>
    <row r="385" spans="1:68" ht="14.45" hidden="1" customHeight="1" x14ac:dyDescent="0.25">
      <c r="A385" s="33" t="s">
        <v>406</v>
      </c>
      <c r="B385" s="23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13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5"/>
      <c r="AD385" s="25">
        <f t="shared" si="227"/>
        <v>0</v>
      </c>
      <c r="AE385" s="26" t="s">
        <v>42</v>
      </c>
      <c r="AF385" s="27"/>
      <c r="AG385" s="17">
        <f t="shared" si="198"/>
        <v>0</v>
      </c>
      <c r="AH385" s="28">
        <f t="shared" si="199"/>
        <v>0</v>
      </c>
      <c r="AI385" s="17">
        <f t="shared" si="200"/>
        <v>0</v>
      </c>
      <c r="AJ385" s="28">
        <f t="shared" si="201"/>
        <v>0</v>
      </c>
      <c r="AK385" s="17">
        <f t="shared" si="209"/>
        <v>0</v>
      </c>
      <c r="AL385" s="28">
        <f t="shared" si="202"/>
        <v>0</v>
      </c>
      <c r="AM385" s="17">
        <f t="shared" si="217"/>
        <v>0</v>
      </c>
      <c r="AN385" s="28">
        <f t="shared" si="237"/>
        <v>0</v>
      </c>
      <c r="AO385" s="17">
        <f t="shared" si="238"/>
        <v>0</v>
      </c>
      <c r="AP385" s="28">
        <f t="shared" si="239"/>
        <v>0</v>
      </c>
      <c r="AQ385" s="17">
        <f t="shared" si="240"/>
        <v>0</v>
      </c>
      <c r="AR385" s="28">
        <f t="shared" si="241"/>
        <v>0</v>
      </c>
      <c r="AS385" s="17">
        <f t="shared" si="213"/>
        <v>0</v>
      </c>
      <c r="AT385" s="28">
        <f t="shared" si="214"/>
        <v>0</v>
      </c>
      <c r="AU385" s="17">
        <f t="shared" si="215"/>
        <v>0</v>
      </c>
      <c r="AV385" s="28">
        <f t="shared" si="216"/>
        <v>0</v>
      </c>
      <c r="AW385" s="17">
        <f t="shared" si="203"/>
        <v>0</v>
      </c>
      <c r="AX385" s="28">
        <f t="shared" si="204"/>
        <v>0</v>
      </c>
      <c r="AY385" s="17">
        <f t="shared" si="205"/>
        <v>0</v>
      </c>
      <c r="AZ385" s="28">
        <f t="shared" si="206"/>
        <v>0</v>
      </c>
      <c r="BA385" s="27">
        <f t="shared" si="226"/>
        <v>0</v>
      </c>
      <c r="BB385" s="27">
        <f t="shared" si="208"/>
        <v>0</v>
      </c>
      <c r="BC385" s="27">
        <f t="shared" si="210"/>
        <v>0</v>
      </c>
      <c r="BD385" s="27">
        <f t="shared" si="211"/>
        <v>0</v>
      </c>
      <c r="BE385" s="27">
        <f t="shared" si="212"/>
        <v>0</v>
      </c>
      <c r="BF385" s="29">
        <f t="shared" si="228"/>
        <v>0</v>
      </c>
      <c r="BH385" s="30">
        <f t="shared" si="207"/>
        <v>0</v>
      </c>
      <c r="BM385" s="2">
        <f t="shared" si="242"/>
        <v>0</v>
      </c>
      <c r="BP385" s="2">
        <f t="shared" si="243"/>
        <v>0</v>
      </c>
    </row>
    <row r="386" spans="1:68" ht="14.45" hidden="1" customHeight="1" x14ac:dyDescent="0.25">
      <c r="A386" s="33" t="s">
        <v>407</v>
      </c>
      <c r="B386" s="23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13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5"/>
      <c r="AD386" s="25">
        <f t="shared" si="227"/>
        <v>0</v>
      </c>
      <c r="AE386" s="26" t="s">
        <v>42</v>
      </c>
      <c r="AF386" s="27"/>
      <c r="AG386" s="17">
        <f t="shared" si="198"/>
        <v>0</v>
      </c>
      <c r="AH386" s="28">
        <f t="shared" si="199"/>
        <v>0</v>
      </c>
      <c r="AI386" s="17">
        <f t="shared" si="200"/>
        <v>0</v>
      </c>
      <c r="AJ386" s="28">
        <f t="shared" si="201"/>
        <v>0</v>
      </c>
      <c r="AK386" s="17">
        <f t="shared" si="209"/>
        <v>0</v>
      </c>
      <c r="AL386" s="28">
        <f t="shared" si="202"/>
        <v>0</v>
      </c>
      <c r="AM386" s="17">
        <f t="shared" si="217"/>
        <v>0</v>
      </c>
      <c r="AN386" s="28">
        <f t="shared" si="237"/>
        <v>0</v>
      </c>
      <c r="AO386" s="17">
        <f t="shared" si="238"/>
        <v>0</v>
      </c>
      <c r="AP386" s="28">
        <f t="shared" si="239"/>
        <v>0</v>
      </c>
      <c r="AQ386" s="17">
        <f t="shared" si="240"/>
        <v>0</v>
      </c>
      <c r="AR386" s="28">
        <f t="shared" si="241"/>
        <v>0</v>
      </c>
      <c r="AS386" s="17">
        <f t="shared" si="213"/>
        <v>0</v>
      </c>
      <c r="AT386" s="28">
        <f t="shared" si="214"/>
        <v>0</v>
      </c>
      <c r="AU386" s="17">
        <f t="shared" si="215"/>
        <v>0</v>
      </c>
      <c r="AV386" s="28">
        <f t="shared" si="216"/>
        <v>0</v>
      </c>
      <c r="AW386" s="17">
        <f t="shared" si="203"/>
        <v>0</v>
      </c>
      <c r="AX386" s="28">
        <f t="shared" si="204"/>
        <v>0</v>
      </c>
      <c r="AY386" s="17">
        <f t="shared" si="205"/>
        <v>0</v>
      </c>
      <c r="AZ386" s="28">
        <f t="shared" si="206"/>
        <v>0</v>
      </c>
      <c r="BA386" s="27">
        <f t="shared" si="226"/>
        <v>0</v>
      </c>
      <c r="BB386" s="27">
        <f t="shared" si="208"/>
        <v>0</v>
      </c>
      <c r="BC386" s="27">
        <f t="shared" si="210"/>
        <v>0</v>
      </c>
      <c r="BD386" s="27">
        <f t="shared" si="211"/>
        <v>0</v>
      </c>
      <c r="BE386" s="27">
        <f t="shared" si="212"/>
        <v>0</v>
      </c>
      <c r="BF386" s="29">
        <f t="shared" si="228"/>
        <v>0</v>
      </c>
      <c r="BH386" s="30">
        <f t="shared" si="207"/>
        <v>0</v>
      </c>
      <c r="BM386" s="2">
        <f t="shared" si="242"/>
        <v>0</v>
      </c>
      <c r="BP386" s="2">
        <f t="shared" si="243"/>
        <v>0</v>
      </c>
    </row>
    <row r="387" spans="1:68" ht="14.45" hidden="1" customHeight="1" x14ac:dyDescent="0.25">
      <c r="A387" s="33" t="s">
        <v>408</v>
      </c>
      <c r="B387" s="23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13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5"/>
      <c r="AD387" s="25">
        <f t="shared" si="227"/>
        <v>0</v>
      </c>
      <c r="AE387" s="26" t="s">
        <v>42</v>
      </c>
      <c r="AF387" s="27"/>
      <c r="AG387" s="17">
        <f t="shared" si="198"/>
        <v>0</v>
      </c>
      <c r="AH387" s="28">
        <f t="shared" si="199"/>
        <v>0</v>
      </c>
      <c r="AI387" s="17">
        <f t="shared" si="200"/>
        <v>0</v>
      </c>
      <c r="AJ387" s="28">
        <f t="shared" si="201"/>
        <v>0</v>
      </c>
      <c r="AK387" s="17">
        <f t="shared" si="209"/>
        <v>0</v>
      </c>
      <c r="AL387" s="28">
        <f t="shared" si="202"/>
        <v>0</v>
      </c>
      <c r="AM387" s="17">
        <f t="shared" si="217"/>
        <v>0</v>
      </c>
      <c r="AN387" s="28">
        <f t="shared" si="237"/>
        <v>0</v>
      </c>
      <c r="AO387" s="17">
        <f t="shared" si="238"/>
        <v>0</v>
      </c>
      <c r="AP387" s="28">
        <f t="shared" si="239"/>
        <v>0</v>
      </c>
      <c r="AQ387" s="17">
        <f t="shared" si="240"/>
        <v>0</v>
      </c>
      <c r="AR387" s="28">
        <f t="shared" si="241"/>
        <v>0</v>
      </c>
      <c r="AS387" s="17">
        <f t="shared" si="213"/>
        <v>0</v>
      </c>
      <c r="AT387" s="28">
        <f t="shared" si="214"/>
        <v>0</v>
      </c>
      <c r="AU387" s="17">
        <f t="shared" si="215"/>
        <v>0</v>
      </c>
      <c r="AV387" s="28">
        <f t="shared" si="216"/>
        <v>0</v>
      </c>
      <c r="AW387" s="17">
        <f t="shared" si="203"/>
        <v>0</v>
      </c>
      <c r="AX387" s="28">
        <f t="shared" si="204"/>
        <v>0</v>
      </c>
      <c r="AY387" s="17">
        <f t="shared" si="205"/>
        <v>0</v>
      </c>
      <c r="AZ387" s="28">
        <f t="shared" si="206"/>
        <v>0</v>
      </c>
      <c r="BA387" s="27">
        <f t="shared" si="226"/>
        <v>0</v>
      </c>
      <c r="BB387" s="27">
        <f t="shared" si="208"/>
        <v>0</v>
      </c>
      <c r="BC387" s="27">
        <f t="shared" si="210"/>
        <v>0</v>
      </c>
      <c r="BD387" s="27">
        <f t="shared" si="211"/>
        <v>0</v>
      </c>
      <c r="BE387" s="27">
        <f t="shared" si="212"/>
        <v>0</v>
      </c>
      <c r="BF387" s="29">
        <f t="shared" si="228"/>
        <v>0</v>
      </c>
      <c r="BH387" s="30">
        <f t="shared" si="207"/>
        <v>0</v>
      </c>
      <c r="BM387" s="2">
        <f t="shared" si="242"/>
        <v>0</v>
      </c>
      <c r="BP387" s="2">
        <f t="shared" si="243"/>
        <v>0</v>
      </c>
    </row>
    <row r="388" spans="1:68" ht="14.45" hidden="1" customHeight="1" x14ac:dyDescent="0.25">
      <c r="A388" s="33" t="s">
        <v>409</v>
      </c>
      <c r="B388" s="23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13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5"/>
      <c r="AD388" s="25">
        <f t="shared" si="227"/>
        <v>0</v>
      </c>
      <c r="AE388" s="26" t="s">
        <v>42</v>
      </c>
      <c r="AF388" s="27"/>
      <c r="AG388" s="17">
        <f t="shared" si="198"/>
        <v>0</v>
      </c>
      <c r="AH388" s="28">
        <f t="shared" si="199"/>
        <v>0</v>
      </c>
      <c r="AI388" s="17">
        <f t="shared" si="200"/>
        <v>0</v>
      </c>
      <c r="AJ388" s="28">
        <f t="shared" si="201"/>
        <v>0</v>
      </c>
      <c r="AK388" s="17">
        <f t="shared" si="209"/>
        <v>0</v>
      </c>
      <c r="AL388" s="28">
        <f t="shared" si="202"/>
        <v>0</v>
      </c>
      <c r="AM388" s="17">
        <f t="shared" si="217"/>
        <v>0</v>
      </c>
      <c r="AN388" s="28">
        <f t="shared" si="237"/>
        <v>0</v>
      </c>
      <c r="AO388" s="17">
        <f t="shared" si="238"/>
        <v>0</v>
      </c>
      <c r="AP388" s="28">
        <f t="shared" si="239"/>
        <v>0</v>
      </c>
      <c r="AQ388" s="17">
        <f t="shared" si="240"/>
        <v>0</v>
      </c>
      <c r="AR388" s="28">
        <f t="shared" si="241"/>
        <v>0</v>
      </c>
      <c r="AS388" s="17">
        <f t="shared" si="213"/>
        <v>0</v>
      </c>
      <c r="AT388" s="28">
        <f t="shared" si="214"/>
        <v>0</v>
      </c>
      <c r="AU388" s="17">
        <f t="shared" si="215"/>
        <v>0</v>
      </c>
      <c r="AV388" s="28">
        <f t="shared" si="216"/>
        <v>0</v>
      </c>
      <c r="AW388" s="17">
        <f t="shared" si="203"/>
        <v>0</v>
      </c>
      <c r="AX388" s="28">
        <f t="shared" si="204"/>
        <v>0</v>
      </c>
      <c r="AY388" s="17">
        <f t="shared" si="205"/>
        <v>0</v>
      </c>
      <c r="AZ388" s="28">
        <f t="shared" si="206"/>
        <v>0</v>
      </c>
      <c r="BA388" s="27">
        <f t="shared" si="226"/>
        <v>0</v>
      </c>
      <c r="BB388" s="27">
        <f t="shared" si="208"/>
        <v>0</v>
      </c>
      <c r="BC388" s="27">
        <f t="shared" si="210"/>
        <v>0</v>
      </c>
      <c r="BD388" s="27">
        <f t="shared" si="211"/>
        <v>0</v>
      </c>
      <c r="BE388" s="27">
        <f t="shared" si="212"/>
        <v>0</v>
      </c>
      <c r="BF388" s="29">
        <f t="shared" si="228"/>
        <v>0</v>
      </c>
      <c r="BH388" s="30">
        <f t="shared" si="207"/>
        <v>0</v>
      </c>
      <c r="BM388" s="2">
        <f t="shared" si="242"/>
        <v>0</v>
      </c>
      <c r="BP388" s="2">
        <f t="shared" si="243"/>
        <v>0</v>
      </c>
    </row>
    <row r="389" spans="1:68" ht="14.45" hidden="1" customHeight="1" x14ac:dyDescent="0.25">
      <c r="A389" s="33" t="s">
        <v>410</v>
      </c>
      <c r="B389" s="23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13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5"/>
      <c r="AD389" s="25">
        <f t="shared" si="227"/>
        <v>0</v>
      </c>
      <c r="AE389" s="26" t="s">
        <v>42</v>
      </c>
      <c r="AF389" s="27"/>
      <c r="AG389" s="17">
        <f t="shared" si="198"/>
        <v>0</v>
      </c>
      <c r="AH389" s="28">
        <f t="shared" si="199"/>
        <v>0</v>
      </c>
      <c r="AI389" s="17">
        <f t="shared" si="200"/>
        <v>0</v>
      </c>
      <c r="AJ389" s="28">
        <f t="shared" si="201"/>
        <v>0</v>
      </c>
      <c r="AK389" s="17">
        <f t="shared" si="209"/>
        <v>0</v>
      </c>
      <c r="AL389" s="28">
        <f t="shared" si="202"/>
        <v>0</v>
      </c>
      <c r="AM389" s="17">
        <f t="shared" si="217"/>
        <v>0</v>
      </c>
      <c r="AN389" s="28">
        <f t="shared" si="237"/>
        <v>0</v>
      </c>
      <c r="AO389" s="17">
        <f t="shared" si="238"/>
        <v>0</v>
      </c>
      <c r="AP389" s="28">
        <f t="shared" si="239"/>
        <v>0</v>
      </c>
      <c r="AQ389" s="17">
        <f t="shared" si="240"/>
        <v>0</v>
      </c>
      <c r="AR389" s="28">
        <f t="shared" si="241"/>
        <v>0</v>
      </c>
      <c r="AS389" s="17">
        <f t="shared" si="213"/>
        <v>0</v>
      </c>
      <c r="AT389" s="28">
        <f t="shared" si="214"/>
        <v>0</v>
      </c>
      <c r="AU389" s="17">
        <f t="shared" si="215"/>
        <v>0</v>
      </c>
      <c r="AV389" s="28">
        <f t="shared" si="216"/>
        <v>0</v>
      </c>
      <c r="AW389" s="17">
        <f t="shared" si="203"/>
        <v>0</v>
      </c>
      <c r="AX389" s="28">
        <f t="shared" si="204"/>
        <v>0</v>
      </c>
      <c r="AY389" s="17">
        <f t="shared" si="205"/>
        <v>0</v>
      </c>
      <c r="AZ389" s="28">
        <f t="shared" si="206"/>
        <v>0</v>
      </c>
      <c r="BA389" s="27">
        <f t="shared" si="226"/>
        <v>0</v>
      </c>
      <c r="BB389" s="27">
        <f t="shared" si="208"/>
        <v>0</v>
      </c>
      <c r="BC389" s="27">
        <f t="shared" si="210"/>
        <v>0</v>
      </c>
      <c r="BD389" s="27">
        <f t="shared" si="211"/>
        <v>0</v>
      </c>
      <c r="BE389" s="27">
        <f t="shared" si="212"/>
        <v>0</v>
      </c>
      <c r="BF389" s="29">
        <f t="shared" si="228"/>
        <v>0</v>
      </c>
      <c r="BH389" s="30">
        <f t="shared" si="207"/>
        <v>0</v>
      </c>
      <c r="BM389" s="2">
        <f t="shared" si="242"/>
        <v>0</v>
      </c>
      <c r="BP389" s="2">
        <f t="shared" si="243"/>
        <v>0</v>
      </c>
    </row>
    <row r="390" spans="1:68" ht="14.45" hidden="1" customHeight="1" x14ac:dyDescent="0.25">
      <c r="A390" s="33" t="s">
        <v>411</v>
      </c>
      <c r="B390" s="23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13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5"/>
      <c r="AD390" s="25">
        <f t="shared" si="227"/>
        <v>0</v>
      </c>
      <c r="AE390" s="26" t="s">
        <v>42</v>
      </c>
      <c r="AF390" s="27"/>
      <c r="AG390" s="17">
        <f t="shared" si="198"/>
        <v>0</v>
      </c>
      <c r="AH390" s="28">
        <f t="shared" si="199"/>
        <v>0</v>
      </c>
      <c r="AI390" s="17">
        <f t="shared" si="200"/>
        <v>0</v>
      </c>
      <c r="AJ390" s="28">
        <f t="shared" si="201"/>
        <v>0</v>
      </c>
      <c r="AK390" s="17">
        <f t="shared" si="209"/>
        <v>0</v>
      </c>
      <c r="AL390" s="28">
        <f t="shared" si="202"/>
        <v>0</v>
      </c>
      <c r="AM390" s="17">
        <f t="shared" si="217"/>
        <v>0</v>
      </c>
      <c r="AN390" s="28">
        <f t="shared" si="237"/>
        <v>0</v>
      </c>
      <c r="AO390" s="17">
        <f t="shared" si="238"/>
        <v>0</v>
      </c>
      <c r="AP390" s="28">
        <f t="shared" si="239"/>
        <v>0</v>
      </c>
      <c r="AQ390" s="17">
        <f t="shared" si="240"/>
        <v>0</v>
      </c>
      <c r="AR390" s="28">
        <f t="shared" si="241"/>
        <v>0</v>
      </c>
      <c r="AS390" s="17">
        <f t="shared" si="213"/>
        <v>0</v>
      </c>
      <c r="AT390" s="28">
        <f t="shared" si="214"/>
        <v>0</v>
      </c>
      <c r="AU390" s="17">
        <f t="shared" si="215"/>
        <v>0</v>
      </c>
      <c r="AV390" s="28">
        <f t="shared" si="216"/>
        <v>0</v>
      </c>
      <c r="AW390" s="17">
        <f t="shared" si="203"/>
        <v>0</v>
      </c>
      <c r="AX390" s="28">
        <f t="shared" si="204"/>
        <v>0</v>
      </c>
      <c r="AY390" s="17">
        <f t="shared" si="205"/>
        <v>0</v>
      </c>
      <c r="AZ390" s="28">
        <f t="shared" si="206"/>
        <v>0</v>
      </c>
      <c r="BA390" s="27">
        <f t="shared" si="226"/>
        <v>0</v>
      </c>
      <c r="BB390" s="27">
        <f t="shared" si="208"/>
        <v>0</v>
      </c>
      <c r="BC390" s="27">
        <f t="shared" si="210"/>
        <v>0</v>
      </c>
      <c r="BD390" s="27">
        <f t="shared" si="211"/>
        <v>0</v>
      </c>
      <c r="BE390" s="27">
        <f t="shared" si="212"/>
        <v>0</v>
      </c>
      <c r="BF390" s="29">
        <f t="shared" si="228"/>
        <v>0</v>
      </c>
      <c r="BH390" s="30">
        <f t="shared" si="207"/>
        <v>0</v>
      </c>
      <c r="BM390" s="2">
        <f t="shared" si="242"/>
        <v>0</v>
      </c>
      <c r="BP390" s="2">
        <f t="shared" si="243"/>
        <v>0</v>
      </c>
    </row>
    <row r="391" spans="1:68" ht="14.45" hidden="1" customHeight="1" x14ac:dyDescent="0.25">
      <c r="A391" s="33" t="s">
        <v>412</v>
      </c>
      <c r="B391" s="23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13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5"/>
      <c r="AD391" s="25">
        <f t="shared" si="227"/>
        <v>0</v>
      </c>
      <c r="AE391" s="26" t="s">
        <v>42</v>
      </c>
      <c r="AF391" s="27"/>
      <c r="AG391" s="17">
        <f t="shared" si="198"/>
        <v>0</v>
      </c>
      <c r="AH391" s="28">
        <f t="shared" si="199"/>
        <v>0</v>
      </c>
      <c r="AI391" s="17">
        <f t="shared" si="200"/>
        <v>0</v>
      </c>
      <c r="AJ391" s="28">
        <f t="shared" si="201"/>
        <v>0</v>
      </c>
      <c r="AK391" s="17">
        <f t="shared" si="209"/>
        <v>0</v>
      </c>
      <c r="AL391" s="28">
        <f t="shared" si="202"/>
        <v>0</v>
      </c>
      <c r="AM391" s="17">
        <f t="shared" si="217"/>
        <v>0</v>
      </c>
      <c r="AN391" s="28">
        <f t="shared" si="237"/>
        <v>0</v>
      </c>
      <c r="AO391" s="17">
        <f t="shared" si="238"/>
        <v>0</v>
      </c>
      <c r="AP391" s="28">
        <f t="shared" si="239"/>
        <v>0</v>
      </c>
      <c r="AQ391" s="17">
        <f t="shared" si="240"/>
        <v>0</v>
      </c>
      <c r="AR391" s="28">
        <f t="shared" si="241"/>
        <v>0</v>
      </c>
      <c r="AS391" s="17">
        <f t="shared" si="213"/>
        <v>0</v>
      </c>
      <c r="AT391" s="28">
        <f t="shared" si="214"/>
        <v>0</v>
      </c>
      <c r="AU391" s="17">
        <f t="shared" si="215"/>
        <v>0</v>
      </c>
      <c r="AV391" s="28">
        <f t="shared" si="216"/>
        <v>0</v>
      </c>
      <c r="AW391" s="17">
        <f t="shared" si="203"/>
        <v>0</v>
      </c>
      <c r="AX391" s="28">
        <f t="shared" si="204"/>
        <v>0</v>
      </c>
      <c r="AY391" s="17">
        <f t="shared" si="205"/>
        <v>0</v>
      </c>
      <c r="AZ391" s="28">
        <f t="shared" si="206"/>
        <v>0</v>
      </c>
      <c r="BA391" s="27">
        <f t="shared" si="226"/>
        <v>0</v>
      </c>
      <c r="BB391" s="27">
        <f t="shared" si="208"/>
        <v>0</v>
      </c>
      <c r="BC391" s="27">
        <f t="shared" si="210"/>
        <v>0</v>
      </c>
      <c r="BD391" s="27">
        <f t="shared" si="211"/>
        <v>0</v>
      </c>
      <c r="BE391" s="27">
        <f t="shared" si="212"/>
        <v>0</v>
      </c>
      <c r="BF391" s="29">
        <f t="shared" si="228"/>
        <v>0</v>
      </c>
      <c r="BH391" s="30">
        <f t="shared" si="207"/>
        <v>0</v>
      </c>
      <c r="BM391" s="2">
        <f t="shared" si="242"/>
        <v>0</v>
      </c>
      <c r="BP391" s="2">
        <f t="shared" si="243"/>
        <v>0</v>
      </c>
    </row>
    <row r="392" spans="1:68" ht="14.45" hidden="1" customHeight="1" x14ac:dyDescent="0.25">
      <c r="A392" s="33" t="s">
        <v>413</v>
      </c>
      <c r="B392" s="23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13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5"/>
      <c r="AD392" s="25">
        <f t="shared" si="227"/>
        <v>0</v>
      </c>
      <c r="AE392" s="26" t="s">
        <v>42</v>
      </c>
      <c r="AF392" s="27"/>
      <c r="AG392" s="17">
        <f t="shared" ref="AG392:AG454" si="244">SUM(F392:L392)-G392</f>
        <v>0</v>
      </c>
      <c r="AH392" s="28">
        <f t="shared" ref="AH392:AH454" si="245">+AG392*AF392</f>
        <v>0</v>
      </c>
      <c r="AI392" s="17">
        <f t="shared" ref="AI392:AI454" si="246">SUM(T392:Y392)-U392</f>
        <v>0</v>
      </c>
      <c r="AJ392" s="28">
        <f t="shared" ref="AJ392:AJ454" si="247">+AI392*AF392</f>
        <v>0</v>
      </c>
      <c r="AK392" s="17">
        <f t="shared" si="209"/>
        <v>0</v>
      </c>
      <c r="AL392" s="28">
        <f t="shared" ref="AL392:AL454" si="248">+AK392*AF392</f>
        <v>0</v>
      </c>
      <c r="AM392" s="17">
        <f t="shared" si="217"/>
        <v>0</v>
      </c>
      <c r="AN392" s="28">
        <f t="shared" si="237"/>
        <v>0</v>
      </c>
      <c r="AO392" s="17">
        <f t="shared" si="238"/>
        <v>0</v>
      </c>
      <c r="AP392" s="28">
        <f t="shared" si="239"/>
        <v>0</v>
      </c>
      <c r="AQ392" s="17">
        <f t="shared" si="240"/>
        <v>0</v>
      </c>
      <c r="AR392" s="28">
        <f t="shared" si="241"/>
        <v>0</v>
      </c>
      <c r="AS392" s="17">
        <f t="shared" si="213"/>
        <v>0</v>
      </c>
      <c r="AT392" s="28">
        <f t="shared" si="214"/>
        <v>0</v>
      </c>
      <c r="AU392" s="17">
        <f t="shared" si="215"/>
        <v>0</v>
      </c>
      <c r="AV392" s="28">
        <f t="shared" si="216"/>
        <v>0</v>
      </c>
      <c r="AW392" s="17">
        <f t="shared" ref="AW392:AW454" si="249">+D392</f>
        <v>0</v>
      </c>
      <c r="AX392" s="28">
        <f t="shared" ref="AX392:AX454" si="250">+AW392*AF392</f>
        <v>0</v>
      </c>
      <c r="AY392" s="17">
        <f t="shared" ref="AY392:AY454" si="251">+R392</f>
        <v>0</v>
      </c>
      <c r="AZ392" s="28">
        <f t="shared" ref="AZ392:AZ454" si="252">+AY392*AF392</f>
        <v>0</v>
      </c>
      <c r="BA392" s="27">
        <f t="shared" si="226"/>
        <v>0</v>
      </c>
      <c r="BB392" s="27">
        <f t="shared" si="208"/>
        <v>0</v>
      </c>
      <c r="BC392" s="27">
        <f t="shared" si="210"/>
        <v>0</v>
      </c>
      <c r="BD392" s="27">
        <f t="shared" si="211"/>
        <v>0</v>
      </c>
      <c r="BE392" s="27">
        <f t="shared" si="212"/>
        <v>0</v>
      </c>
      <c r="BF392" s="29">
        <f t="shared" si="228"/>
        <v>0</v>
      </c>
      <c r="BH392" s="30">
        <f t="shared" ref="BH392:BH454" si="253">+B392+C392+E392+G392+M392+N392+O392+(P392+Q392+S392+U392+Z392+AA392+AB392)</f>
        <v>0</v>
      </c>
      <c r="BM392" s="2">
        <f t="shared" si="242"/>
        <v>0</v>
      </c>
      <c r="BP392" s="2">
        <f t="shared" si="243"/>
        <v>0</v>
      </c>
    </row>
    <row r="393" spans="1:68" ht="14.45" hidden="1" customHeight="1" x14ac:dyDescent="0.25">
      <c r="A393" s="33" t="s">
        <v>414</v>
      </c>
      <c r="B393" s="23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13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5"/>
      <c r="AD393" s="25">
        <f t="shared" si="227"/>
        <v>0</v>
      </c>
      <c r="AE393" s="26" t="s">
        <v>42</v>
      </c>
      <c r="AF393" s="27"/>
      <c r="AG393" s="17">
        <f t="shared" si="244"/>
        <v>0</v>
      </c>
      <c r="AH393" s="28">
        <f t="shared" si="245"/>
        <v>0</v>
      </c>
      <c r="AI393" s="17">
        <f t="shared" si="246"/>
        <v>0</v>
      </c>
      <c r="AJ393" s="28">
        <f t="shared" si="247"/>
        <v>0</v>
      </c>
      <c r="AK393" s="17">
        <f t="shared" si="209"/>
        <v>0</v>
      </c>
      <c r="AL393" s="28">
        <f t="shared" si="248"/>
        <v>0</v>
      </c>
      <c r="AM393" s="17">
        <f t="shared" si="217"/>
        <v>0</v>
      </c>
      <c r="AN393" s="28">
        <f t="shared" si="237"/>
        <v>0</v>
      </c>
      <c r="AO393" s="17">
        <f t="shared" si="238"/>
        <v>0</v>
      </c>
      <c r="AP393" s="28">
        <f t="shared" si="239"/>
        <v>0</v>
      </c>
      <c r="AQ393" s="17">
        <f t="shared" si="240"/>
        <v>0</v>
      </c>
      <c r="AR393" s="28">
        <f t="shared" si="241"/>
        <v>0</v>
      </c>
      <c r="AS393" s="17">
        <f t="shared" si="213"/>
        <v>0</v>
      </c>
      <c r="AT393" s="28">
        <f t="shared" si="214"/>
        <v>0</v>
      </c>
      <c r="AU393" s="17">
        <f t="shared" si="215"/>
        <v>0</v>
      </c>
      <c r="AV393" s="28">
        <f t="shared" si="216"/>
        <v>0</v>
      </c>
      <c r="AW393" s="17">
        <f t="shared" si="249"/>
        <v>0</v>
      </c>
      <c r="AX393" s="28">
        <f t="shared" si="250"/>
        <v>0</v>
      </c>
      <c r="AY393" s="17">
        <f t="shared" si="251"/>
        <v>0</v>
      </c>
      <c r="AZ393" s="28">
        <f t="shared" si="252"/>
        <v>0</v>
      </c>
      <c r="BA393" s="27">
        <f t="shared" si="226"/>
        <v>0</v>
      </c>
      <c r="BB393" s="27">
        <f t="shared" ref="BB393:BB455" si="254">+AL393+AN393</f>
        <v>0</v>
      </c>
      <c r="BC393" s="27">
        <f t="shared" si="210"/>
        <v>0</v>
      </c>
      <c r="BD393" s="27">
        <f t="shared" si="211"/>
        <v>0</v>
      </c>
      <c r="BE393" s="27">
        <f t="shared" si="212"/>
        <v>0</v>
      </c>
      <c r="BF393" s="29">
        <f t="shared" si="228"/>
        <v>0</v>
      </c>
      <c r="BH393" s="30">
        <f t="shared" si="253"/>
        <v>0</v>
      </c>
      <c r="BM393" s="2">
        <f t="shared" si="242"/>
        <v>0</v>
      </c>
      <c r="BP393" s="2">
        <f t="shared" si="243"/>
        <v>0</v>
      </c>
    </row>
    <row r="394" spans="1:68" ht="14.45" hidden="1" customHeight="1" x14ac:dyDescent="0.25">
      <c r="A394" s="33" t="s">
        <v>415</v>
      </c>
      <c r="B394" s="23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13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5"/>
      <c r="AD394" s="25">
        <f t="shared" si="227"/>
        <v>0</v>
      </c>
      <c r="AE394" s="26" t="s">
        <v>42</v>
      </c>
      <c r="AF394" s="27"/>
      <c r="AG394" s="17">
        <f t="shared" si="244"/>
        <v>0</v>
      </c>
      <c r="AH394" s="28">
        <f t="shared" si="245"/>
        <v>0</v>
      </c>
      <c r="AI394" s="17">
        <f t="shared" si="246"/>
        <v>0</v>
      </c>
      <c r="AJ394" s="28">
        <f t="shared" si="247"/>
        <v>0</v>
      </c>
      <c r="AK394" s="17">
        <f t="shared" ref="AK394:AK456" si="255">+N394+O394+G394</f>
        <v>0</v>
      </c>
      <c r="AL394" s="28">
        <f t="shared" si="248"/>
        <v>0</v>
      </c>
      <c r="AM394" s="17">
        <f t="shared" si="217"/>
        <v>0</v>
      </c>
      <c r="AN394" s="28">
        <f t="shared" si="237"/>
        <v>0</v>
      </c>
      <c r="AO394" s="17">
        <f t="shared" si="238"/>
        <v>0</v>
      </c>
      <c r="AP394" s="28">
        <f t="shared" si="239"/>
        <v>0</v>
      </c>
      <c r="AQ394" s="17">
        <f t="shared" si="240"/>
        <v>0</v>
      </c>
      <c r="AR394" s="28">
        <f t="shared" si="241"/>
        <v>0</v>
      </c>
      <c r="AS394" s="17">
        <f t="shared" si="213"/>
        <v>0</v>
      </c>
      <c r="AT394" s="28">
        <f t="shared" si="214"/>
        <v>0</v>
      </c>
      <c r="AU394" s="17">
        <f t="shared" si="215"/>
        <v>0</v>
      </c>
      <c r="AV394" s="28">
        <f t="shared" si="216"/>
        <v>0</v>
      </c>
      <c r="AW394" s="17">
        <f t="shared" si="249"/>
        <v>0</v>
      </c>
      <c r="AX394" s="28">
        <f t="shared" si="250"/>
        <v>0</v>
      </c>
      <c r="AY394" s="17">
        <f t="shared" si="251"/>
        <v>0</v>
      </c>
      <c r="AZ394" s="28">
        <f t="shared" si="252"/>
        <v>0</v>
      </c>
      <c r="BA394" s="27">
        <f t="shared" si="226"/>
        <v>0</v>
      </c>
      <c r="BB394" s="27">
        <f t="shared" si="254"/>
        <v>0</v>
      </c>
      <c r="BC394" s="27">
        <f t="shared" ref="BC394:BC456" si="256">+AP394+AR394</f>
        <v>0</v>
      </c>
      <c r="BD394" s="27">
        <f t="shared" ref="BD394:BD456" si="257">+AT394+AV394</f>
        <v>0</v>
      </c>
      <c r="BE394" s="27">
        <f t="shared" ref="BE394:BE456" si="258">+AX394+AZ394</f>
        <v>0</v>
      </c>
      <c r="BF394" s="29">
        <f t="shared" si="228"/>
        <v>0</v>
      </c>
      <c r="BH394" s="30">
        <f t="shared" si="253"/>
        <v>0</v>
      </c>
      <c r="BM394" s="2">
        <f t="shared" si="242"/>
        <v>0</v>
      </c>
      <c r="BP394" s="2">
        <f t="shared" si="243"/>
        <v>0</v>
      </c>
    </row>
    <row r="395" spans="1:68" ht="14.45" hidden="1" customHeight="1" x14ac:dyDescent="0.25">
      <c r="A395" s="33" t="s">
        <v>416</v>
      </c>
      <c r="B395" s="23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13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5"/>
      <c r="AD395" s="25">
        <f t="shared" si="227"/>
        <v>0</v>
      </c>
      <c r="AE395" s="26" t="s">
        <v>42</v>
      </c>
      <c r="AF395" s="27"/>
      <c r="AG395" s="17">
        <f t="shared" si="244"/>
        <v>0</v>
      </c>
      <c r="AH395" s="28">
        <f t="shared" si="245"/>
        <v>0</v>
      </c>
      <c r="AI395" s="17">
        <f t="shared" si="246"/>
        <v>0</v>
      </c>
      <c r="AJ395" s="28">
        <f t="shared" si="247"/>
        <v>0</v>
      </c>
      <c r="AK395" s="17">
        <f t="shared" si="255"/>
        <v>0</v>
      </c>
      <c r="AL395" s="28">
        <f t="shared" si="248"/>
        <v>0</v>
      </c>
      <c r="AM395" s="17">
        <f t="shared" si="217"/>
        <v>0</v>
      </c>
      <c r="AN395" s="28">
        <f t="shared" si="237"/>
        <v>0</v>
      </c>
      <c r="AO395" s="17">
        <f t="shared" si="238"/>
        <v>0</v>
      </c>
      <c r="AP395" s="28">
        <f t="shared" si="239"/>
        <v>0</v>
      </c>
      <c r="AQ395" s="17">
        <f t="shared" si="240"/>
        <v>0</v>
      </c>
      <c r="AR395" s="28">
        <f t="shared" si="241"/>
        <v>0</v>
      </c>
      <c r="AS395" s="17">
        <f t="shared" ref="AS395:AS457" si="259">+C395</f>
        <v>0</v>
      </c>
      <c r="AT395" s="28">
        <f t="shared" ref="AT395:AT457" si="260">+AS395*AF395</f>
        <v>0</v>
      </c>
      <c r="AU395" s="17">
        <f t="shared" ref="AU395:AU457" si="261">+Q395</f>
        <v>0</v>
      </c>
      <c r="AV395" s="28">
        <f t="shared" ref="AV395:AV457" si="262">+AU395*AF395</f>
        <v>0</v>
      </c>
      <c r="AW395" s="17">
        <f t="shared" si="249"/>
        <v>0</v>
      </c>
      <c r="AX395" s="28">
        <f t="shared" si="250"/>
        <v>0</v>
      </c>
      <c r="AY395" s="17">
        <f t="shared" si="251"/>
        <v>0</v>
      </c>
      <c r="AZ395" s="28">
        <f t="shared" si="252"/>
        <v>0</v>
      </c>
      <c r="BA395" s="27">
        <f t="shared" si="226"/>
        <v>0</v>
      </c>
      <c r="BB395" s="27">
        <f t="shared" si="254"/>
        <v>0</v>
      </c>
      <c r="BC395" s="27">
        <f t="shared" si="256"/>
        <v>0</v>
      </c>
      <c r="BD395" s="27">
        <f t="shared" si="257"/>
        <v>0</v>
      </c>
      <c r="BE395" s="27">
        <f t="shared" si="258"/>
        <v>0</v>
      </c>
      <c r="BF395" s="29">
        <f t="shared" si="228"/>
        <v>0</v>
      </c>
      <c r="BH395" s="30">
        <f t="shared" si="253"/>
        <v>0</v>
      </c>
      <c r="BM395" s="2">
        <f t="shared" si="242"/>
        <v>0</v>
      </c>
      <c r="BP395" s="2">
        <f t="shared" si="243"/>
        <v>0</v>
      </c>
    </row>
    <row r="396" spans="1:68" ht="14.45" hidden="1" customHeight="1" x14ac:dyDescent="0.25">
      <c r="A396" s="33" t="s">
        <v>417</v>
      </c>
      <c r="B396" s="23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13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5"/>
      <c r="AD396" s="25">
        <f t="shared" si="227"/>
        <v>0</v>
      </c>
      <c r="AE396" s="26" t="s">
        <v>42</v>
      </c>
      <c r="AF396" s="27"/>
      <c r="AG396" s="17">
        <f t="shared" si="244"/>
        <v>0</v>
      </c>
      <c r="AH396" s="28">
        <f t="shared" si="245"/>
        <v>0</v>
      </c>
      <c r="AI396" s="17">
        <f t="shared" si="246"/>
        <v>0</v>
      </c>
      <c r="AJ396" s="28">
        <f t="shared" si="247"/>
        <v>0</v>
      </c>
      <c r="AK396" s="17">
        <f t="shared" si="255"/>
        <v>0</v>
      </c>
      <c r="AL396" s="28">
        <f t="shared" si="248"/>
        <v>0</v>
      </c>
      <c r="AM396" s="17">
        <f t="shared" ref="AM396:AM458" si="263">+AA396+AB396+U396</f>
        <v>0</v>
      </c>
      <c r="AN396" s="28">
        <f t="shared" si="237"/>
        <v>0</v>
      </c>
      <c r="AO396" s="17">
        <f t="shared" si="238"/>
        <v>0</v>
      </c>
      <c r="AP396" s="28">
        <f t="shared" si="239"/>
        <v>0</v>
      </c>
      <c r="AQ396" s="17">
        <f t="shared" si="240"/>
        <v>0</v>
      </c>
      <c r="AR396" s="28">
        <f t="shared" si="241"/>
        <v>0</v>
      </c>
      <c r="AS396" s="17">
        <f t="shared" si="259"/>
        <v>0</v>
      </c>
      <c r="AT396" s="28">
        <f t="shared" si="260"/>
        <v>0</v>
      </c>
      <c r="AU396" s="17">
        <f t="shared" si="261"/>
        <v>0</v>
      </c>
      <c r="AV396" s="28">
        <f t="shared" si="262"/>
        <v>0</v>
      </c>
      <c r="AW396" s="17">
        <f t="shared" si="249"/>
        <v>0</v>
      </c>
      <c r="AX396" s="28">
        <f t="shared" si="250"/>
        <v>0</v>
      </c>
      <c r="AY396" s="17">
        <f t="shared" si="251"/>
        <v>0</v>
      </c>
      <c r="AZ396" s="28">
        <f t="shared" si="252"/>
        <v>0</v>
      </c>
      <c r="BA396" s="27">
        <f t="shared" si="226"/>
        <v>0</v>
      </c>
      <c r="BB396" s="27">
        <f t="shared" si="254"/>
        <v>0</v>
      </c>
      <c r="BC396" s="27">
        <f t="shared" si="256"/>
        <v>0</v>
      </c>
      <c r="BD396" s="27">
        <f t="shared" si="257"/>
        <v>0</v>
      </c>
      <c r="BE396" s="27">
        <f t="shared" si="258"/>
        <v>0</v>
      </c>
      <c r="BF396" s="29">
        <f t="shared" si="228"/>
        <v>0</v>
      </c>
      <c r="BH396" s="30">
        <f t="shared" si="253"/>
        <v>0</v>
      </c>
      <c r="BM396" s="2">
        <f t="shared" si="242"/>
        <v>0</v>
      </c>
      <c r="BP396" s="2">
        <f t="shared" si="243"/>
        <v>0</v>
      </c>
    </row>
    <row r="397" spans="1:68" ht="14.45" customHeight="1" x14ac:dyDescent="0.25">
      <c r="A397" s="33" t="s">
        <v>418</v>
      </c>
      <c r="B397" s="23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13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>
        <v>2</v>
      </c>
      <c r="AC397" s="25"/>
      <c r="AD397" s="39">
        <f>SUM(B397:AB397)</f>
        <v>2</v>
      </c>
      <c r="AE397" s="26" t="s">
        <v>42</v>
      </c>
      <c r="AF397" s="27">
        <v>40000</v>
      </c>
      <c r="AG397" s="17">
        <f t="shared" si="244"/>
        <v>0</v>
      </c>
      <c r="AH397" s="28">
        <f t="shared" si="245"/>
        <v>0</v>
      </c>
      <c r="AI397" s="17">
        <f t="shared" si="246"/>
        <v>0</v>
      </c>
      <c r="AJ397" s="28">
        <f t="shared" si="247"/>
        <v>0</v>
      </c>
      <c r="AK397" s="17">
        <f t="shared" si="255"/>
        <v>0</v>
      </c>
      <c r="AL397" s="28">
        <f t="shared" si="248"/>
        <v>0</v>
      </c>
      <c r="AM397" s="17">
        <f t="shared" si="263"/>
        <v>2</v>
      </c>
      <c r="AN397" s="28">
        <f t="shared" si="237"/>
        <v>80000</v>
      </c>
      <c r="AO397" s="17">
        <f t="shared" si="238"/>
        <v>0</v>
      </c>
      <c r="AP397" s="28"/>
      <c r="AQ397" s="17">
        <f t="shared" si="240"/>
        <v>0</v>
      </c>
      <c r="AR397" s="28"/>
      <c r="AS397" s="17">
        <f t="shared" si="259"/>
        <v>0</v>
      </c>
      <c r="AT397" s="28">
        <f t="shared" si="260"/>
        <v>0</v>
      </c>
      <c r="AU397" s="17">
        <f t="shared" si="261"/>
        <v>0</v>
      </c>
      <c r="AV397" s="28">
        <f t="shared" si="262"/>
        <v>0</v>
      </c>
      <c r="AW397" s="17">
        <f t="shared" si="249"/>
        <v>0</v>
      </c>
      <c r="AX397" s="28">
        <f t="shared" si="250"/>
        <v>0</v>
      </c>
      <c r="AY397" s="17">
        <f t="shared" si="251"/>
        <v>0</v>
      </c>
      <c r="AZ397" s="28">
        <f t="shared" si="252"/>
        <v>0</v>
      </c>
      <c r="BA397" s="27">
        <f t="shared" si="226"/>
        <v>0</v>
      </c>
      <c r="BB397" s="27">
        <f t="shared" si="254"/>
        <v>80000</v>
      </c>
      <c r="BC397" s="27">
        <f t="shared" si="256"/>
        <v>0</v>
      </c>
      <c r="BD397" s="27">
        <f t="shared" si="257"/>
        <v>0</v>
      </c>
      <c r="BE397" s="27">
        <f t="shared" si="258"/>
        <v>0</v>
      </c>
      <c r="BF397" s="29">
        <f t="shared" si="228"/>
        <v>80000</v>
      </c>
      <c r="BH397" s="30">
        <f t="shared" si="253"/>
        <v>2</v>
      </c>
    </row>
    <row r="398" spans="1:68" hidden="1" x14ac:dyDescent="0.25">
      <c r="A398" s="33" t="s">
        <v>419</v>
      </c>
      <c r="B398" s="23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13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5"/>
      <c r="AD398" s="25">
        <f>SUM(B398:S398)</f>
        <v>0</v>
      </c>
      <c r="AE398" s="26" t="s">
        <v>42</v>
      </c>
      <c r="AF398" s="42"/>
      <c r="AG398" s="17">
        <f t="shared" si="244"/>
        <v>0</v>
      </c>
      <c r="AH398" s="28">
        <f t="shared" si="245"/>
        <v>0</v>
      </c>
      <c r="AI398" s="17">
        <f t="shared" si="246"/>
        <v>0</v>
      </c>
      <c r="AJ398" s="28">
        <f t="shared" si="247"/>
        <v>0</v>
      </c>
      <c r="AK398" s="17">
        <f t="shared" si="255"/>
        <v>0</v>
      </c>
      <c r="AL398" s="28">
        <f t="shared" si="248"/>
        <v>0</v>
      </c>
      <c r="AM398" s="17">
        <f t="shared" si="263"/>
        <v>0</v>
      </c>
      <c r="AN398" s="28">
        <f t="shared" si="237"/>
        <v>0</v>
      </c>
      <c r="AO398" s="17">
        <f t="shared" si="238"/>
        <v>0</v>
      </c>
      <c r="AP398" s="28">
        <f>+AO398*AF398</f>
        <v>0</v>
      </c>
      <c r="AQ398" s="17">
        <f t="shared" si="240"/>
        <v>0</v>
      </c>
      <c r="AR398" s="28">
        <f>+AQ398*AF398</f>
        <v>0</v>
      </c>
      <c r="AS398" s="17">
        <f t="shared" si="259"/>
        <v>0</v>
      </c>
      <c r="AT398" s="28">
        <f t="shared" si="260"/>
        <v>0</v>
      </c>
      <c r="AU398" s="17">
        <f t="shared" si="261"/>
        <v>0</v>
      </c>
      <c r="AV398" s="28">
        <f t="shared" si="262"/>
        <v>0</v>
      </c>
      <c r="AW398" s="17">
        <f t="shared" si="249"/>
        <v>0</v>
      </c>
      <c r="AX398" s="28">
        <f t="shared" si="250"/>
        <v>0</v>
      </c>
      <c r="AY398" s="17">
        <f t="shared" si="251"/>
        <v>0</v>
      </c>
      <c r="AZ398" s="28">
        <f t="shared" si="252"/>
        <v>0</v>
      </c>
      <c r="BA398" s="27">
        <f t="shared" si="226"/>
        <v>0</v>
      </c>
      <c r="BB398" s="27">
        <f t="shared" si="254"/>
        <v>0</v>
      </c>
      <c r="BC398" s="27">
        <f t="shared" si="256"/>
        <v>0</v>
      </c>
      <c r="BD398" s="27">
        <f t="shared" si="257"/>
        <v>0</v>
      </c>
      <c r="BE398" s="27">
        <f t="shared" si="258"/>
        <v>0</v>
      </c>
      <c r="BF398" s="29">
        <f t="shared" si="228"/>
        <v>0</v>
      </c>
      <c r="BH398" s="30">
        <f t="shared" si="253"/>
        <v>0</v>
      </c>
      <c r="BM398" s="2">
        <f>SUM(B398:S398)</f>
        <v>0</v>
      </c>
      <c r="BP398" s="2">
        <f>SUM(B398:S398)</f>
        <v>0</v>
      </c>
    </row>
    <row r="399" spans="1:68" x14ac:dyDescent="0.25">
      <c r="A399" s="33" t="s">
        <v>417</v>
      </c>
      <c r="B399" s="23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13">
        <v>12</v>
      </c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5"/>
      <c r="AD399" s="25"/>
      <c r="AE399" s="26"/>
      <c r="AF399" s="27">
        <v>75000</v>
      </c>
      <c r="AG399" s="17">
        <f t="shared" si="244"/>
        <v>0</v>
      </c>
      <c r="AH399" s="28">
        <f t="shared" si="245"/>
        <v>0</v>
      </c>
      <c r="AI399" s="17">
        <f t="shared" si="246"/>
        <v>0</v>
      </c>
      <c r="AJ399" s="28">
        <f t="shared" si="247"/>
        <v>0</v>
      </c>
      <c r="AK399" s="17">
        <f t="shared" si="255"/>
        <v>12</v>
      </c>
      <c r="AL399" s="28">
        <f t="shared" si="248"/>
        <v>900000</v>
      </c>
      <c r="AM399" s="17">
        <f t="shared" si="263"/>
        <v>0</v>
      </c>
      <c r="AN399" s="28">
        <f t="shared" si="237"/>
        <v>0</v>
      </c>
      <c r="AO399" s="17"/>
      <c r="AP399" s="28"/>
      <c r="AQ399" s="17"/>
      <c r="AR399" s="28"/>
      <c r="AS399" s="17">
        <f t="shared" si="259"/>
        <v>0</v>
      </c>
      <c r="AT399" s="28">
        <f t="shared" si="260"/>
        <v>0</v>
      </c>
      <c r="AU399" s="17">
        <f t="shared" si="261"/>
        <v>0</v>
      </c>
      <c r="AV399" s="28">
        <f t="shared" si="262"/>
        <v>0</v>
      </c>
      <c r="AW399" s="17">
        <f t="shared" si="249"/>
        <v>0</v>
      </c>
      <c r="AX399" s="28">
        <f t="shared" si="250"/>
        <v>0</v>
      </c>
      <c r="AY399" s="17">
        <f t="shared" si="251"/>
        <v>0</v>
      </c>
      <c r="AZ399" s="28">
        <f t="shared" si="252"/>
        <v>0</v>
      </c>
      <c r="BA399" s="27"/>
      <c r="BB399" s="27">
        <f t="shared" si="254"/>
        <v>900000</v>
      </c>
      <c r="BC399" s="27">
        <f t="shared" si="256"/>
        <v>0</v>
      </c>
      <c r="BD399" s="27">
        <f t="shared" si="257"/>
        <v>0</v>
      </c>
      <c r="BE399" s="27">
        <f t="shared" si="258"/>
        <v>0</v>
      </c>
      <c r="BF399" s="29"/>
      <c r="BH399" s="30">
        <f t="shared" si="253"/>
        <v>12</v>
      </c>
    </row>
    <row r="400" spans="1:68" x14ac:dyDescent="0.25">
      <c r="A400" s="33" t="s">
        <v>420</v>
      </c>
      <c r="B400" s="23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13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5"/>
      <c r="AD400" s="25"/>
      <c r="AE400" s="26"/>
      <c r="AF400" s="27"/>
      <c r="AG400" s="17">
        <f t="shared" si="244"/>
        <v>0</v>
      </c>
      <c r="AH400" s="28">
        <f t="shared" si="245"/>
        <v>0</v>
      </c>
      <c r="AI400" s="17">
        <f t="shared" si="246"/>
        <v>0</v>
      </c>
      <c r="AJ400" s="28">
        <f t="shared" si="247"/>
        <v>0</v>
      </c>
      <c r="AK400" s="17">
        <f t="shared" si="255"/>
        <v>0</v>
      </c>
      <c r="AL400" s="28">
        <f t="shared" si="248"/>
        <v>0</v>
      </c>
      <c r="AM400" s="17">
        <f t="shared" si="263"/>
        <v>0</v>
      </c>
      <c r="AN400" s="28">
        <f t="shared" si="237"/>
        <v>0</v>
      </c>
      <c r="AO400" s="17"/>
      <c r="AP400" s="28"/>
      <c r="AQ400" s="17"/>
      <c r="AR400" s="28"/>
      <c r="AS400" s="17">
        <f t="shared" si="259"/>
        <v>0</v>
      </c>
      <c r="AT400" s="28">
        <f t="shared" si="260"/>
        <v>0</v>
      </c>
      <c r="AU400" s="17">
        <f t="shared" si="261"/>
        <v>0</v>
      </c>
      <c r="AV400" s="28">
        <f t="shared" si="262"/>
        <v>0</v>
      </c>
      <c r="AW400" s="17">
        <f t="shared" si="249"/>
        <v>0</v>
      </c>
      <c r="AX400" s="28">
        <f t="shared" si="250"/>
        <v>0</v>
      </c>
      <c r="AY400" s="17">
        <f t="shared" si="251"/>
        <v>0</v>
      </c>
      <c r="AZ400" s="28">
        <f t="shared" si="252"/>
        <v>0</v>
      </c>
      <c r="BA400" s="27"/>
      <c r="BB400" s="27">
        <f t="shared" si="254"/>
        <v>0</v>
      </c>
      <c r="BC400" s="27">
        <f t="shared" si="256"/>
        <v>0</v>
      </c>
      <c r="BD400" s="27">
        <f t="shared" si="257"/>
        <v>0</v>
      </c>
      <c r="BE400" s="27">
        <f t="shared" si="258"/>
        <v>0</v>
      </c>
      <c r="BF400" s="29"/>
      <c r="BH400" s="30">
        <f t="shared" si="253"/>
        <v>0</v>
      </c>
    </row>
    <row r="401" spans="1:68" x14ac:dyDescent="0.25">
      <c r="A401" s="33" t="s">
        <v>421</v>
      </c>
      <c r="B401" s="23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13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5"/>
      <c r="AD401" s="25">
        <f>SUM(B401:S401)</f>
        <v>0</v>
      </c>
      <c r="AE401" s="26" t="s">
        <v>42</v>
      </c>
      <c r="AF401" s="34">
        <v>94975</v>
      </c>
      <c r="AG401" s="17">
        <f t="shared" si="244"/>
        <v>0</v>
      </c>
      <c r="AH401" s="28">
        <f t="shared" si="245"/>
        <v>0</v>
      </c>
      <c r="AI401" s="17">
        <f t="shared" si="246"/>
        <v>0</v>
      </c>
      <c r="AJ401" s="28">
        <f t="shared" si="247"/>
        <v>0</v>
      </c>
      <c r="AK401" s="17">
        <f t="shared" si="255"/>
        <v>0</v>
      </c>
      <c r="AL401" s="28">
        <f t="shared" si="248"/>
        <v>0</v>
      </c>
      <c r="AM401" s="17">
        <f t="shared" si="263"/>
        <v>0</v>
      </c>
      <c r="AN401" s="28">
        <f t="shared" si="237"/>
        <v>0</v>
      </c>
      <c r="AO401" s="17">
        <f t="shared" ref="AO401:AO422" si="264">+B401</f>
        <v>0</v>
      </c>
      <c r="AP401" s="28">
        <f>+AO401*AF401</f>
        <v>0</v>
      </c>
      <c r="AQ401" s="17">
        <f t="shared" ref="AQ401:AQ422" si="265">+P401</f>
        <v>0</v>
      </c>
      <c r="AR401" s="28">
        <f>+AQ401*AF401</f>
        <v>0</v>
      </c>
      <c r="AS401" s="17">
        <f t="shared" si="259"/>
        <v>0</v>
      </c>
      <c r="AT401" s="28">
        <f t="shared" si="260"/>
        <v>0</v>
      </c>
      <c r="AU401" s="17">
        <f t="shared" si="261"/>
        <v>0</v>
      </c>
      <c r="AV401" s="28">
        <f t="shared" si="262"/>
        <v>0</v>
      </c>
      <c r="AW401" s="17">
        <f t="shared" si="249"/>
        <v>0</v>
      </c>
      <c r="AX401" s="28">
        <f t="shared" si="250"/>
        <v>0</v>
      </c>
      <c r="AY401" s="17">
        <f t="shared" si="251"/>
        <v>0</v>
      </c>
      <c r="AZ401" s="28">
        <f t="shared" si="252"/>
        <v>0</v>
      </c>
      <c r="BA401" s="27">
        <f t="shared" si="226"/>
        <v>0</v>
      </c>
      <c r="BB401" s="27">
        <f t="shared" si="254"/>
        <v>0</v>
      </c>
      <c r="BC401" s="27">
        <f t="shared" si="256"/>
        <v>0</v>
      </c>
      <c r="BD401" s="27">
        <f t="shared" si="257"/>
        <v>0</v>
      </c>
      <c r="BE401" s="27">
        <f t="shared" si="258"/>
        <v>0</v>
      </c>
      <c r="BF401" s="29">
        <f t="shared" si="228"/>
        <v>0</v>
      </c>
      <c r="BH401" s="30">
        <f t="shared" si="253"/>
        <v>0</v>
      </c>
      <c r="BM401" s="2">
        <f>SUM(B401:S401)</f>
        <v>0</v>
      </c>
      <c r="BP401" s="2">
        <f>SUM(B401:S401)</f>
        <v>0</v>
      </c>
    </row>
    <row r="402" spans="1:68" x14ac:dyDescent="0.25">
      <c r="A402" s="33" t="s">
        <v>422</v>
      </c>
      <c r="B402" s="23"/>
      <c r="C402" s="24"/>
      <c r="D402" s="24"/>
      <c r="E402" s="24"/>
      <c r="F402" s="24"/>
      <c r="G402" s="24">
        <v>120</v>
      </c>
      <c r="H402" s="24"/>
      <c r="I402" s="24"/>
      <c r="J402" s="24"/>
      <c r="K402" s="24"/>
      <c r="L402" s="24"/>
      <c r="M402" s="24"/>
      <c r="N402" s="24"/>
      <c r="O402" s="13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5"/>
      <c r="AD402" s="25">
        <f>SUM(B402:AB402)</f>
        <v>120</v>
      </c>
      <c r="AE402" s="26" t="s">
        <v>42</v>
      </c>
      <c r="AF402" s="27">
        <v>19800</v>
      </c>
      <c r="AG402" s="17">
        <f t="shared" si="244"/>
        <v>0</v>
      </c>
      <c r="AH402" s="28">
        <f t="shared" si="245"/>
        <v>0</v>
      </c>
      <c r="AI402" s="17">
        <f t="shared" si="246"/>
        <v>0</v>
      </c>
      <c r="AJ402" s="28">
        <f t="shared" si="247"/>
        <v>0</v>
      </c>
      <c r="AK402" s="17">
        <f t="shared" si="255"/>
        <v>120</v>
      </c>
      <c r="AL402" s="28">
        <f t="shared" si="248"/>
        <v>2376000</v>
      </c>
      <c r="AM402" s="17">
        <f t="shared" si="263"/>
        <v>0</v>
      </c>
      <c r="AN402" s="28">
        <f t="shared" si="237"/>
        <v>0</v>
      </c>
      <c r="AO402" s="17">
        <f t="shared" si="264"/>
        <v>0</v>
      </c>
      <c r="AP402" s="28">
        <f>+AO402*AF402</f>
        <v>0</v>
      </c>
      <c r="AQ402" s="17">
        <f t="shared" si="265"/>
        <v>0</v>
      </c>
      <c r="AR402" s="28">
        <f>+AQ402*AF402</f>
        <v>0</v>
      </c>
      <c r="AS402" s="17">
        <f t="shared" si="259"/>
        <v>0</v>
      </c>
      <c r="AT402" s="28">
        <f t="shared" si="260"/>
        <v>0</v>
      </c>
      <c r="AU402" s="17">
        <f t="shared" si="261"/>
        <v>0</v>
      </c>
      <c r="AV402" s="28">
        <f t="shared" si="262"/>
        <v>0</v>
      </c>
      <c r="AW402" s="17">
        <f t="shared" si="249"/>
        <v>0</v>
      </c>
      <c r="AX402" s="28">
        <f t="shared" si="250"/>
        <v>0</v>
      </c>
      <c r="AY402" s="17">
        <f t="shared" si="251"/>
        <v>0</v>
      </c>
      <c r="AZ402" s="28">
        <f t="shared" si="252"/>
        <v>0</v>
      </c>
      <c r="BA402" s="27">
        <f t="shared" si="226"/>
        <v>0</v>
      </c>
      <c r="BB402" s="27">
        <f t="shared" si="254"/>
        <v>2376000</v>
      </c>
      <c r="BC402" s="27">
        <f t="shared" si="256"/>
        <v>0</v>
      </c>
      <c r="BD402" s="27">
        <f t="shared" si="257"/>
        <v>0</v>
      </c>
      <c r="BE402" s="27">
        <f t="shared" si="258"/>
        <v>0</v>
      </c>
      <c r="BF402" s="29">
        <f t="shared" si="228"/>
        <v>2376000</v>
      </c>
      <c r="BH402" s="30">
        <f t="shared" si="253"/>
        <v>120</v>
      </c>
      <c r="BM402" s="2">
        <f>SUM(B402:S402)</f>
        <v>120</v>
      </c>
      <c r="BP402" s="2">
        <f>SUM(B402:S402)</f>
        <v>120</v>
      </c>
    </row>
    <row r="403" spans="1:68" x14ac:dyDescent="0.25">
      <c r="A403" s="33" t="s">
        <v>423</v>
      </c>
      <c r="B403" s="23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13">
        <v>54</v>
      </c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5"/>
      <c r="AD403" s="25">
        <f>SUM(B403:S403)</f>
        <v>54</v>
      </c>
      <c r="AE403" s="26" t="s">
        <v>42</v>
      </c>
      <c r="AF403" s="27">
        <v>17000</v>
      </c>
      <c r="AG403" s="17">
        <f t="shared" si="244"/>
        <v>0</v>
      </c>
      <c r="AH403" s="28">
        <f t="shared" si="245"/>
        <v>0</v>
      </c>
      <c r="AI403" s="17">
        <f t="shared" si="246"/>
        <v>0</v>
      </c>
      <c r="AJ403" s="28">
        <f t="shared" si="247"/>
        <v>0</v>
      </c>
      <c r="AK403" s="17">
        <f t="shared" si="255"/>
        <v>54</v>
      </c>
      <c r="AL403" s="28">
        <f t="shared" si="248"/>
        <v>918000</v>
      </c>
      <c r="AM403" s="17">
        <f t="shared" si="263"/>
        <v>0</v>
      </c>
      <c r="AN403" s="28">
        <f t="shared" si="237"/>
        <v>0</v>
      </c>
      <c r="AO403" s="17">
        <f t="shared" si="264"/>
        <v>0</v>
      </c>
      <c r="AP403" s="28">
        <f>+AO403*AF403</f>
        <v>0</v>
      </c>
      <c r="AQ403" s="17">
        <f t="shared" si="265"/>
        <v>0</v>
      </c>
      <c r="AR403" s="28">
        <f>+AQ403*AF403</f>
        <v>0</v>
      </c>
      <c r="AS403" s="17">
        <f t="shared" si="259"/>
        <v>0</v>
      </c>
      <c r="AT403" s="28">
        <f t="shared" si="260"/>
        <v>0</v>
      </c>
      <c r="AU403" s="17">
        <f t="shared" si="261"/>
        <v>0</v>
      </c>
      <c r="AV403" s="28">
        <f t="shared" si="262"/>
        <v>0</v>
      </c>
      <c r="AW403" s="17">
        <f t="shared" si="249"/>
        <v>0</v>
      </c>
      <c r="AX403" s="28">
        <f t="shared" si="250"/>
        <v>0</v>
      </c>
      <c r="AY403" s="17">
        <f t="shared" si="251"/>
        <v>0</v>
      </c>
      <c r="AZ403" s="28">
        <f t="shared" si="252"/>
        <v>0</v>
      </c>
      <c r="BA403" s="27">
        <f t="shared" si="226"/>
        <v>0</v>
      </c>
      <c r="BB403" s="27">
        <f t="shared" si="254"/>
        <v>918000</v>
      </c>
      <c r="BC403" s="27">
        <f t="shared" si="256"/>
        <v>0</v>
      </c>
      <c r="BD403" s="27">
        <f t="shared" si="257"/>
        <v>0</v>
      </c>
      <c r="BE403" s="27">
        <f t="shared" si="258"/>
        <v>0</v>
      </c>
      <c r="BF403" s="29">
        <f t="shared" si="228"/>
        <v>918000</v>
      </c>
      <c r="BH403" s="30">
        <f t="shared" si="253"/>
        <v>54</v>
      </c>
      <c r="BM403" s="2">
        <f>SUM(B403:S403)</f>
        <v>54</v>
      </c>
      <c r="BP403" s="2">
        <f>SUM(B403:S403)</f>
        <v>54</v>
      </c>
    </row>
    <row r="404" spans="1:68" x14ac:dyDescent="0.25">
      <c r="A404" s="33" t="s">
        <v>424</v>
      </c>
      <c r="B404" s="23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13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>
        <v>4</v>
      </c>
      <c r="AC404" s="25"/>
      <c r="AD404" s="39">
        <f>SUM(B404:AB404)</f>
        <v>4</v>
      </c>
      <c r="AE404" s="26" t="s">
        <v>42</v>
      </c>
      <c r="AF404" s="42"/>
      <c r="AG404" s="17">
        <f t="shared" si="244"/>
        <v>0</v>
      </c>
      <c r="AH404" s="28">
        <f t="shared" si="245"/>
        <v>0</v>
      </c>
      <c r="AI404" s="17">
        <f t="shared" si="246"/>
        <v>0</v>
      </c>
      <c r="AJ404" s="28">
        <f t="shared" si="247"/>
        <v>0</v>
      </c>
      <c r="AK404" s="17">
        <f t="shared" si="255"/>
        <v>0</v>
      </c>
      <c r="AL404" s="28">
        <f t="shared" si="248"/>
        <v>0</v>
      </c>
      <c r="AM404" s="17">
        <f t="shared" si="263"/>
        <v>4</v>
      </c>
      <c r="AN404" s="28">
        <f t="shared" si="237"/>
        <v>0</v>
      </c>
      <c r="AO404" s="17">
        <f t="shared" si="264"/>
        <v>0</v>
      </c>
      <c r="AP404" s="28"/>
      <c r="AQ404" s="17">
        <f t="shared" si="265"/>
        <v>0</v>
      </c>
      <c r="AR404" s="28"/>
      <c r="AS404" s="17">
        <f t="shared" si="259"/>
        <v>0</v>
      </c>
      <c r="AT404" s="28">
        <f t="shared" si="260"/>
        <v>0</v>
      </c>
      <c r="AU404" s="17">
        <f t="shared" si="261"/>
        <v>0</v>
      </c>
      <c r="AV404" s="28">
        <f t="shared" si="262"/>
        <v>0</v>
      </c>
      <c r="AW404" s="17">
        <f t="shared" si="249"/>
        <v>0</v>
      </c>
      <c r="AX404" s="28">
        <f t="shared" si="250"/>
        <v>0</v>
      </c>
      <c r="AY404" s="17">
        <f t="shared" si="251"/>
        <v>0</v>
      </c>
      <c r="AZ404" s="28">
        <f t="shared" si="252"/>
        <v>0</v>
      </c>
      <c r="BA404" s="27">
        <f t="shared" si="226"/>
        <v>0</v>
      </c>
      <c r="BB404" s="27">
        <f t="shared" si="254"/>
        <v>0</v>
      </c>
      <c r="BC404" s="27">
        <f t="shared" si="256"/>
        <v>0</v>
      </c>
      <c r="BD404" s="27">
        <f t="shared" si="257"/>
        <v>0</v>
      </c>
      <c r="BE404" s="27">
        <f t="shared" si="258"/>
        <v>0</v>
      </c>
      <c r="BF404" s="29">
        <f t="shared" si="228"/>
        <v>0</v>
      </c>
      <c r="BH404" s="30">
        <f t="shared" si="253"/>
        <v>4</v>
      </c>
    </row>
    <row r="405" spans="1:68" x14ac:dyDescent="0.25">
      <c r="A405" s="33" t="s">
        <v>425</v>
      </c>
      <c r="B405" s="23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13">
        <v>124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5"/>
      <c r="AD405" s="25">
        <f t="shared" ref="AD405:AD416" si="266">SUM(B405:S405)</f>
        <v>124</v>
      </c>
      <c r="AE405" s="26" t="s">
        <v>42</v>
      </c>
      <c r="AF405" s="34">
        <v>12000</v>
      </c>
      <c r="AG405" s="17">
        <f t="shared" si="244"/>
        <v>0</v>
      </c>
      <c r="AH405" s="28">
        <f t="shared" si="245"/>
        <v>0</v>
      </c>
      <c r="AI405" s="17">
        <f t="shared" si="246"/>
        <v>0</v>
      </c>
      <c r="AJ405" s="28">
        <f t="shared" si="247"/>
        <v>0</v>
      </c>
      <c r="AK405" s="17">
        <f t="shared" si="255"/>
        <v>124</v>
      </c>
      <c r="AL405" s="28">
        <f t="shared" si="248"/>
        <v>1488000</v>
      </c>
      <c r="AM405" s="17">
        <f t="shared" si="263"/>
        <v>0</v>
      </c>
      <c r="AN405" s="28">
        <f t="shared" si="237"/>
        <v>0</v>
      </c>
      <c r="AO405" s="17">
        <f t="shared" si="264"/>
        <v>0</v>
      </c>
      <c r="AP405" s="28">
        <f t="shared" ref="AP405:AP416" si="267">+AO405*AF405</f>
        <v>0</v>
      </c>
      <c r="AQ405" s="17">
        <f t="shared" si="265"/>
        <v>0</v>
      </c>
      <c r="AR405" s="28">
        <f t="shared" ref="AR405:AR416" si="268">+AQ405*AF405</f>
        <v>0</v>
      </c>
      <c r="AS405" s="17">
        <f t="shared" si="259"/>
        <v>0</v>
      </c>
      <c r="AT405" s="28">
        <f t="shared" si="260"/>
        <v>0</v>
      </c>
      <c r="AU405" s="17">
        <f t="shared" si="261"/>
        <v>0</v>
      </c>
      <c r="AV405" s="28">
        <f t="shared" si="262"/>
        <v>0</v>
      </c>
      <c r="AW405" s="17">
        <f t="shared" si="249"/>
        <v>0</v>
      </c>
      <c r="AX405" s="28">
        <f t="shared" si="250"/>
        <v>0</v>
      </c>
      <c r="AY405" s="17">
        <f t="shared" si="251"/>
        <v>0</v>
      </c>
      <c r="AZ405" s="28">
        <f t="shared" si="252"/>
        <v>0</v>
      </c>
      <c r="BA405" s="27">
        <f t="shared" si="226"/>
        <v>0</v>
      </c>
      <c r="BB405" s="27">
        <f t="shared" si="254"/>
        <v>1488000</v>
      </c>
      <c r="BC405" s="27">
        <f t="shared" si="256"/>
        <v>0</v>
      </c>
      <c r="BD405" s="27">
        <f t="shared" si="257"/>
        <v>0</v>
      </c>
      <c r="BE405" s="27">
        <f t="shared" si="258"/>
        <v>0</v>
      </c>
      <c r="BF405" s="29">
        <f t="shared" si="228"/>
        <v>1488000</v>
      </c>
      <c r="BH405" s="30">
        <f t="shared" si="253"/>
        <v>124</v>
      </c>
      <c r="BM405" s="2">
        <f t="shared" ref="BM405:BM416" si="269">SUM(B405:S405)</f>
        <v>124</v>
      </c>
      <c r="BP405" s="2">
        <f t="shared" ref="BP405:BP416" si="270">SUM(B405:S405)</f>
        <v>124</v>
      </c>
    </row>
    <row r="406" spans="1:68" ht="14.45" hidden="1" customHeight="1" x14ac:dyDescent="0.25">
      <c r="A406" s="33" t="s">
        <v>426</v>
      </c>
      <c r="B406" s="23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13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5"/>
      <c r="AD406" s="25">
        <f t="shared" si="266"/>
        <v>0</v>
      </c>
      <c r="AE406" s="26" t="s">
        <v>42</v>
      </c>
      <c r="AF406" s="34"/>
      <c r="AG406" s="17">
        <f t="shared" si="244"/>
        <v>0</v>
      </c>
      <c r="AH406" s="28">
        <f t="shared" si="245"/>
        <v>0</v>
      </c>
      <c r="AI406" s="17">
        <f t="shared" si="246"/>
        <v>0</v>
      </c>
      <c r="AJ406" s="28">
        <f t="shared" si="247"/>
        <v>0</v>
      </c>
      <c r="AK406" s="17">
        <f t="shared" si="255"/>
        <v>0</v>
      </c>
      <c r="AL406" s="28">
        <f t="shared" si="248"/>
        <v>0</v>
      </c>
      <c r="AM406" s="17">
        <f t="shared" si="263"/>
        <v>0</v>
      </c>
      <c r="AN406" s="28">
        <f t="shared" si="237"/>
        <v>0</v>
      </c>
      <c r="AO406" s="17">
        <f t="shared" si="264"/>
        <v>0</v>
      </c>
      <c r="AP406" s="28">
        <f t="shared" si="267"/>
        <v>0</v>
      </c>
      <c r="AQ406" s="17">
        <f t="shared" si="265"/>
        <v>0</v>
      </c>
      <c r="AR406" s="28">
        <f t="shared" si="268"/>
        <v>0</v>
      </c>
      <c r="AS406" s="17">
        <f t="shared" si="259"/>
        <v>0</v>
      </c>
      <c r="AT406" s="28">
        <f t="shared" si="260"/>
        <v>0</v>
      </c>
      <c r="AU406" s="17">
        <f t="shared" si="261"/>
        <v>0</v>
      </c>
      <c r="AV406" s="28">
        <f t="shared" si="262"/>
        <v>0</v>
      </c>
      <c r="AW406" s="17">
        <f t="shared" si="249"/>
        <v>0</v>
      </c>
      <c r="AX406" s="28">
        <f t="shared" si="250"/>
        <v>0</v>
      </c>
      <c r="AY406" s="17">
        <f t="shared" si="251"/>
        <v>0</v>
      </c>
      <c r="AZ406" s="28">
        <f t="shared" si="252"/>
        <v>0</v>
      </c>
      <c r="BA406" s="27">
        <f t="shared" si="226"/>
        <v>0</v>
      </c>
      <c r="BB406" s="27">
        <f t="shared" si="254"/>
        <v>0</v>
      </c>
      <c r="BC406" s="27">
        <f t="shared" si="256"/>
        <v>0</v>
      </c>
      <c r="BD406" s="27">
        <f t="shared" si="257"/>
        <v>0</v>
      </c>
      <c r="BE406" s="27">
        <f t="shared" si="258"/>
        <v>0</v>
      </c>
      <c r="BF406" s="29">
        <f t="shared" si="228"/>
        <v>0</v>
      </c>
      <c r="BH406" s="30">
        <f t="shared" si="253"/>
        <v>0</v>
      </c>
      <c r="BM406" s="2">
        <f t="shared" si="269"/>
        <v>0</v>
      </c>
      <c r="BP406" s="2">
        <f t="shared" si="270"/>
        <v>0</v>
      </c>
    </row>
    <row r="407" spans="1:68" ht="14.45" hidden="1" customHeight="1" x14ac:dyDescent="0.25">
      <c r="A407" s="33" t="s">
        <v>427</v>
      </c>
      <c r="B407" s="23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13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5"/>
      <c r="AD407" s="25">
        <f t="shared" si="266"/>
        <v>0</v>
      </c>
      <c r="AE407" s="26" t="s">
        <v>42</v>
      </c>
      <c r="AF407" s="34"/>
      <c r="AG407" s="17">
        <f t="shared" si="244"/>
        <v>0</v>
      </c>
      <c r="AH407" s="28">
        <f t="shared" si="245"/>
        <v>0</v>
      </c>
      <c r="AI407" s="17">
        <f t="shared" si="246"/>
        <v>0</v>
      </c>
      <c r="AJ407" s="28">
        <f t="shared" si="247"/>
        <v>0</v>
      </c>
      <c r="AK407" s="17">
        <f t="shared" si="255"/>
        <v>0</v>
      </c>
      <c r="AL407" s="28">
        <f t="shared" si="248"/>
        <v>0</v>
      </c>
      <c r="AM407" s="17">
        <f t="shared" si="263"/>
        <v>0</v>
      </c>
      <c r="AN407" s="28">
        <f t="shared" si="237"/>
        <v>0</v>
      </c>
      <c r="AO407" s="17">
        <f t="shared" si="264"/>
        <v>0</v>
      </c>
      <c r="AP407" s="28">
        <f t="shared" si="267"/>
        <v>0</v>
      </c>
      <c r="AQ407" s="17">
        <f t="shared" si="265"/>
        <v>0</v>
      </c>
      <c r="AR407" s="28">
        <f t="shared" si="268"/>
        <v>0</v>
      </c>
      <c r="AS407" s="17">
        <f t="shared" si="259"/>
        <v>0</v>
      </c>
      <c r="AT407" s="28">
        <f t="shared" si="260"/>
        <v>0</v>
      </c>
      <c r="AU407" s="17">
        <f t="shared" si="261"/>
        <v>0</v>
      </c>
      <c r="AV407" s="28">
        <f t="shared" si="262"/>
        <v>0</v>
      </c>
      <c r="AW407" s="17">
        <f t="shared" si="249"/>
        <v>0</v>
      </c>
      <c r="AX407" s="28">
        <f t="shared" si="250"/>
        <v>0</v>
      </c>
      <c r="AY407" s="17">
        <f t="shared" si="251"/>
        <v>0</v>
      </c>
      <c r="AZ407" s="28">
        <f t="shared" si="252"/>
        <v>0</v>
      </c>
      <c r="BA407" s="27">
        <f t="shared" si="226"/>
        <v>0</v>
      </c>
      <c r="BB407" s="27">
        <f t="shared" si="254"/>
        <v>0</v>
      </c>
      <c r="BC407" s="27">
        <f t="shared" si="256"/>
        <v>0</v>
      </c>
      <c r="BD407" s="27">
        <f t="shared" si="257"/>
        <v>0</v>
      </c>
      <c r="BE407" s="27">
        <f t="shared" si="258"/>
        <v>0</v>
      </c>
      <c r="BF407" s="29">
        <f t="shared" si="228"/>
        <v>0</v>
      </c>
      <c r="BH407" s="30">
        <f t="shared" si="253"/>
        <v>0</v>
      </c>
      <c r="BM407" s="2">
        <f t="shared" si="269"/>
        <v>0</v>
      </c>
      <c r="BP407" s="2">
        <f t="shared" si="270"/>
        <v>0</v>
      </c>
    </row>
    <row r="408" spans="1:68" ht="14.45" hidden="1" customHeight="1" x14ac:dyDescent="0.25">
      <c r="A408" s="33" t="s">
        <v>428</v>
      </c>
      <c r="B408" s="23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13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5"/>
      <c r="AD408" s="25">
        <f t="shared" si="266"/>
        <v>0</v>
      </c>
      <c r="AE408" s="26" t="s">
        <v>42</v>
      </c>
      <c r="AF408" s="34"/>
      <c r="AG408" s="17">
        <f t="shared" si="244"/>
        <v>0</v>
      </c>
      <c r="AH408" s="28">
        <f t="shared" si="245"/>
        <v>0</v>
      </c>
      <c r="AI408" s="17">
        <f t="shared" si="246"/>
        <v>0</v>
      </c>
      <c r="AJ408" s="28">
        <f t="shared" si="247"/>
        <v>0</v>
      </c>
      <c r="AK408" s="17">
        <f t="shared" si="255"/>
        <v>0</v>
      </c>
      <c r="AL408" s="28">
        <f t="shared" si="248"/>
        <v>0</v>
      </c>
      <c r="AM408" s="17">
        <f t="shared" si="263"/>
        <v>0</v>
      </c>
      <c r="AN408" s="28">
        <f t="shared" si="237"/>
        <v>0</v>
      </c>
      <c r="AO408" s="17">
        <f t="shared" si="264"/>
        <v>0</v>
      </c>
      <c r="AP408" s="28">
        <f t="shared" si="267"/>
        <v>0</v>
      </c>
      <c r="AQ408" s="17">
        <f t="shared" si="265"/>
        <v>0</v>
      </c>
      <c r="AR408" s="28">
        <f t="shared" si="268"/>
        <v>0</v>
      </c>
      <c r="AS408" s="17">
        <f t="shared" si="259"/>
        <v>0</v>
      </c>
      <c r="AT408" s="28">
        <f t="shared" si="260"/>
        <v>0</v>
      </c>
      <c r="AU408" s="17">
        <f t="shared" si="261"/>
        <v>0</v>
      </c>
      <c r="AV408" s="28">
        <f t="shared" si="262"/>
        <v>0</v>
      </c>
      <c r="AW408" s="17">
        <f t="shared" si="249"/>
        <v>0</v>
      </c>
      <c r="AX408" s="28">
        <f t="shared" si="250"/>
        <v>0</v>
      </c>
      <c r="AY408" s="17">
        <f t="shared" si="251"/>
        <v>0</v>
      </c>
      <c r="AZ408" s="28">
        <f t="shared" si="252"/>
        <v>0</v>
      </c>
      <c r="BA408" s="27">
        <f t="shared" si="226"/>
        <v>0</v>
      </c>
      <c r="BB408" s="27">
        <f t="shared" si="254"/>
        <v>0</v>
      </c>
      <c r="BC408" s="27">
        <f t="shared" si="256"/>
        <v>0</v>
      </c>
      <c r="BD408" s="27">
        <f t="shared" si="257"/>
        <v>0</v>
      </c>
      <c r="BE408" s="27">
        <f t="shared" si="258"/>
        <v>0</v>
      </c>
      <c r="BF408" s="29">
        <f t="shared" si="228"/>
        <v>0</v>
      </c>
      <c r="BH408" s="30">
        <f t="shared" si="253"/>
        <v>0</v>
      </c>
      <c r="BM408" s="2">
        <f t="shared" si="269"/>
        <v>0</v>
      </c>
      <c r="BP408" s="2">
        <f t="shared" si="270"/>
        <v>0</v>
      </c>
    </row>
    <row r="409" spans="1:68" ht="14.45" hidden="1" customHeight="1" x14ac:dyDescent="0.25">
      <c r="A409" s="33" t="s">
        <v>429</v>
      </c>
      <c r="B409" s="23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13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5"/>
      <c r="AD409" s="25">
        <f t="shared" si="266"/>
        <v>0</v>
      </c>
      <c r="AE409" s="26" t="s">
        <v>42</v>
      </c>
      <c r="AF409" s="34"/>
      <c r="AG409" s="17">
        <f t="shared" si="244"/>
        <v>0</v>
      </c>
      <c r="AH409" s="28">
        <f t="shared" si="245"/>
        <v>0</v>
      </c>
      <c r="AI409" s="17">
        <f t="shared" si="246"/>
        <v>0</v>
      </c>
      <c r="AJ409" s="28">
        <f t="shared" si="247"/>
        <v>0</v>
      </c>
      <c r="AK409" s="17">
        <f t="shared" si="255"/>
        <v>0</v>
      </c>
      <c r="AL409" s="28">
        <f t="shared" si="248"/>
        <v>0</v>
      </c>
      <c r="AM409" s="17">
        <f t="shared" si="263"/>
        <v>0</v>
      </c>
      <c r="AN409" s="28">
        <f t="shared" si="237"/>
        <v>0</v>
      </c>
      <c r="AO409" s="17">
        <f t="shared" si="264"/>
        <v>0</v>
      </c>
      <c r="AP409" s="28">
        <f t="shared" si="267"/>
        <v>0</v>
      </c>
      <c r="AQ409" s="17">
        <f t="shared" si="265"/>
        <v>0</v>
      </c>
      <c r="AR409" s="28">
        <f t="shared" si="268"/>
        <v>0</v>
      </c>
      <c r="AS409" s="17">
        <f t="shared" si="259"/>
        <v>0</v>
      </c>
      <c r="AT409" s="28">
        <f t="shared" si="260"/>
        <v>0</v>
      </c>
      <c r="AU409" s="17">
        <f t="shared" si="261"/>
        <v>0</v>
      </c>
      <c r="AV409" s="28">
        <f t="shared" si="262"/>
        <v>0</v>
      </c>
      <c r="AW409" s="17">
        <f t="shared" si="249"/>
        <v>0</v>
      </c>
      <c r="AX409" s="28">
        <f t="shared" si="250"/>
        <v>0</v>
      </c>
      <c r="AY409" s="17">
        <f t="shared" si="251"/>
        <v>0</v>
      </c>
      <c r="AZ409" s="28">
        <f t="shared" si="252"/>
        <v>0</v>
      </c>
      <c r="BA409" s="27">
        <f t="shared" si="226"/>
        <v>0</v>
      </c>
      <c r="BB409" s="27">
        <f t="shared" si="254"/>
        <v>0</v>
      </c>
      <c r="BC409" s="27">
        <f t="shared" si="256"/>
        <v>0</v>
      </c>
      <c r="BD409" s="27">
        <f t="shared" si="257"/>
        <v>0</v>
      </c>
      <c r="BE409" s="27">
        <f t="shared" si="258"/>
        <v>0</v>
      </c>
      <c r="BF409" s="29">
        <f t="shared" si="228"/>
        <v>0</v>
      </c>
      <c r="BH409" s="30">
        <f t="shared" si="253"/>
        <v>0</v>
      </c>
      <c r="BM409" s="2">
        <f t="shared" si="269"/>
        <v>0</v>
      </c>
      <c r="BP409" s="2">
        <f t="shared" si="270"/>
        <v>0</v>
      </c>
    </row>
    <row r="410" spans="1:68" ht="14.45" hidden="1" customHeight="1" x14ac:dyDescent="0.25">
      <c r="A410" s="33" t="s">
        <v>430</v>
      </c>
      <c r="B410" s="23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13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5"/>
      <c r="AD410" s="25">
        <f t="shared" si="266"/>
        <v>0</v>
      </c>
      <c r="AE410" s="26" t="s">
        <v>42</v>
      </c>
      <c r="AF410" s="34"/>
      <c r="AG410" s="17">
        <f t="shared" si="244"/>
        <v>0</v>
      </c>
      <c r="AH410" s="28">
        <f t="shared" si="245"/>
        <v>0</v>
      </c>
      <c r="AI410" s="17">
        <f t="shared" si="246"/>
        <v>0</v>
      </c>
      <c r="AJ410" s="28">
        <f t="shared" si="247"/>
        <v>0</v>
      </c>
      <c r="AK410" s="17">
        <f t="shared" si="255"/>
        <v>0</v>
      </c>
      <c r="AL410" s="28">
        <f t="shared" si="248"/>
        <v>0</v>
      </c>
      <c r="AM410" s="17">
        <f t="shared" si="263"/>
        <v>0</v>
      </c>
      <c r="AN410" s="28">
        <f t="shared" si="237"/>
        <v>0</v>
      </c>
      <c r="AO410" s="17">
        <f t="shared" si="264"/>
        <v>0</v>
      </c>
      <c r="AP410" s="28">
        <f t="shared" si="267"/>
        <v>0</v>
      </c>
      <c r="AQ410" s="17">
        <f t="shared" si="265"/>
        <v>0</v>
      </c>
      <c r="AR410" s="28">
        <f t="shared" si="268"/>
        <v>0</v>
      </c>
      <c r="AS410" s="17">
        <f t="shared" si="259"/>
        <v>0</v>
      </c>
      <c r="AT410" s="28">
        <f t="shared" si="260"/>
        <v>0</v>
      </c>
      <c r="AU410" s="17">
        <f t="shared" si="261"/>
        <v>0</v>
      </c>
      <c r="AV410" s="28">
        <f t="shared" si="262"/>
        <v>0</v>
      </c>
      <c r="AW410" s="17">
        <f t="shared" si="249"/>
        <v>0</v>
      </c>
      <c r="AX410" s="28">
        <f t="shared" si="250"/>
        <v>0</v>
      </c>
      <c r="AY410" s="17">
        <f t="shared" si="251"/>
        <v>0</v>
      </c>
      <c r="AZ410" s="28">
        <f t="shared" si="252"/>
        <v>0</v>
      </c>
      <c r="BA410" s="27">
        <f t="shared" si="226"/>
        <v>0</v>
      </c>
      <c r="BB410" s="27">
        <f t="shared" si="254"/>
        <v>0</v>
      </c>
      <c r="BC410" s="27">
        <f t="shared" si="256"/>
        <v>0</v>
      </c>
      <c r="BD410" s="27">
        <f t="shared" si="257"/>
        <v>0</v>
      </c>
      <c r="BE410" s="27">
        <f t="shared" si="258"/>
        <v>0</v>
      </c>
      <c r="BF410" s="29">
        <f t="shared" si="228"/>
        <v>0</v>
      </c>
      <c r="BH410" s="30">
        <f t="shared" si="253"/>
        <v>0</v>
      </c>
      <c r="BM410" s="2">
        <f t="shared" si="269"/>
        <v>0</v>
      </c>
      <c r="BP410" s="2">
        <f t="shared" si="270"/>
        <v>0</v>
      </c>
    </row>
    <row r="411" spans="1:68" ht="14.45" hidden="1" customHeight="1" x14ac:dyDescent="0.25">
      <c r="A411" s="33" t="s">
        <v>431</v>
      </c>
      <c r="B411" s="23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13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5"/>
      <c r="AD411" s="25">
        <f t="shared" si="266"/>
        <v>0</v>
      </c>
      <c r="AE411" s="26" t="s">
        <v>42</v>
      </c>
      <c r="AF411" s="34"/>
      <c r="AG411" s="17">
        <f t="shared" si="244"/>
        <v>0</v>
      </c>
      <c r="AH411" s="28">
        <f t="shared" si="245"/>
        <v>0</v>
      </c>
      <c r="AI411" s="17">
        <f t="shared" si="246"/>
        <v>0</v>
      </c>
      <c r="AJ411" s="28">
        <f t="shared" si="247"/>
        <v>0</v>
      </c>
      <c r="AK411" s="17">
        <f t="shared" si="255"/>
        <v>0</v>
      </c>
      <c r="AL411" s="28">
        <f t="shared" si="248"/>
        <v>0</v>
      </c>
      <c r="AM411" s="17">
        <f t="shared" si="263"/>
        <v>0</v>
      </c>
      <c r="AN411" s="28">
        <f t="shared" si="237"/>
        <v>0</v>
      </c>
      <c r="AO411" s="17">
        <f t="shared" si="264"/>
        <v>0</v>
      </c>
      <c r="AP411" s="28">
        <f t="shared" si="267"/>
        <v>0</v>
      </c>
      <c r="AQ411" s="17">
        <f t="shared" si="265"/>
        <v>0</v>
      </c>
      <c r="AR411" s="28">
        <f t="shared" si="268"/>
        <v>0</v>
      </c>
      <c r="AS411" s="17">
        <f t="shared" si="259"/>
        <v>0</v>
      </c>
      <c r="AT411" s="28">
        <f t="shared" si="260"/>
        <v>0</v>
      </c>
      <c r="AU411" s="17">
        <f t="shared" si="261"/>
        <v>0</v>
      </c>
      <c r="AV411" s="28">
        <f t="shared" si="262"/>
        <v>0</v>
      </c>
      <c r="AW411" s="17">
        <f t="shared" si="249"/>
        <v>0</v>
      </c>
      <c r="AX411" s="28">
        <f t="shared" si="250"/>
        <v>0</v>
      </c>
      <c r="AY411" s="17">
        <f t="shared" si="251"/>
        <v>0</v>
      </c>
      <c r="AZ411" s="28">
        <f t="shared" si="252"/>
        <v>0</v>
      </c>
      <c r="BA411" s="27">
        <f t="shared" si="226"/>
        <v>0</v>
      </c>
      <c r="BB411" s="27">
        <f t="shared" si="254"/>
        <v>0</v>
      </c>
      <c r="BC411" s="27">
        <f t="shared" si="256"/>
        <v>0</v>
      </c>
      <c r="BD411" s="27">
        <f t="shared" si="257"/>
        <v>0</v>
      </c>
      <c r="BE411" s="27">
        <f t="shared" si="258"/>
        <v>0</v>
      </c>
      <c r="BF411" s="29">
        <f t="shared" si="228"/>
        <v>0</v>
      </c>
      <c r="BH411" s="30">
        <f t="shared" si="253"/>
        <v>0</v>
      </c>
      <c r="BM411" s="2">
        <f t="shared" si="269"/>
        <v>0</v>
      </c>
      <c r="BP411" s="2">
        <f t="shared" si="270"/>
        <v>0</v>
      </c>
    </row>
    <row r="412" spans="1:68" ht="14.45" hidden="1" customHeight="1" x14ac:dyDescent="0.25">
      <c r="A412" s="33" t="s">
        <v>432</v>
      </c>
      <c r="B412" s="23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13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5"/>
      <c r="AD412" s="25">
        <f t="shared" si="266"/>
        <v>0</v>
      </c>
      <c r="AE412" s="26" t="s">
        <v>42</v>
      </c>
      <c r="AF412" s="34"/>
      <c r="AG412" s="17">
        <f t="shared" si="244"/>
        <v>0</v>
      </c>
      <c r="AH412" s="28">
        <f t="shared" si="245"/>
        <v>0</v>
      </c>
      <c r="AI412" s="17">
        <f t="shared" si="246"/>
        <v>0</v>
      </c>
      <c r="AJ412" s="28">
        <f t="shared" si="247"/>
        <v>0</v>
      </c>
      <c r="AK412" s="17">
        <f t="shared" si="255"/>
        <v>0</v>
      </c>
      <c r="AL412" s="28">
        <f t="shared" si="248"/>
        <v>0</v>
      </c>
      <c r="AM412" s="17">
        <f t="shared" si="263"/>
        <v>0</v>
      </c>
      <c r="AN412" s="28">
        <f t="shared" si="237"/>
        <v>0</v>
      </c>
      <c r="AO412" s="17">
        <f t="shared" si="264"/>
        <v>0</v>
      </c>
      <c r="AP412" s="28">
        <f t="shared" si="267"/>
        <v>0</v>
      </c>
      <c r="AQ412" s="17">
        <f t="shared" si="265"/>
        <v>0</v>
      </c>
      <c r="AR412" s="28">
        <f t="shared" si="268"/>
        <v>0</v>
      </c>
      <c r="AS412" s="17">
        <f t="shared" si="259"/>
        <v>0</v>
      </c>
      <c r="AT412" s="28">
        <f t="shared" si="260"/>
        <v>0</v>
      </c>
      <c r="AU412" s="17">
        <f t="shared" si="261"/>
        <v>0</v>
      </c>
      <c r="AV412" s="28">
        <f t="shared" si="262"/>
        <v>0</v>
      </c>
      <c r="AW412" s="17">
        <f t="shared" si="249"/>
        <v>0</v>
      </c>
      <c r="AX412" s="28">
        <f t="shared" si="250"/>
        <v>0</v>
      </c>
      <c r="AY412" s="17">
        <f t="shared" si="251"/>
        <v>0</v>
      </c>
      <c r="AZ412" s="28">
        <f t="shared" si="252"/>
        <v>0</v>
      </c>
      <c r="BA412" s="27">
        <f t="shared" si="226"/>
        <v>0</v>
      </c>
      <c r="BB412" s="27">
        <f t="shared" si="254"/>
        <v>0</v>
      </c>
      <c r="BC412" s="27">
        <f t="shared" si="256"/>
        <v>0</v>
      </c>
      <c r="BD412" s="27">
        <f t="shared" si="257"/>
        <v>0</v>
      </c>
      <c r="BE412" s="27">
        <f t="shared" si="258"/>
        <v>0</v>
      </c>
      <c r="BF412" s="29">
        <f t="shared" si="228"/>
        <v>0</v>
      </c>
      <c r="BH412" s="30">
        <f t="shared" si="253"/>
        <v>0</v>
      </c>
      <c r="BM412" s="2">
        <f t="shared" si="269"/>
        <v>0</v>
      </c>
      <c r="BP412" s="2">
        <f t="shared" si="270"/>
        <v>0</v>
      </c>
    </row>
    <row r="413" spans="1:68" ht="14.45" hidden="1" customHeight="1" x14ac:dyDescent="0.25">
      <c r="A413" s="33" t="s">
        <v>433</v>
      </c>
      <c r="B413" s="23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13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5"/>
      <c r="AD413" s="25">
        <f t="shared" si="266"/>
        <v>0</v>
      </c>
      <c r="AE413" s="26" t="s">
        <v>42</v>
      </c>
      <c r="AF413" s="34"/>
      <c r="AG413" s="17">
        <f t="shared" si="244"/>
        <v>0</v>
      </c>
      <c r="AH413" s="28">
        <f t="shared" si="245"/>
        <v>0</v>
      </c>
      <c r="AI413" s="17">
        <f t="shared" si="246"/>
        <v>0</v>
      </c>
      <c r="AJ413" s="28">
        <f t="shared" si="247"/>
        <v>0</v>
      </c>
      <c r="AK413" s="17">
        <f t="shared" si="255"/>
        <v>0</v>
      </c>
      <c r="AL413" s="28">
        <f t="shared" si="248"/>
        <v>0</v>
      </c>
      <c r="AM413" s="17">
        <f t="shared" si="263"/>
        <v>0</v>
      </c>
      <c r="AN413" s="28">
        <f t="shared" si="237"/>
        <v>0</v>
      </c>
      <c r="AO413" s="17">
        <f t="shared" si="264"/>
        <v>0</v>
      </c>
      <c r="AP413" s="28">
        <f t="shared" si="267"/>
        <v>0</v>
      </c>
      <c r="AQ413" s="17">
        <f t="shared" si="265"/>
        <v>0</v>
      </c>
      <c r="AR413" s="28">
        <f t="shared" si="268"/>
        <v>0</v>
      </c>
      <c r="AS413" s="17">
        <f t="shared" si="259"/>
        <v>0</v>
      </c>
      <c r="AT413" s="28">
        <f t="shared" si="260"/>
        <v>0</v>
      </c>
      <c r="AU413" s="17">
        <f t="shared" si="261"/>
        <v>0</v>
      </c>
      <c r="AV413" s="28">
        <f t="shared" si="262"/>
        <v>0</v>
      </c>
      <c r="AW413" s="17">
        <f t="shared" si="249"/>
        <v>0</v>
      </c>
      <c r="AX413" s="28">
        <f t="shared" si="250"/>
        <v>0</v>
      </c>
      <c r="AY413" s="17">
        <f t="shared" si="251"/>
        <v>0</v>
      </c>
      <c r="AZ413" s="28">
        <f t="shared" si="252"/>
        <v>0</v>
      </c>
      <c r="BA413" s="27">
        <f t="shared" si="226"/>
        <v>0</v>
      </c>
      <c r="BB413" s="27">
        <f t="shared" si="254"/>
        <v>0</v>
      </c>
      <c r="BC413" s="27">
        <f t="shared" si="256"/>
        <v>0</v>
      </c>
      <c r="BD413" s="27">
        <f t="shared" si="257"/>
        <v>0</v>
      </c>
      <c r="BE413" s="27">
        <f t="shared" si="258"/>
        <v>0</v>
      </c>
      <c r="BF413" s="29">
        <f t="shared" si="228"/>
        <v>0</v>
      </c>
      <c r="BH413" s="30">
        <f t="shared" si="253"/>
        <v>0</v>
      </c>
      <c r="BM413" s="2">
        <f t="shared" si="269"/>
        <v>0</v>
      </c>
      <c r="BP413" s="2">
        <f t="shared" si="270"/>
        <v>0</v>
      </c>
    </row>
    <row r="414" spans="1:68" ht="14.45" hidden="1" customHeight="1" x14ac:dyDescent="0.25">
      <c r="A414" s="33" t="s">
        <v>434</v>
      </c>
      <c r="B414" s="23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13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5"/>
      <c r="AD414" s="25">
        <f t="shared" si="266"/>
        <v>0</v>
      </c>
      <c r="AE414" s="26" t="s">
        <v>42</v>
      </c>
      <c r="AF414" s="34"/>
      <c r="AG414" s="17">
        <f t="shared" si="244"/>
        <v>0</v>
      </c>
      <c r="AH414" s="28">
        <f t="shared" si="245"/>
        <v>0</v>
      </c>
      <c r="AI414" s="17">
        <f t="shared" si="246"/>
        <v>0</v>
      </c>
      <c r="AJ414" s="28">
        <f t="shared" si="247"/>
        <v>0</v>
      </c>
      <c r="AK414" s="17">
        <f t="shared" si="255"/>
        <v>0</v>
      </c>
      <c r="AL414" s="28">
        <f t="shared" si="248"/>
        <v>0</v>
      </c>
      <c r="AM414" s="17">
        <f t="shared" si="263"/>
        <v>0</v>
      </c>
      <c r="AN414" s="28">
        <f t="shared" si="237"/>
        <v>0</v>
      </c>
      <c r="AO414" s="17">
        <f t="shared" si="264"/>
        <v>0</v>
      </c>
      <c r="AP414" s="28">
        <f t="shared" si="267"/>
        <v>0</v>
      </c>
      <c r="AQ414" s="17">
        <f t="shared" si="265"/>
        <v>0</v>
      </c>
      <c r="AR414" s="28">
        <f t="shared" si="268"/>
        <v>0</v>
      </c>
      <c r="AS414" s="17">
        <f t="shared" si="259"/>
        <v>0</v>
      </c>
      <c r="AT414" s="28">
        <f t="shared" si="260"/>
        <v>0</v>
      </c>
      <c r="AU414" s="17">
        <f t="shared" si="261"/>
        <v>0</v>
      </c>
      <c r="AV414" s="28">
        <f t="shared" si="262"/>
        <v>0</v>
      </c>
      <c r="AW414" s="17">
        <f t="shared" si="249"/>
        <v>0</v>
      </c>
      <c r="AX414" s="28">
        <f t="shared" si="250"/>
        <v>0</v>
      </c>
      <c r="AY414" s="17">
        <f t="shared" si="251"/>
        <v>0</v>
      </c>
      <c r="AZ414" s="28">
        <f t="shared" si="252"/>
        <v>0</v>
      </c>
      <c r="BA414" s="27">
        <f t="shared" si="226"/>
        <v>0</v>
      </c>
      <c r="BB414" s="27">
        <f t="shared" si="254"/>
        <v>0</v>
      </c>
      <c r="BC414" s="27">
        <f t="shared" si="256"/>
        <v>0</v>
      </c>
      <c r="BD414" s="27">
        <f t="shared" si="257"/>
        <v>0</v>
      </c>
      <c r="BE414" s="27">
        <f t="shared" si="258"/>
        <v>0</v>
      </c>
      <c r="BF414" s="29">
        <f t="shared" si="228"/>
        <v>0</v>
      </c>
      <c r="BH414" s="30">
        <f t="shared" si="253"/>
        <v>0</v>
      </c>
      <c r="BM414" s="2">
        <f t="shared" si="269"/>
        <v>0</v>
      </c>
      <c r="BP414" s="2">
        <f t="shared" si="270"/>
        <v>0</v>
      </c>
    </row>
    <row r="415" spans="1:68" ht="14.45" hidden="1" customHeight="1" x14ac:dyDescent="0.25">
      <c r="A415" s="33" t="s">
        <v>435</v>
      </c>
      <c r="B415" s="23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13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5"/>
      <c r="AD415" s="25">
        <f t="shared" si="266"/>
        <v>0</v>
      </c>
      <c r="AE415" s="26" t="s">
        <v>42</v>
      </c>
      <c r="AF415" s="34"/>
      <c r="AG415" s="17">
        <f t="shared" si="244"/>
        <v>0</v>
      </c>
      <c r="AH415" s="28">
        <f t="shared" si="245"/>
        <v>0</v>
      </c>
      <c r="AI415" s="17">
        <f t="shared" si="246"/>
        <v>0</v>
      </c>
      <c r="AJ415" s="28">
        <f t="shared" si="247"/>
        <v>0</v>
      </c>
      <c r="AK415" s="17">
        <f t="shared" si="255"/>
        <v>0</v>
      </c>
      <c r="AL415" s="28">
        <f t="shared" si="248"/>
        <v>0</v>
      </c>
      <c r="AM415" s="17">
        <f t="shared" si="263"/>
        <v>0</v>
      </c>
      <c r="AN415" s="28">
        <f t="shared" si="237"/>
        <v>0</v>
      </c>
      <c r="AO415" s="17">
        <f t="shared" si="264"/>
        <v>0</v>
      </c>
      <c r="AP415" s="28">
        <f t="shared" si="267"/>
        <v>0</v>
      </c>
      <c r="AQ415" s="17">
        <f t="shared" si="265"/>
        <v>0</v>
      </c>
      <c r="AR415" s="28">
        <f t="shared" si="268"/>
        <v>0</v>
      </c>
      <c r="AS415" s="17">
        <f t="shared" si="259"/>
        <v>0</v>
      </c>
      <c r="AT415" s="28">
        <f t="shared" si="260"/>
        <v>0</v>
      </c>
      <c r="AU415" s="17">
        <f t="shared" si="261"/>
        <v>0</v>
      </c>
      <c r="AV415" s="28">
        <f t="shared" si="262"/>
        <v>0</v>
      </c>
      <c r="AW415" s="17">
        <f t="shared" si="249"/>
        <v>0</v>
      </c>
      <c r="AX415" s="28">
        <f t="shared" si="250"/>
        <v>0</v>
      </c>
      <c r="AY415" s="17">
        <f t="shared" si="251"/>
        <v>0</v>
      </c>
      <c r="AZ415" s="28">
        <f t="shared" si="252"/>
        <v>0</v>
      </c>
      <c r="BA415" s="27">
        <f t="shared" si="226"/>
        <v>0</v>
      </c>
      <c r="BB415" s="27">
        <f t="shared" si="254"/>
        <v>0</v>
      </c>
      <c r="BC415" s="27">
        <f t="shared" si="256"/>
        <v>0</v>
      </c>
      <c r="BD415" s="27">
        <f t="shared" si="257"/>
        <v>0</v>
      </c>
      <c r="BE415" s="27">
        <f t="shared" si="258"/>
        <v>0</v>
      </c>
      <c r="BF415" s="29">
        <f t="shared" si="228"/>
        <v>0</v>
      </c>
      <c r="BH415" s="30">
        <f t="shared" si="253"/>
        <v>0</v>
      </c>
      <c r="BM415" s="2">
        <f t="shared" si="269"/>
        <v>0</v>
      </c>
      <c r="BP415" s="2">
        <f t="shared" si="270"/>
        <v>0</v>
      </c>
    </row>
    <row r="416" spans="1:68" ht="14.45" hidden="1" customHeight="1" x14ac:dyDescent="0.25">
      <c r="A416" s="33" t="s">
        <v>436</v>
      </c>
      <c r="B416" s="23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13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5"/>
      <c r="AD416" s="25">
        <f t="shared" si="266"/>
        <v>0</v>
      </c>
      <c r="AE416" s="26" t="s">
        <v>42</v>
      </c>
      <c r="AF416" s="34"/>
      <c r="AG416" s="17">
        <f t="shared" si="244"/>
        <v>0</v>
      </c>
      <c r="AH416" s="28">
        <f t="shared" si="245"/>
        <v>0</v>
      </c>
      <c r="AI416" s="17">
        <f t="shared" si="246"/>
        <v>0</v>
      </c>
      <c r="AJ416" s="28">
        <f t="shared" si="247"/>
        <v>0</v>
      </c>
      <c r="AK416" s="17">
        <f t="shared" si="255"/>
        <v>0</v>
      </c>
      <c r="AL416" s="28">
        <f t="shared" si="248"/>
        <v>0</v>
      </c>
      <c r="AM416" s="17">
        <f t="shared" si="263"/>
        <v>0</v>
      </c>
      <c r="AN416" s="28">
        <f t="shared" si="237"/>
        <v>0</v>
      </c>
      <c r="AO416" s="17">
        <f t="shared" si="264"/>
        <v>0</v>
      </c>
      <c r="AP416" s="28">
        <f t="shared" si="267"/>
        <v>0</v>
      </c>
      <c r="AQ416" s="17">
        <f t="shared" si="265"/>
        <v>0</v>
      </c>
      <c r="AR416" s="28">
        <f t="shared" si="268"/>
        <v>0</v>
      </c>
      <c r="AS416" s="17">
        <f t="shared" si="259"/>
        <v>0</v>
      </c>
      <c r="AT416" s="28">
        <f t="shared" si="260"/>
        <v>0</v>
      </c>
      <c r="AU416" s="17">
        <f t="shared" si="261"/>
        <v>0</v>
      </c>
      <c r="AV416" s="28">
        <f t="shared" si="262"/>
        <v>0</v>
      </c>
      <c r="AW416" s="17">
        <f t="shared" si="249"/>
        <v>0</v>
      </c>
      <c r="AX416" s="28">
        <f t="shared" si="250"/>
        <v>0</v>
      </c>
      <c r="AY416" s="17">
        <f t="shared" si="251"/>
        <v>0</v>
      </c>
      <c r="AZ416" s="28">
        <f t="shared" si="252"/>
        <v>0</v>
      </c>
      <c r="BA416" s="27">
        <f t="shared" si="226"/>
        <v>0</v>
      </c>
      <c r="BB416" s="27">
        <f t="shared" si="254"/>
        <v>0</v>
      </c>
      <c r="BC416" s="27">
        <f t="shared" si="256"/>
        <v>0</v>
      </c>
      <c r="BD416" s="27">
        <f t="shared" si="257"/>
        <v>0</v>
      </c>
      <c r="BE416" s="27">
        <f t="shared" si="258"/>
        <v>0</v>
      </c>
      <c r="BF416" s="29">
        <f t="shared" si="228"/>
        <v>0</v>
      </c>
      <c r="BH416" s="30">
        <f t="shared" si="253"/>
        <v>0</v>
      </c>
      <c r="BM416" s="2">
        <f t="shared" si="269"/>
        <v>0</v>
      </c>
      <c r="BP416" s="2">
        <f t="shared" si="270"/>
        <v>0</v>
      </c>
    </row>
    <row r="417" spans="1:68" ht="14.45" customHeight="1" x14ac:dyDescent="0.25">
      <c r="A417" s="33" t="s">
        <v>429</v>
      </c>
      <c r="B417" s="23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13">
        <v>8</v>
      </c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>
        <v>4</v>
      </c>
      <c r="AC417" s="25"/>
      <c r="AD417" s="25"/>
      <c r="AE417" s="26" t="s">
        <v>42</v>
      </c>
      <c r="AF417" s="34">
        <v>60000</v>
      </c>
      <c r="AG417" s="17">
        <f t="shared" si="244"/>
        <v>0</v>
      </c>
      <c r="AH417" s="28">
        <f t="shared" si="245"/>
        <v>0</v>
      </c>
      <c r="AI417" s="17">
        <f t="shared" si="246"/>
        <v>0</v>
      </c>
      <c r="AJ417" s="28">
        <f t="shared" si="247"/>
        <v>0</v>
      </c>
      <c r="AK417" s="17">
        <f t="shared" si="255"/>
        <v>8</v>
      </c>
      <c r="AL417" s="28">
        <f t="shared" si="248"/>
        <v>480000</v>
      </c>
      <c r="AM417" s="17">
        <f t="shared" si="263"/>
        <v>4</v>
      </c>
      <c r="AN417" s="28">
        <f t="shared" si="237"/>
        <v>240000</v>
      </c>
      <c r="AO417" s="17">
        <f t="shared" si="264"/>
        <v>0</v>
      </c>
      <c r="AP417" s="28"/>
      <c r="AQ417" s="17">
        <f t="shared" si="265"/>
        <v>0</v>
      </c>
      <c r="AR417" s="28"/>
      <c r="AS417" s="17">
        <f t="shared" si="259"/>
        <v>0</v>
      </c>
      <c r="AT417" s="28">
        <f t="shared" si="260"/>
        <v>0</v>
      </c>
      <c r="AU417" s="17">
        <f t="shared" si="261"/>
        <v>0</v>
      </c>
      <c r="AV417" s="28">
        <f t="shared" si="262"/>
        <v>0</v>
      </c>
      <c r="AW417" s="17">
        <f t="shared" si="249"/>
        <v>0</v>
      </c>
      <c r="AX417" s="28">
        <f t="shared" si="250"/>
        <v>0</v>
      </c>
      <c r="AY417" s="17">
        <f t="shared" si="251"/>
        <v>0</v>
      </c>
      <c r="AZ417" s="28">
        <f t="shared" si="252"/>
        <v>0</v>
      </c>
      <c r="BA417" s="27">
        <f t="shared" si="226"/>
        <v>0</v>
      </c>
      <c r="BB417" s="27">
        <f t="shared" si="254"/>
        <v>720000</v>
      </c>
      <c r="BC417" s="27">
        <f t="shared" si="256"/>
        <v>0</v>
      </c>
      <c r="BD417" s="27">
        <f t="shared" si="257"/>
        <v>0</v>
      </c>
      <c r="BE417" s="27">
        <f t="shared" si="258"/>
        <v>0</v>
      </c>
      <c r="BF417" s="29">
        <f t="shared" si="228"/>
        <v>720000</v>
      </c>
      <c r="BH417" s="30">
        <f t="shared" si="253"/>
        <v>12</v>
      </c>
    </row>
    <row r="418" spans="1:68" ht="14.45" customHeight="1" x14ac:dyDescent="0.25">
      <c r="A418" s="33" t="s">
        <v>437</v>
      </c>
      <c r="B418" s="23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13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5"/>
      <c r="AD418" s="25"/>
      <c r="AE418" s="26"/>
      <c r="AF418" s="34">
        <v>3500</v>
      </c>
      <c r="AG418" s="17">
        <f t="shared" si="244"/>
        <v>0</v>
      </c>
      <c r="AH418" s="28">
        <f t="shared" si="245"/>
        <v>0</v>
      </c>
      <c r="AI418" s="17">
        <f t="shared" si="246"/>
        <v>0</v>
      </c>
      <c r="AJ418" s="28">
        <f t="shared" si="247"/>
        <v>0</v>
      </c>
      <c r="AK418" s="17">
        <f t="shared" si="255"/>
        <v>0</v>
      </c>
      <c r="AL418" s="28">
        <f t="shared" si="248"/>
        <v>0</v>
      </c>
      <c r="AM418" s="17">
        <f t="shared" si="263"/>
        <v>0</v>
      </c>
      <c r="AN418" s="28">
        <f t="shared" si="237"/>
        <v>0</v>
      </c>
      <c r="AO418" s="17">
        <f t="shared" si="264"/>
        <v>0</v>
      </c>
      <c r="AP418" s="28"/>
      <c r="AQ418" s="17">
        <f t="shared" si="265"/>
        <v>0</v>
      </c>
      <c r="AR418" s="28"/>
      <c r="AS418" s="17">
        <f t="shared" si="259"/>
        <v>0</v>
      </c>
      <c r="AT418" s="28">
        <f t="shared" si="260"/>
        <v>0</v>
      </c>
      <c r="AU418" s="17">
        <f t="shared" si="261"/>
        <v>0</v>
      </c>
      <c r="AV418" s="28">
        <f t="shared" si="262"/>
        <v>0</v>
      </c>
      <c r="AW418" s="17">
        <f t="shared" si="249"/>
        <v>0</v>
      </c>
      <c r="AX418" s="28">
        <f t="shared" si="250"/>
        <v>0</v>
      </c>
      <c r="AY418" s="17">
        <f t="shared" si="251"/>
        <v>0</v>
      </c>
      <c r="AZ418" s="28">
        <f t="shared" si="252"/>
        <v>0</v>
      </c>
      <c r="BA418" s="27">
        <f t="shared" si="226"/>
        <v>0</v>
      </c>
      <c r="BB418" s="27">
        <f t="shared" si="254"/>
        <v>0</v>
      </c>
      <c r="BC418" s="27">
        <f t="shared" si="256"/>
        <v>0</v>
      </c>
      <c r="BD418" s="27">
        <f t="shared" si="257"/>
        <v>0</v>
      </c>
      <c r="BE418" s="27">
        <f t="shared" si="258"/>
        <v>0</v>
      </c>
      <c r="BF418" s="29">
        <f t="shared" si="228"/>
        <v>0</v>
      </c>
      <c r="BH418" s="30">
        <f t="shared" si="253"/>
        <v>0</v>
      </c>
    </row>
    <row r="419" spans="1:68" ht="14.45" customHeight="1" x14ac:dyDescent="0.25">
      <c r="A419" s="33" t="s">
        <v>438</v>
      </c>
      <c r="B419" s="23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13">
        <v>200</v>
      </c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5"/>
      <c r="AD419" s="39">
        <f>SUM(B419:AB419)</f>
        <v>200</v>
      </c>
      <c r="AE419" s="26" t="s">
        <v>42</v>
      </c>
      <c r="AF419" s="34">
        <v>3500</v>
      </c>
      <c r="AG419" s="17">
        <f t="shared" si="244"/>
        <v>0</v>
      </c>
      <c r="AH419" s="28">
        <f t="shared" si="245"/>
        <v>0</v>
      </c>
      <c r="AI419" s="17">
        <f t="shared" si="246"/>
        <v>0</v>
      </c>
      <c r="AJ419" s="28">
        <f t="shared" si="247"/>
        <v>0</v>
      </c>
      <c r="AK419" s="17">
        <f t="shared" si="255"/>
        <v>200</v>
      </c>
      <c r="AL419" s="28">
        <f t="shared" si="248"/>
        <v>700000</v>
      </c>
      <c r="AM419" s="17">
        <f t="shared" si="263"/>
        <v>0</v>
      </c>
      <c r="AN419" s="28">
        <f t="shared" si="237"/>
        <v>0</v>
      </c>
      <c r="AO419" s="17">
        <f t="shared" si="264"/>
        <v>0</v>
      </c>
      <c r="AP419" s="28"/>
      <c r="AQ419" s="17">
        <f t="shared" si="265"/>
        <v>0</v>
      </c>
      <c r="AR419" s="28"/>
      <c r="AS419" s="17">
        <f t="shared" si="259"/>
        <v>0</v>
      </c>
      <c r="AT419" s="28">
        <f t="shared" si="260"/>
        <v>0</v>
      </c>
      <c r="AU419" s="17">
        <f t="shared" si="261"/>
        <v>0</v>
      </c>
      <c r="AV419" s="28">
        <f t="shared" si="262"/>
        <v>0</v>
      </c>
      <c r="AW419" s="17">
        <f t="shared" si="249"/>
        <v>0</v>
      </c>
      <c r="AX419" s="28">
        <f t="shared" si="250"/>
        <v>0</v>
      </c>
      <c r="AY419" s="17">
        <f t="shared" si="251"/>
        <v>0</v>
      </c>
      <c r="AZ419" s="28">
        <f t="shared" si="252"/>
        <v>0</v>
      </c>
      <c r="BA419" s="27">
        <f t="shared" si="226"/>
        <v>0</v>
      </c>
      <c r="BB419" s="27">
        <f t="shared" si="254"/>
        <v>700000</v>
      </c>
      <c r="BC419" s="27">
        <f t="shared" si="256"/>
        <v>0</v>
      </c>
      <c r="BD419" s="27">
        <f t="shared" si="257"/>
        <v>0</v>
      </c>
      <c r="BE419" s="27">
        <f t="shared" si="258"/>
        <v>0</v>
      </c>
      <c r="BF419" s="29">
        <f t="shared" si="228"/>
        <v>700000</v>
      </c>
      <c r="BH419" s="30">
        <f t="shared" si="253"/>
        <v>200</v>
      </c>
    </row>
    <row r="420" spans="1:68" x14ac:dyDescent="0.25">
      <c r="A420" s="33" t="s">
        <v>439</v>
      </c>
      <c r="B420" s="23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13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5"/>
      <c r="AD420" s="25">
        <f t="shared" ref="AD420:AD426" si="271">SUM(B420:S420)</f>
        <v>0</v>
      </c>
      <c r="AE420" s="26" t="s">
        <v>42</v>
      </c>
      <c r="AF420" s="27">
        <v>85000</v>
      </c>
      <c r="AG420" s="17">
        <f t="shared" si="244"/>
        <v>0</v>
      </c>
      <c r="AH420" s="28">
        <f t="shared" si="245"/>
        <v>0</v>
      </c>
      <c r="AI420" s="17">
        <f t="shared" si="246"/>
        <v>0</v>
      </c>
      <c r="AJ420" s="28">
        <f t="shared" si="247"/>
        <v>0</v>
      </c>
      <c r="AK420" s="17">
        <f t="shared" si="255"/>
        <v>0</v>
      </c>
      <c r="AL420" s="28">
        <f t="shared" si="248"/>
        <v>0</v>
      </c>
      <c r="AM420" s="17">
        <f t="shared" si="263"/>
        <v>0</v>
      </c>
      <c r="AN420" s="28">
        <f t="shared" si="237"/>
        <v>0</v>
      </c>
      <c r="AO420" s="17">
        <f t="shared" si="264"/>
        <v>0</v>
      </c>
      <c r="AP420" s="28">
        <f>+AO420*AF420</f>
        <v>0</v>
      </c>
      <c r="AQ420" s="17">
        <f t="shared" si="265"/>
        <v>0</v>
      </c>
      <c r="AR420" s="28">
        <f>+AQ420*AF420</f>
        <v>0</v>
      </c>
      <c r="AS420" s="17">
        <f t="shared" si="259"/>
        <v>0</v>
      </c>
      <c r="AT420" s="28">
        <f t="shared" si="260"/>
        <v>0</v>
      </c>
      <c r="AU420" s="17">
        <f t="shared" si="261"/>
        <v>0</v>
      </c>
      <c r="AV420" s="28">
        <f t="shared" si="262"/>
        <v>0</v>
      </c>
      <c r="AW420" s="17">
        <f t="shared" si="249"/>
        <v>0</v>
      </c>
      <c r="AX420" s="28">
        <f t="shared" si="250"/>
        <v>0</v>
      </c>
      <c r="AY420" s="17">
        <f t="shared" si="251"/>
        <v>0</v>
      </c>
      <c r="AZ420" s="28">
        <f t="shared" si="252"/>
        <v>0</v>
      </c>
      <c r="BA420" s="27">
        <f t="shared" si="226"/>
        <v>0</v>
      </c>
      <c r="BB420" s="27">
        <f t="shared" si="254"/>
        <v>0</v>
      </c>
      <c r="BC420" s="27">
        <f t="shared" si="256"/>
        <v>0</v>
      </c>
      <c r="BD420" s="27">
        <f t="shared" si="257"/>
        <v>0</v>
      </c>
      <c r="BE420" s="27">
        <f t="shared" si="258"/>
        <v>0</v>
      </c>
      <c r="BF420" s="29">
        <f t="shared" si="228"/>
        <v>0</v>
      </c>
      <c r="BH420" s="30">
        <f t="shared" si="253"/>
        <v>0</v>
      </c>
      <c r="BM420" s="2">
        <f>SUM(B420:S420)</f>
        <v>0</v>
      </c>
      <c r="BP420" s="2">
        <f>SUM(B420:S420)</f>
        <v>0</v>
      </c>
    </row>
    <row r="421" spans="1:68" x14ac:dyDescent="0.25">
      <c r="A421" s="33" t="s">
        <v>440</v>
      </c>
      <c r="B421" s="23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13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>
        <v>147</v>
      </c>
      <c r="AA421" s="24"/>
      <c r="AB421" s="24"/>
      <c r="AC421" s="25"/>
      <c r="AD421" s="39">
        <f>SUM(B421:AB421)</f>
        <v>147</v>
      </c>
      <c r="AE421" s="26" t="s">
        <v>42</v>
      </c>
      <c r="AF421" s="27">
        <v>13150</v>
      </c>
      <c r="AG421" s="17">
        <f t="shared" si="244"/>
        <v>0</v>
      </c>
      <c r="AH421" s="28">
        <f t="shared" si="245"/>
        <v>0</v>
      </c>
      <c r="AI421" s="17">
        <f t="shared" si="246"/>
        <v>0</v>
      </c>
      <c r="AJ421" s="28">
        <f t="shared" si="247"/>
        <v>0</v>
      </c>
      <c r="AK421" s="17">
        <f t="shared" si="255"/>
        <v>0</v>
      </c>
      <c r="AL421" s="28">
        <f t="shared" si="248"/>
        <v>0</v>
      </c>
      <c r="AM421" s="17">
        <f t="shared" si="263"/>
        <v>0</v>
      </c>
      <c r="AN421" s="28">
        <f t="shared" si="237"/>
        <v>0</v>
      </c>
      <c r="AO421" s="17">
        <f t="shared" si="264"/>
        <v>0</v>
      </c>
      <c r="AP421" s="28">
        <f>+AO421*AF421</f>
        <v>0</v>
      </c>
      <c r="AQ421" s="17">
        <f t="shared" si="265"/>
        <v>0</v>
      </c>
      <c r="AR421" s="28">
        <f>+AQ421*AF421</f>
        <v>0</v>
      </c>
      <c r="AS421" s="17">
        <f t="shared" si="259"/>
        <v>0</v>
      </c>
      <c r="AT421" s="28">
        <f t="shared" si="260"/>
        <v>0</v>
      </c>
      <c r="AU421" s="17">
        <f t="shared" si="261"/>
        <v>0</v>
      </c>
      <c r="AV421" s="28">
        <f t="shared" si="262"/>
        <v>0</v>
      </c>
      <c r="AW421" s="17">
        <f t="shared" si="249"/>
        <v>0</v>
      </c>
      <c r="AX421" s="28">
        <f t="shared" si="250"/>
        <v>0</v>
      </c>
      <c r="AY421" s="17">
        <f t="shared" si="251"/>
        <v>0</v>
      </c>
      <c r="AZ421" s="28">
        <f t="shared" si="252"/>
        <v>0</v>
      </c>
      <c r="BA421" s="27">
        <f t="shared" si="226"/>
        <v>0</v>
      </c>
      <c r="BB421" s="27">
        <f t="shared" si="254"/>
        <v>0</v>
      </c>
      <c r="BC421" s="27">
        <f t="shared" si="256"/>
        <v>0</v>
      </c>
      <c r="BD421" s="27">
        <f t="shared" si="257"/>
        <v>0</v>
      </c>
      <c r="BE421" s="27">
        <f t="shared" si="258"/>
        <v>0</v>
      </c>
      <c r="BF421" s="29">
        <f t="shared" si="228"/>
        <v>0</v>
      </c>
      <c r="BH421" s="30">
        <f t="shared" si="253"/>
        <v>147</v>
      </c>
      <c r="BM421" s="2">
        <f>SUM(B421:S421)</f>
        <v>0</v>
      </c>
      <c r="BP421" s="2">
        <f>SUM(B421:S421)</f>
        <v>0</v>
      </c>
    </row>
    <row r="422" spans="1:68" x14ac:dyDescent="0.25">
      <c r="A422" s="33" t="s">
        <v>441</v>
      </c>
      <c r="B422" s="23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13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>
        <v>2</v>
      </c>
      <c r="AA422" s="24"/>
      <c r="AB422" s="24"/>
      <c r="AC422" s="25"/>
      <c r="AD422" s="39">
        <f t="shared" ref="AD422" si="272">SUM(B422:AB422)</f>
        <v>2</v>
      </c>
      <c r="AE422" s="26" t="s">
        <v>42</v>
      </c>
      <c r="AF422" s="27">
        <v>78500</v>
      </c>
      <c r="AG422" s="17">
        <f t="shared" si="244"/>
        <v>0</v>
      </c>
      <c r="AH422" s="28">
        <f t="shared" si="245"/>
        <v>0</v>
      </c>
      <c r="AI422" s="17">
        <f t="shared" si="246"/>
        <v>0</v>
      </c>
      <c r="AJ422" s="28">
        <f t="shared" si="247"/>
        <v>0</v>
      </c>
      <c r="AK422" s="17">
        <f t="shared" si="255"/>
        <v>0</v>
      </c>
      <c r="AL422" s="28">
        <f t="shared" si="248"/>
        <v>0</v>
      </c>
      <c r="AM422" s="17">
        <f t="shared" si="263"/>
        <v>0</v>
      </c>
      <c r="AN422" s="28">
        <f t="shared" si="237"/>
        <v>0</v>
      </c>
      <c r="AO422" s="17">
        <f t="shared" si="264"/>
        <v>0</v>
      </c>
      <c r="AP422" s="28">
        <f>+AO422*AF422</f>
        <v>0</v>
      </c>
      <c r="AQ422" s="17">
        <f t="shared" si="265"/>
        <v>0</v>
      </c>
      <c r="AR422" s="28">
        <f>+AQ422*AF422</f>
        <v>0</v>
      </c>
      <c r="AS422" s="17">
        <f t="shared" si="259"/>
        <v>0</v>
      </c>
      <c r="AT422" s="28">
        <f t="shared" si="260"/>
        <v>0</v>
      </c>
      <c r="AU422" s="17">
        <f t="shared" si="261"/>
        <v>0</v>
      </c>
      <c r="AV422" s="28">
        <f t="shared" si="262"/>
        <v>0</v>
      </c>
      <c r="AW422" s="17">
        <f t="shared" si="249"/>
        <v>0</v>
      </c>
      <c r="AX422" s="28">
        <f t="shared" si="250"/>
        <v>0</v>
      </c>
      <c r="AY422" s="17">
        <f t="shared" si="251"/>
        <v>0</v>
      </c>
      <c r="AZ422" s="28">
        <f t="shared" si="252"/>
        <v>0</v>
      </c>
      <c r="BA422" s="27">
        <f t="shared" si="226"/>
        <v>0</v>
      </c>
      <c r="BB422" s="27">
        <f t="shared" si="254"/>
        <v>0</v>
      </c>
      <c r="BC422" s="27">
        <f t="shared" si="256"/>
        <v>0</v>
      </c>
      <c r="BD422" s="27">
        <f t="shared" si="257"/>
        <v>0</v>
      </c>
      <c r="BE422" s="27">
        <f t="shared" si="258"/>
        <v>0</v>
      </c>
      <c r="BF422" s="29">
        <f t="shared" si="228"/>
        <v>0</v>
      </c>
      <c r="BH422" s="30">
        <f t="shared" si="253"/>
        <v>2</v>
      </c>
      <c r="BM422" s="2">
        <f>SUM(B422:S422)</f>
        <v>0</v>
      </c>
      <c r="BP422" s="2">
        <f>SUM(B422:S422)</f>
        <v>0</v>
      </c>
    </row>
    <row r="423" spans="1:68" x14ac:dyDescent="0.25">
      <c r="A423" s="33" t="s">
        <v>442</v>
      </c>
      <c r="B423" s="23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13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5"/>
      <c r="AD423" s="39">
        <f>SUM(B423:AB423)</f>
        <v>0</v>
      </c>
      <c r="AE423" s="40" t="s">
        <v>42</v>
      </c>
      <c r="AF423" s="27"/>
      <c r="AG423" s="17">
        <f t="shared" si="244"/>
        <v>0</v>
      </c>
      <c r="AH423" s="28">
        <f t="shared" si="245"/>
        <v>0</v>
      </c>
      <c r="AI423" s="17">
        <f t="shared" si="246"/>
        <v>0</v>
      </c>
      <c r="AJ423" s="28">
        <f t="shared" si="247"/>
        <v>0</v>
      </c>
      <c r="AK423" s="17">
        <f t="shared" si="255"/>
        <v>0</v>
      </c>
      <c r="AL423" s="28">
        <f t="shared" si="248"/>
        <v>0</v>
      </c>
      <c r="AM423" s="17">
        <f t="shared" si="263"/>
        <v>0</v>
      </c>
      <c r="AN423" s="28">
        <f t="shared" si="237"/>
        <v>0</v>
      </c>
      <c r="AO423" s="17"/>
      <c r="AP423" s="28"/>
      <c r="AQ423" s="17"/>
      <c r="AR423" s="28"/>
      <c r="AS423" s="17">
        <f t="shared" si="259"/>
        <v>0</v>
      </c>
      <c r="AT423" s="28">
        <f t="shared" si="260"/>
        <v>0</v>
      </c>
      <c r="AU423" s="17">
        <f t="shared" si="261"/>
        <v>0</v>
      </c>
      <c r="AV423" s="28">
        <f t="shared" si="262"/>
        <v>0</v>
      </c>
      <c r="AW423" s="17">
        <f t="shared" si="249"/>
        <v>0</v>
      </c>
      <c r="AX423" s="28">
        <f t="shared" si="250"/>
        <v>0</v>
      </c>
      <c r="AY423" s="17">
        <f t="shared" si="251"/>
        <v>0</v>
      </c>
      <c r="AZ423" s="28">
        <f t="shared" si="252"/>
        <v>0</v>
      </c>
      <c r="BA423" s="27"/>
      <c r="BB423" s="27">
        <f t="shared" si="254"/>
        <v>0</v>
      </c>
      <c r="BC423" s="27">
        <f t="shared" si="256"/>
        <v>0</v>
      </c>
      <c r="BD423" s="27">
        <f t="shared" si="257"/>
        <v>0</v>
      </c>
      <c r="BE423" s="27">
        <f t="shared" si="258"/>
        <v>0</v>
      </c>
      <c r="BF423" s="29"/>
      <c r="BH423" s="30">
        <f t="shared" si="253"/>
        <v>0</v>
      </c>
    </row>
    <row r="424" spans="1:68" x14ac:dyDescent="0.25">
      <c r="A424" s="33" t="s">
        <v>443</v>
      </c>
      <c r="B424" s="23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13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5"/>
      <c r="AD424" s="25">
        <f t="shared" si="271"/>
        <v>0</v>
      </c>
      <c r="AE424" s="26" t="s">
        <v>42</v>
      </c>
      <c r="AF424" s="27">
        <v>37000</v>
      </c>
      <c r="AG424" s="17">
        <f t="shared" si="244"/>
        <v>0</v>
      </c>
      <c r="AH424" s="28">
        <f t="shared" si="245"/>
        <v>0</v>
      </c>
      <c r="AI424" s="17">
        <f t="shared" si="246"/>
        <v>0</v>
      </c>
      <c r="AJ424" s="28">
        <f t="shared" si="247"/>
        <v>0</v>
      </c>
      <c r="AK424" s="17">
        <f t="shared" si="255"/>
        <v>0</v>
      </c>
      <c r="AL424" s="28">
        <f t="shared" si="248"/>
        <v>0</v>
      </c>
      <c r="AM424" s="17">
        <f t="shared" si="263"/>
        <v>0</v>
      </c>
      <c r="AN424" s="28">
        <f t="shared" si="237"/>
        <v>0</v>
      </c>
      <c r="AO424" s="17">
        <f t="shared" ref="AO424:AO429" si="273">+B424</f>
        <v>0</v>
      </c>
      <c r="AP424" s="28">
        <f>+AO424*AF424</f>
        <v>0</v>
      </c>
      <c r="AQ424" s="17">
        <f t="shared" ref="AQ424:AQ429" si="274">+P424</f>
        <v>0</v>
      </c>
      <c r="AR424" s="28">
        <f>+AQ424*AF424</f>
        <v>0</v>
      </c>
      <c r="AS424" s="17">
        <f t="shared" si="259"/>
        <v>0</v>
      </c>
      <c r="AT424" s="28">
        <f t="shared" si="260"/>
        <v>0</v>
      </c>
      <c r="AU424" s="17">
        <f t="shared" si="261"/>
        <v>0</v>
      </c>
      <c r="AV424" s="28">
        <f t="shared" si="262"/>
        <v>0</v>
      </c>
      <c r="AW424" s="17">
        <f t="shared" si="249"/>
        <v>0</v>
      </c>
      <c r="AX424" s="28">
        <f t="shared" si="250"/>
        <v>0</v>
      </c>
      <c r="AY424" s="17">
        <f t="shared" si="251"/>
        <v>0</v>
      </c>
      <c r="AZ424" s="28">
        <f t="shared" si="252"/>
        <v>0</v>
      </c>
      <c r="BA424" s="27">
        <f t="shared" si="226"/>
        <v>0</v>
      </c>
      <c r="BB424" s="27">
        <f t="shared" si="254"/>
        <v>0</v>
      </c>
      <c r="BC424" s="27">
        <f t="shared" si="256"/>
        <v>0</v>
      </c>
      <c r="BD424" s="27">
        <f t="shared" si="257"/>
        <v>0</v>
      </c>
      <c r="BE424" s="27">
        <f t="shared" si="258"/>
        <v>0</v>
      </c>
      <c r="BF424" s="29">
        <f t="shared" si="228"/>
        <v>0</v>
      </c>
      <c r="BH424" s="30">
        <f t="shared" si="253"/>
        <v>0</v>
      </c>
      <c r="BM424" s="2">
        <f>SUM(B424:S424)</f>
        <v>0</v>
      </c>
      <c r="BP424" s="2">
        <f>SUM(B424:S424)</f>
        <v>0</v>
      </c>
    </row>
    <row r="425" spans="1:68" ht="14.45" hidden="1" customHeight="1" x14ac:dyDescent="0.25">
      <c r="A425" s="33" t="s">
        <v>444</v>
      </c>
      <c r="B425" s="23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13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5"/>
      <c r="AD425" s="25">
        <f t="shared" si="271"/>
        <v>0</v>
      </c>
      <c r="AE425" s="26" t="s">
        <v>42</v>
      </c>
      <c r="AF425" s="27"/>
      <c r="AG425" s="17">
        <f t="shared" si="244"/>
        <v>0</v>
      </c>
      <c r="AH425" s="28">
        <f t="shared" si="245"/>
        <v>0</v>
      </c>
      <c r="AI425" s="17">
        <f t="shared" si="246"/>
        <v>0</v>
      </c>
      <c r="AJ425" s="28">
        <f t="shared" si="247"/>
        <v>0</v>
      </c>
      <c r="AK425" s="17">
        <f t="shared" si="255"/>
        <v>0</v>
      </c>
      <c r="AL425" s="28">
        <f t="shared" si="248"/>
        <v>0</v>
      </c>
      <c r="AM425" s="17">
        <f t="shared" si="263"/>
        <v>0</v>
      </c>
      <c r="AN425" s="28">
        <f t="shared" si="237"/>
        <v>0</v>
      </c>
      <c r="AO425" s="17">
        <f t="shared" si="273"/>
        <v>0</v>
      </c>
      <c r="AP425" s="28">
        <f>+AO425*AF425</f>
        <v>0</v>
      </c>
      <c r="AQ425" s="17">
        <f t="shared" si="274"/>
        <v>0</v>
      </c>
      <c r="AR425" s="28">
        <f>+AQ425*AF425</f>
        <v>0</v>
      </c>
      <c r="AS425" s="17">
        <f t="shared" si="259"/>
        <v>0</v>
      </c>
      <c r="AT425" s="28">
        <f t="shared" si="260"/>
        <v>0</v>
      </c>
      <c r="AU425" s="17">
        <f t="shared" si="261"/>
        <v>0</v>
      </c>
      <c r="AV425" s="28">
        <f t="shared" si="262"/>
        <v>0</v>
      </c>
      <c r="AW425" s="17">
        <f t="shared" si="249"/>
        <v>0</v>
      </c>
      <c r="AX425" s="28">
        <f t="shared" si="250"/>
        <v>0</v>
      </c>
      <c r="AY425" s="17">
        <f t="shared" si="251"/>
        <v>0</v>
      </c>
      <c r="AZ425" s="28">
        <f t="shared" si="252"/>
        <v>0</v>
      </c>
      <c r="BA425" s="27">
        <f t="shared" si="226"/>
        <v>0</v>
      </c>
      <c r="BB425" s="27">
        <f t="shared" si="254"/>
        <v>0</v>
      </c>
      <c r="BC425" s="27">
        <f t="shared" si="256"/>
        <v>0</v>
      </c>
      <c r="BD425" s="27">
        <f t="shared" si="257"/>
        <v>0</v>
      </c>
      <c r="BE425" s="27">
        <f t="shared" si="258"/>
        <v>0</v>
      </c>
      <c r="BF425" s="29">
        <f t="shared" si="228"/>
        <v>0</v>
      </c>
      <c r="BH425" s="30">
        <f t="shared" si="253"/>
        <v>0</v>
      </c>
      <c r="BM425" s="2">
        <f>SUM(B425:S425)</f>
        <v>0</v>
      </c>
      <c r="BP425" s="2">
        <f>SUM(B425:S425)</f>
        <v>0</v>
      </c>
    </row>
    <row r="426" spans="1:68" ht="14.45" hidden="1" customHeight="1" x14ac:dyDescent="0.25">
      <c r="A426" s="33" t="s">
        <v>445</v>
      </c>
      <c r="B426" s="23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13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5"/>
      <c r="AD426" s="25">
        <f t="shared" si="271"/>
        <v>0</v>
      </c>
      <c r="AE426" s="26" t="s">
        <v>42</v>
      </c>
      <c r="AF426" s="27"/>
      <c r="AG426" s="17">
        <f t="shared" si="244"/>
        <v>0</v>
      </c>
      <c r="AH426" s="28">
        <f t="shared" si="245"/>
        <v>0</v>
      </c>
      <c r="AI426" s="17">
        <f t="shared" si="246"/>
        <v>0</v>
      </c>
      <c r="AJ426" s="28">
        <f t="shared" si="247"/>
        <v>0</v>
      </c>
      <c r="AK426" s="17">
        <f t="shared" si="255"/>
        <v>0</v>
      </c>
      <c r="AL426" s="28">
        <f t="shared" si="248"/>
        <v>0</v>
      </c>
      <c r="AM426" s="17">
        <f t="shared" si="263"/>
        <v>0</v>
      </c>
      <c r="AN426" s="28">
        <f t="shared" si="237"/>
        <v>0</v>
      </c>
      <c r="AO426" s="17">
        <f t="shared" si="273"/>
        <v>0</v>
      </c>
      <c r="AP426" s="28">
        <f>+AO426*AF426</f>
        <v>0</v>
      </c>
      <c r="AQ426" s="17">
        <f t="shared" si="274"/>
        <v>0</v>
      </c>
      <c r="AR426" s="28">
        <f>+AQ426*AF426</f>
        <v>0</v>
      </c>
      <c r="AS426" s="17">
        <f t="shared" si="259"/>
        <v>0</v>
      </c>
      <c r="AT426" s="28">
        <f t="shared" si="260"/>
        <v>0</v>
      </c>
      <c r="AU426" s="17">
        <f t="shared" si="261"/>
        <v>0</v>
      </c>
      <c r="AV426" s="28">
        <f t="shared" si="262"/>
        <v>0</v>
      </c>
      <c r="AW426" s="17">
        <f t="shared" si="249"/>
        <v>0</v>
      </c>
      <c r="AX426" s="28">
        <f t="shared" si="250"/>
        <v>0</v>
      </c>
      <c r="AY426" s="17">
        <f t="shared" si="251"/>
        <v>0</v>
      </c>
      <c r="AZ426" s="28">
        <f t="shared" si="252"/>
        <v>0</v>
      </c>
      <c r="BA426" s="27">
        <f t="shared" si="226"/>
        <v>0</v>
      </c>
      <c r="BB426" s="27">
        <f t="shared" si="254"/>
        <v>0</v>
      </c>
      <c r="BC426" s="27">
        <f t="shared" si="256"/>
        <v>0</v>
      </c>
      <c r="BD426" s="27">
        <f t="shared" si="257"/>
        <v>0</v>
      </c>
      <c r="BE426" s="27">
        <f t="shared" si="258"/>
        <v>0</v>
      </c>
      <c r="BF426" s="29">
        <f t="shared" si="228"/>
        <v>0</v>
      </c>
      <c r="BH426" s="30">
        <f t="shared" si="253"/>
        <v>0</v>
      </c>
      <c r="BM426" s="2">
        <f>SUM(B426:S426)</f>
        <v>0</v>
      </c>
      <c r="BP426" s="2">
        <f>SUM(B426:S426)</f>
        <v>0</v>
      </c>
    </row>
    <row r="427" spans="1:68" ht="14.45" customHeight="1" x14ac:dyDescent="0.25">
      <c r="A427" s="33" t="s">
        <v>446</v>
      </c>
      <c r="B427" s="23"/>
      <c r="C427" s="24"/>
      <c r="D427" s="24">
        <v>61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13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5"/>
      <c r="AD427" s="25"/>
      <c r="AE427" s="26" t="s">
        <v>42</v>
      </c>
      <c r="AF427" s="34">
        <v>13788</v>
      </c>
      <c r="AG427" s="17">
        <f t="shared" si="244"/>
        <v>0</v>
      </c>
      <c r="AH427" s="28">
        <f t="shared" si="245"/>
        <v>0</v>
      </c>
      <c r="AI427" s="17">
        <f t="shared" si="246"/>
        <v>0</v>
      </c>
      <c r="AJ427" s="28">
        <f t="shared" si="247"/>
        <v>0</v>
      </c>
      <c r="AK427" s="17">
        <f t="shared" si="255"/>
        <v>0</v>
      </c>
      <c r="AL427" s="28">
        <f t="shared" si="248"/>
        <v>0</v>
      </c>
      <c r="AM427" s="17">
        <f t="shared" si="263"/>
        <v>0</v>
      </c>
      <c r="AN427" s="28">
        <f t="shared" si="237"/>
        <v>0</v>
      </c>
      <c r="AO427" s="17">
        <f t="shared" si="273"/>
        <v>0</v>
      </c>
      <c r="AP427" s="28"/>
      <c r="AQ427" s="17">
        <f t="shared" si="274"/>
        <v>0</v>
      </c>
      <c r="AR427" s="28"/>
      <c r="AS427" s="17">
        <f t="shared" si="259"/>
        <v>0</v>
      </c>
      <c r="AT427" s="28">
        <f t="shared" si="260"/>
        <v>0</v>
      </c>
      <c r="AU427" s="17">
        <f t="shared" si="261"/>
        <v>0</v>
      </c>
      <c r="AV427" s="28">
        <f t="shared" si="262"/>
        <v>0</v>
      </c>
      <c r="AW427" s="17">
        <f t="shared" si="249"/>
        <v>61</v>
      </c>
      <c r="AX427" s="28">
        <f t="shared" si="250"/>
        <v>841068</v>
      </c>
      <c r="AY427" s="17">
        <f t="shared" si="251"/>
        <v>0</v>
      </c>
      <c r="AZ427" s="28">
        <f t="shared" si="252"/>
        <v>0</v>
      </c>
      <c r="BA427" s="27">
        <f t="shared" si="226"/>
        <v>0</v>
      </c>
      <c r="BB427" s="27">
        <f t="shared" si="254"/>
        <v>0</v>
      </c>
      <c r="BC427" s="27">
        <f t="shared" si="256"/>
        <v>0</v>
      </c>
      <c r="BD427" s="27">
        <f t="shared" si="257"/>
        <v>0</v>
      </c>
      <c r="BE427" s="27">
        <f t="shared" si="258"/>
        <v>841068</v>
      </c>
      <c r="BF427" s="29">
        <f t="shared" si="228"/>
        <v>0</v>
      </c>
      <c r="BH427" s="30">
        <f t="shared" si="253"/>
        <v>0</v>
      </c>
    </row>
    <row r="428" spans="1:68" x14ac:dyDescent="0.25">
      <c r="A428" s="33" t="s">
        <v>447</v>
      </c>
      <c r="B428" s="23"/>
      <c r="C428" s="24"/>
      <c r="D428" s="24">
        <v>12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13">
        <v>5</v>
      </c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5"/>
      <c r="AD428" s="25">
        <f t="shared" ref="AD428:AD443" si="275">SUM(B428:S428)</f>
        <v>17</v>
      </c>
      <c r="AE428" s="26" t="s">
        <v>42</v>
      </c>
      <c r="AF428" s="27">
        <v>651200</v>
      </c>
      <c r="AG428" s="17">
        <f t="shared" si="244"/>
        <v>0</v>
      </c>
      <c r="AH428" s="28">
        <f t="shared" si="245"/>
        <v>0</v>
      </c>
      <c r="AI428" s="17">
        <f t="shared" si="246"/>
        <v>0</v>
      </c>
      <c r="AJ428" s="28">
        <f t="shared" si="247"/>
        <v>0</v>
      </c>
      <c r="AK428" s="17">
        <f t="shared" si="255"/>
        <v>5</v>
      </c>
      <c r="AL428" s="28">
        <f t="shared" si="248"/>
        <v>3256000</v>
      </c>
      <c r="AM428" s="17">
        <f t="shared" si="263"/>
        <v>0</v>
      </c>
      <c r="AN428" s="28">
        <f t="shared" si="237"/>
        <v>0</v>
      </c>
      <c r="AO428" s="17">
        <f t="shared" si="273"/>
        <v>0</v>
      </c>
      <c r="AP428" s="28">
        <f>+AO428*AF428</f>
        <v>0</v>
      </c>
      <c r="AQ428" s="17">
        <f t="shared" si="274"/>
        <v>0</v>
      </c>
      <c r="AR428" s="28">
        <f>+AQ428*AF428</f>
        <v>0</v>
      </c>
      <c r="AS428" s="17">
        <f t="shared" si="259"/>
        <v>0</v>
      </c>
      <c r="AT428" s="28">
        <f t="shared" si="260"/>
        <v>0</v>
      </c>
      <c r="AU428" s="17">
        <f t="shared" si="261"/>
        <v>0</v>
      </c>
      <c r="AV428" s="28">
        <f t="shared" si="262"/>
        <v>0</v>
      </c>
      <c r="AW428" s="17">
        <f t="shared" si="249"/>
        <v>12</v>
      </c>
      <c r="AX428" s="28">
        <f t="shared" si="250"/>
        <v>7814400</v>
      </c>
      <c r="AY428" s="17">
        <f t="shared" si="251"/>
        <v>0</v>
      </c>
      <c r="AZ428" s="28">
        <f t="shared" si="252"/>
        <v>0</v>
      </c>
      <c r="BA428" s="27">
        <f t="shared" si="226"/>
        <v>0</v>
      </c>
      <c r="BB428" s="27">
        <f t="shared" si="254"/>
        <v>3256000</v>
      </c>
      <c r="BC428" s="27">
        <f t="shared" si="256"/>
        <v>0</v>
      </c>
      <c r="BD428" s="27">
        <f t="shared" si="257"/>
        <v>0</v>
      </c>
      <c r="BE428" s="27">
        <f t="shared" si="258"/>
        <v>7814400</v>
      </c>
      <c r="BF428" s="29">
        <f t="shared" si="228"/>
        <v>3256000</v>
      </c>
      <c r="BH428" s="30">
        <f t="shared" si="253"/>
        <v>5</v>
      </c>
      <c r="BM428" s="2">
        <f>SUM(B428:S428)</f>
        <v>17</v>
      </c>
      <c r="BP428" s="2">
        <f>SUM(B428:S428)</f>
        <v>17</v>
      </c>
    </row>
    <row r="429" spans="1:68" ht="14.45" hidden="1" customHeight="1" x14ac:dyDescent="0.25">
      <c r="A429" s="33" t="s">
        <v>448</v>
      </c>
      <c r="B429" s="23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13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5"/>
      <c r="AD429" s="25">
        <f t="shared" si="275"/>
        <v>0</v>
      </c>
      <c r="AE429" s="26" t="s">
        <v>42</v>
      </c>
      <c r="AF429" s="27"/>
      <c r="AG429" s="17">
        <f t="shared" si="244"/>
        <v>0</v>
      </c>
      <c r="AH429" s="28">
        <f t="shared" si="245"/>
        <v>0</v>
      </c>
      <c r="AI429" s="17">
        <f t="shared" si="246"/>
        <v>0</v>
      </c>
      <c r="AJ429" s="28">
        <f t="shared" si="247"/>
        <v>0</v>
      </c>
      <c r="AK429" s="17">
        <f t="shared" si="255"/>
        <v>0</v>
      </c>
      <c r="AL429" s="28">
        <f t="shared" si="248"/>
        <v>0</v>
      </c>
      <c r="AM429" s="17">
        <f t="shared" si="263"/>
        <v>0</v>
      </c>
      <c r="AN429" s="28">
        <f t="shared" si="237"/>
        <v>0</v>
      </c>
      <c r="AO429" s="17">
        <f t="shared" si="273"/>
        <v>0</v>
      </c>
      <c r="AP429" s="28">
        <f>+AO429*AF429</f>
        <v>0</v>
      </c>
      <c r="AQ429" s="17">
        <f t="shared" si="274"/>
        <v>0</v>
      </c>
      <c r="AR429" s="28">
        <f>+AQ429*AF429</f>
        <v>0</v>
      </c>
      <c r="AS429" s="17">
        <f t="shared" si="259"/>
        <v>0</v>
      </c>
      <c r="AT429" s="28">
        <f t="shared" si="260"/>
        <v>0</v>
      </c>
      <c r="AU429" s="17">
        <f t="shared" si="261"/>
        <v>0</v>
      </c>
      <c r="AV429" s="28">
        <f t="shared" si="262"/>
        <v>0</v>
      </c>
      <c r="AW429" s="17">
        <f t="shared" si="249"/>
        <v>0</v>
      </c>
      <c r="AX429" s="28">
        <f t="shared" si="250"/>
        <v>0</v>
      </c>
      <c r="AY429" s="17">
        <f t="shared" si="251"/>
        <v>0</v>
      </c>
      <c r="AZ429" s="28">
        <f t="shared" si="252"/>
        <v>0</v>
      </c>
      <c r="BA429" s="27">
        <f t="shared" ref="BA429:BA498" si="276">+AH429+AJ429</f>
        <v>0</v>
      </c>
      <c r="BB429" s="27">
        <f t="shared" si="254"/>
        <v>0</v>
      </c>
      <c r="BC429" s="27">
        <f t="shared" si="256"/>
        <v>0</v>
      </c>
      <c r="BD429" s="27">
        <f t="shared" si="257"/>
        <v>0</v>
      </c>
      <c r="BE429" s="27">
        <f t="shared" si="258"/>
        <v>0</v>
      </c>
      <c r="BF429" s="29">
        <f t="shared" si="228"/>
        <v>0</v>
      </c>
      <c r="BH429" s="30">
        <f t="shared" si="253"/>
        <v>0</v>
      </c>
      <c r="BM429" s="2">
        <f>SUM(B429:S429)</f>
        <v>0</v>
      </c>
      <c r="BP429" s="2">
        <f>SUM(B429:S429)</f>
        <v>0</v>
      </c>
    </row>
    <row r="430" spans="1:68" ht="14.45" customHeight="1" x14ac:dyDescent="0.25">
      <c r="A430" s="33" t="s">
        <v>424</v>
      </c>
      <c r="B430" s="23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13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5"/>
      <c r="AD430" s="25"/>
      <c r="AE430" s="26"/>
      <c r="AF430" s="27"/>
      <c r="AG430" s="17">
        <f t="shared" si="244"/>
        <v>0</v>
      </c>
      <c r="AH430" s="28">
        <f t="shared" si="245"/>
        <v>0</v>
      </c>
      <c r="AI430" s="17">
        <f t="shared" si="246"/>
        <v>0</v>
      </c>
      <c r="AJ430" s="28">
        <f t="shared" si="247"/>
        <v>0</v>
      </c>
      <c r="AK430" s="17">
        <f t="shared" si="255"/>
        <v>0</v>
      </c>
      <c r="AL430" s="28">
        <f t="shared" si="248"/>
        <v>0</v>
      </c>
      <c r="AM430" s="17">
        <f t="shared" si="263"/>
        <v>0</v>
      </c>
      <c r="AN430" s="28">
        <f t="shared" si="237"/>
        <v>0</v>
      </c>
      <c r="AO430" s="17"/>
      <c r="AP430" s="28"/>
      <c r="AQ430" s="17"/>
      <c r="AR430" s="28"/>
      <c r="AS430" s="17">
        <f t="shared" si="259"/>
        <v>0</v>
      </c>
      <c r="AT430" s="28">
        <f t="shared" si="260"/>
        <v>0</v>
      </c>
      <c r="AU430" s="17">
        <f t="shared" si="261"/>
        <v>0</v>
      </c>
      <c r="AV430" s="28">
        <f t="shared" si="262"/>
        <v>0</v>
      </c>
      <c r="AW430" s="17">
        <f t="shared" si="249"/>
        <v>0</v>
      </c>
      <c r="AX430" s="28">
        <f t="shared" si="250"/>
        <v>0</v>
      </c>
      <c r="AY430" s="17">
        <f t="shared" si="251"/>
        <v>0</v>
      </c>
      <c r="AZ430" s="28">
        <f t="shared" si="252"/>
        <v>0</v>
      </c>
      <c r="BA430" s="27"/>
      <c r="BB430" s="27">
        <f t="shared" si="254"/>
        <v>0</v>
      </c>
      <c r="BC430" s="27">
        <f t="shared" si="256"/>
        <v>0</v>
      </c>
      <c r="BD430" s="27">
        <f t="shared" si="257"/>
        <v>0</v>
      </c>
      <c r="BE430" s="27">
        <f t="shared" si="258"/>
        <v>0</v>
      </c>
      <c r="BF430" s="29"/>
      <c r="BH430" s="30">
        <f t="shared" si="253"/>
        <v>0</v>
      </c>
    </row>
    <row r="431" spans="1:68" x14ac:dyDescent="0.25">
      <c r="A431" s="33" t="s">
        <v>449</v>
      </c>
      <c r="B431" s="23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13">
        <v>28</v>
      </c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5"/>
      <c r="AD431" s="39">
        <f t="shared" si="275"/>
        <v>28</v>
      </c>
      <c r="AE431" s="26" t="s">
        <v>42</v>
      </c>
      <c r="AF431" s="27">
        <v>28490</v>
      </c>
      <c r="AG431" s="17">
        <f t="shared" si="244"/>
        <v>0</v>
      </c>
      <c r="AH431" s="28">
        <f t="shared" si="245"/>
        <v>0</v>
      </c>
      <c r="AI431" s="17">
        <f t="shared" si="246"/>
        <v>0</v>
      </c>
      <c r="AJ431" s="28">
        <f t="shared" si="247"/>
        <v>0</v>
      </c>
      <c r="AK431" s="17">
        <f t="shared" si="255"/>
        <v>28</v>
      </c>
      <c r="AL431" s="28">
        <f t="shared" si="248"/>
        <v>797720</v>
      </c>
      <c r="AM431" s="17">
        <f t="shared" si="263"/>
        <v>0</v>
      </c>
      <c r="AN431" s="28">
        <f t="shared" si="237"/>
        <v>0</v>
      </c>
      <c r="AO431" s="17">
        <f>+B431</f>
        <v>0</v>
      </c>
      <c r="AP431" s="28">
        <f>+AO431*AF431</f>
        <v>0</v>
      </c>
      <c r="AQ431" s="17">
        <f>+P431</f>
        <v>0</v>
      </c>
      <c r="AR431" s="28">
        <f>+AQ431*AF431</f>
        <v>0</v>
      </c>
      <c r="AS431" s="17">
        <f t="shared" si="259"/>
        <v>0</v>
      </c>
      <c r="AT431" s="28">
        <f t="shared" si="260"/>
        <v>0</v>
      </c>
      <c r="AU431" s="17">
        <f t="shared" si="261"/>
        <v>0</v>
      </c>
      <c r="AV431" s="28">
        <f t="shared" si="262"/>
        <v>0</v>
      </c>
      <c r="AW431" s="17">
        <f t="shared" si="249"/>
        <v>0</v>
      </c>
      <c r="AX431" s="28">
        <f t="shared" si="250"/>
        <v>0</v>
      </c>
      <c r="AY431" s="17">
        <f t="shared" si="251"/>
        <v>0</v>
      </c>
      <c r="AZ431" s="28">
        <f t="shared" si="252"/>
        <v>0</v>
      </c>
      <c r="BA431" s="27">
        <f t="shared" si="276"/>
        <v>0</v>
      </c>
      <c r="BB431" s="27">
        <f t="shared" si="254"/>
        <v>797720</v>
      </c>
      <c r="BC431" s="27">
        <f t="shared" si="256"/>
        <v>0</v>
      </c>
      <c r="BD431" s="27">
        <f t="shared" si="257"/>
        <v>0</v>
      </c>
      <c r="BE431" s="27">
        <f t="shared" si="258"/>
        <v>0</v>
      </c>
      <c r="BF431" s="29">
        <f t="shared" ref="BF431:BF499" si="277">+BB431+BA431*5%+BD431*30%</f>
        <v>797720</v>
      </c>
      <c r="BH431" s="30">
        <f t="shared" si="253"/>
        <v>28</v>
      </c>
      <c r="BM431" s="2">
        <f>SUM(B431:S431)</f>
        <v>28</v>
      </c>
      <c r="BP431" s="2">
        <f>SUM(B431:S431)</f>
        <v>28</v>
      </c>
    </row>
    <row r="432" spans="1:68" x14ac:dyDescent="0.25">
      <c r="A432" s="33" t="s">
        <v>450</v>
      </c>
      <c r="B432" s="23"/>
      <c r="C432" s="24"/>
      <c r="D432" s="24">
        <v>13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13">
        <v>7</v>
      </c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5"/>
      <c r="AD432" s="39">
        <f t="shared" si="275"/>
        <v>20</v>
      </c>
      <c r="AE432" s="26" t="s">
        <v>42</v>
      </c>
      <c r="AF432" s="27">
        <v>17000</v>
      </c>
      <c r="AG432" s="17">
        <f t="shared" si="244"/>
        <v>0</v>
      </c>
      <c r="AH432" s="28">
        <f t="shared" si="245"/>
        <v>0</v>
      </c>
      <c r="AI432" s="17">
        <f t="shared" si="246"/>
        <v>0</v>
      </c>
      <c r="AJ432" s="28">
        <f t="shared" si="247"/>
        <v>0</v>
      </c>
      <c r="AK432" s="17">
        <f t="shared" si="255"/>
        <v>7</v>
      </c>
      <c r="AL432" s="28">
        <f t="shared" si="248"/>
        <v>119000</v>
      </c>
      <c r="AM432" s="17">
        <f t="shared" si="263"/>
        <v>0</v>
      </c>
      <c r="AN432" s="28">
        <f t="shared" si="237"/>
        <v>0</v>
      </c>
      <c r="AO432" s="17">
        <f>+B432</f>
        <v>0</v>
      </c>
      <c r="AP432" s="28">
        <f>+AO432*AF432</f>
        <v>0</v>
      </c>
      <c r="AQ432" s="17">
        <f>+P432</f>
        <v>0</v>
      </c>
      <c r="AR432" s="28">
        <f>+AQ432*AF432</f>
        <v>0</v>
      </c>
      <c r="AS432" s="17">
        <f t="shared" si="259"/>
        <v>0</v>
      </c>
      <c r="AT432" s="28">
        <f t="shared" si="260"/>
        <v>0</v>
      </c>
      <c r="AU432" s="17">
        <f t="shared" si="261"/>
        <v>0</v>
      </c>
      <c r="AV432" s="28">
        <f t="shared" si="262"/>
        <v>0</v>
      </c>
      <c r="AW432" s="17">
        <f t="shared" si="249"/>
        <v>13</v>
      </c>
      <c r="AX432" s="28">
        <f t="shared" si="250"/>
        <v>221000</v>
      </c>
      <c r="AY432" s="17">
        <f t="shared" si="251"/>
        <v>0</v>
      </c>
      <c r="AZ432" s="28">
        <f t="shared" si="252"/>
        <v>0</v>
      </c>
      <c r="BA432" s="27">
        <f t="shared" si="276"/>
        <v>0</v>
      </c>
      <c r="BB432" s="27">
        <f t="shared" si="254"/>
        <v>119000</v>
      </c>
      <c r="BC432" s="27">
        <f t="shared" si="256"/>
        <v>0</v>
      </c>
      <c r="BD432" s="27">
        <f t="shared" si="257"/>
        <v>0</v>
      </c>
      <c r="BE432" s="27">
        <f t="shared" si="258"/>
        <v>221000</v>
      </c>
      <c r="BF432" s="29">
        <f t="shared" si="277"/>
        <v>119000</v>
      </c>
      <c r="BH432" s="30">
        <f t="shared" si="253"/>
        <v>7</v>
      </c>
      <c r="BM432" s="2">
        <f>SUM(B432:S432)</f>
        <v>20</v>
      </c>
      <c r="BP432" s="2">
        <f>SUM(B432:S432)</f>
        <v>20</v>
      </c>
    </row>
    <row r="433" spans="1:68" ht="14.45" hidden="1" customHeight="1" x14ac:dyDescent="0.25">
      <c r="A433" s="33" t="s">
        <v>451</v>
      </c>
      <c r="B433" s="23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13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5"/>
      <c r="AD433" s="25">
        <f t="shared" si="275"/>
        <v>0</v>
      </c>
      <c r="AE433" s="26" t="s">
        <v>42</v>
      </c>
      <c r="AF433" s="27"/>
      <c r="AG433" s="17">
        <f t="shared" si="244"/>
        <v>0</v>
      </c>
      <c r="AH433" s="28">
        <f t="shared" si="245"/>
        <v>0</v>
      </c>
      <c r="AI433" s="17">
        <f t="shared" si="246"/>
        <v>0</v>
      </c>
      <c r="AJ433" s="28">
        <f t="shared" si="247"/>
        <v>0</v>
      </c>
      <c r="AK433" s="17">
        <f t="shared" si="255"/>
        <v>0</v>
      </c>
      <c r="AL433" s="28">
        <f t="shared" si="248"/>
        <v>0</v>
      </c>
      <c r="AM433" s="17">
        <f t="shared" si="263"/>
        <v>0</v>
      </c>
      <c r="AN433" s="28">
        <f t="shared" ref="AN433:AN496" si="278">+AM433*AF433</f>
        <v>0</v>
      </c>
      <c r="AO433" s="17">
        <f>+B433</f>
        <v>0</v>
      </c>
      <c r="AP433" s="28">
        <f>+AO433*AF433</f>
        <v>0</v>
      </c>
      <c r="AQ433" s="17">
        <f>+P433</f>
        <v>0</v>
      </c>
      <c r="AR433" s="28">
        <f>+AQ433*AF433</f>
        <v>0</v>
      </c>
      <c r="AS433" s="17">
        <f t="shared" si="259"/>
        <v>0</v>
      </c>
      <c r="AT433" s="28">
        <f t="shared" si="260"/>
        <v>0</v>
      </c>
      <c r="AU433" s="17">
        <f t="shared" si="261"/>
        <v>0</v>
      </c>
      <c r="AV433" s="28">
        <f t="shared" si="262"/>
        <v>0</v>
      </c>
      <c r="AW433" s="17">
        <f t="shared" si="249"/>
        <v>0</v>
      </c>
      <c r="AX433" s="28">
        <f t="shared" si="250"/>
        <v>0</v>
      </c>
      <c r="AY433" s="17">
        <f t="shared" si="251"/>
        <v>0</v>
      </c>
      <c r="AZ433" s="28">
        <f t="shared" si="252"/>
        <v>0</v>
      </c>
      <c r="BA433" s="27">
        <f t="shared" si="276"/>
        <v>0</v>
      </c>
      <c r="BB433" s="27">
        <f t="shared" si="254"/>
        <v>0</v>
      </c>
      <c r="BC433" s="27">
        <f t="shared" si="256"/>
        <v>0</v>
      </c>
      <c r="BD433" s="27">
        <f t="shared" si="257"/>
        <v>0</v>
      </c>
      <c r="BE433" s="27">
        <f t="shared" si="258"/>
        <v>0</v>
      </c>
      <c r="BF433" s="29">
        <f t="shared" si="277"/>
        <v>0</v>
      </c>
      <c r="BH433" s="30">
        <f t="shared" si="253"/>
        <v>0</v>
      </c>
      <c r="BM433" s="2">
        <f>SUM(B433:S433)</f>
        <v>0</v>
      </c>
      <c r="BP433" s="2">
        <f>SUM(B433:S433)</f>
        <v>0</v>
      </c>
    </row>
    <row r="434" spans="1:68" x14ac:dyDescent="0.25">
      <c r="A434" s="33" t="s">
        <v>452</v>
      </c>
      <c r="B434" s="23"/>
      <c r="C434" s="24"/>
      <c r="D434" s="24">
        <v>169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13">
        <v>30</v>
      </c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5"/>
      <c r="AD434" s="37">
        <f t="shared" si="275"/>
        <v>199</v>
      </c>
      <c r="AE434" s="26" t="s">
        <v>42</v>
      </c>
      <c r="AF434" s="27">
        <v>24420</v>
      </c>
      <c r="AG434" s="17">
        <f t="shared" si="244"/>
        <v>0</v>
      </c>
      <c r="AH434" s="28">
        <f t="shared" si="245"/>
        <v>0</v>
      </c>
      <c r="AI434" s="17">
        <f t="shared" si="246"/>
        <v>0</v>
      </c>
      <c r="AJ434" s="28">
        <f t="shared" si="247"/>
        <v>0</v>
      </c>
      <c r="AK434" s="17">
        <f t="shared" si="255"/>
        <v>30</v>
      </c>
      <c r="AL434" s="28">
        <f t="shared" si="248"/>
        <v>732600</v>
      </c>
      <c r="AM434" s="17">
        <f t="shared" si="263"/>
        <v>0</v>
      </c>
      <c r="AN434" s="28">
        <f t="shared" si="278"/>
        <v>0</v>
      </c>
      <c r="AO434" s="17">
        <f>+B434</f>
        <v>0</v>
      </c>
      <c r="AP434" s="28">
        <f>+AO434*AF434</f>
        <v>0</v>
      </c>
      <c r="AQ434" s="17">
        <f>+P434</f>
        <v>0</v>
      </c>
      <c r="AR434" s="28">
        <f>+AQ434*AF434</f>
        <v>0</v>
      </c>
      <c r="AS434" s="17">
        <f t="shared" si="259"/>
        <v>0</v>
      </c>
      <c r="AT434" s="28">
        <f t="shared" si="260"/>
        <v>0</v>
      </c>
      <c r="AU434" s="17">
        <f t="shared" si="261"/>
        <v>0</v>
      </c>
      <c r="AV434" s="28">
        <f t="shared" si="262"/>
        <v>0</v>
      </c>
      <c r="AW434" s="17">
        <f t="shared" si="249"/>
        <v>169</v>
      </c>
      <c r="AX434" s="28">
        <f t="shared" si="250"/>
        <v>4126980</v>
      </c>
      <c r="AY434" s="17">
        <f t="shared" si="251"/>
        <v>0</v>
      </c>
      <c r="AZ434" s="28">
        <f t="shared" si="252"/>
        <v>0</v>
      </c>
      <c r="BA434" s="27">
        <f t="shared" si="276"/>
        <v>0</v>
      </c>
      <c r="BB434" s="27">
        <f t="shared" si="254"/>
        <v>732600</v>
      </c>
      <c r="BC434" s="27">
        <f t="shared" si="256"/>
        <v>0</v>
      </c>
      <c r="BD434" s="27">
        <f t="shared" si="257"/>
        <v>0</v>
      </c>
      <c r="BE434" s="27">
        <f t="shared" si="258"/>
        <v>4126980</v>
      </c>
      <c r="BF434" s="29">
        <f t="shared" si="277"/>
        <v>732600</v>
      </c>
      <c r="BH434" s="30">
        <f t="shared" si="253"/>
        <v>30</v>
      </c>
      <c r="BM434" s="2">
        <f>SUM(B434:S434)</f>
        <v>199</v>
      </c>
      <c r="BP434" s="2">
        <f>SUM(B434:S434)</f>
        <v>199</v>
      </c>
    </row>
    <row r="435" spans="1:68" ht="14.45" hidden="1" customHeight="1" x14ac:dyDescent="0.25">
      <c r="A435" s="33" t="s">
        <v>453</v>
      </c>
      <c r="B435" s="23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13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5"/>
      <c r="AD435" s="25">
        <f t="shared" si="275"/>
        <v>0</v>
      </c>
      <c r="AE435" s="26" t="s">
        <v>42</v>
      </c>
      <c r="AF435" s="27"/>
      <c r="AG435" s="17">
        <f t="shared" si="244"/>
        <v>0</v>
      </c>
      <c r="AH435" s="28">
        <f t="shared" si="245"/>
        <v>0</v>
      </c>
      <c r="AI435" s="17">
        <f t="shared" si="246"/>
        <v>0</v>
      </c>
      <c r="AJ435" s="28">
        <f t="shared" si="247"/>
        <v>0</v>
      </c>
      <c r="AK435" s="17">
        <f t="shared" si="255"/>
        <v>0</v>
      </c>
      <c r="AL435" s="28">
        <f t="shared" si="248"/>
        <v>0</v>
      </c>
      <c r="AM435" s="17">
        <f t="shared" si="263"/>
        <v>0</v>
      </c>
      <c r="AN435" s="28">
        <f t="shared" si="278"/>
        <v>0</v>
      </c>
      <c r="AO435" s="17">
        <f>+B435</f>
        <v>0</v>
      </c>
      <c r="AP435" s="28">
        <f>+AO435*AF435</f>
        <v>0</v>
      </c>
      <c r="AQ435" s="17">
        <f>+P435</f>
        <v>0</v>
      </c>
      <c r="AR435" s="28">
        <f>+AQ435*AF435</f>
        <v>0</v>
      </c>
      <c r="AS435" s="17">
        <f t="shared" si="259"/>
        <v>0</v>
      </c>
      <c r="AT435" s="28">
        <f t="shared" si="260"/>
        <v>0</v>
      </c>
      <c r="AU435" s="17">
        <f t="shared" si="261"/>
        <v>0</v>
      </c>
      <c r="AV435" s="28">
        <f t="shared" si="262"/>
        <v>0</v>
      </c>
      <c r="AW435" s="17">
        <f t="shared" si="249"/>
        <v>0</v>
      </c>
      <c r="AX435" s="28">
        <f t="shared" si="250"/>
        <v>0</v>
      </c>
      <c r="AY435" s="17">
        <f t="shared" si="251"/>
        <v>0</v>
      </c>
      <c r="AZ435" s="28">
        <f t="shared" si="252"/>
        <v>0</v>
      </c>
      <c r="BA435" s="27">
        <f t="shared" si="276"/>
        <v>0</v>
      </c>
      <c r="BB435" s="27">
        <f t="shared" si="254"/>
        <v>0</v>
      </c>
      <c r="BC435" s="27">
        <f t="shared" si="256"/>
        <v>0</v>
      </c>
      <c r="BD435" s="27">
        <f t="shared" si="257"/>
        <v>0</v>
      </c>
      <c r="BE435" s="27">
        <f t="shared" si="258"/>
        <v>0</v>
      </c>
      <c r="BF435" s="29">
        <f t="shared" si="277"/>
        <v>0</v>
      </c>
      <c r="BH435" s="30">
        <f t="shared" si="253"/>
        <v>0</v>
      </c>
      <c r="BM435" s="2">
        <f>SUM(B435:S435)</f>
        <v>0</v>
      </c>
      <c r="BP435" s="2">
        <f>SUM(B435:S435)</f>
        <v>0</v>
      </c>
    </row>
    <row r="436" spans="1:68" ht="14.45" customHeight="1" x14ac:dyDescent="0.25">
      <c r="A436" s="33" t="s">
        <v>454</v>
      </c>
      <c r="B436" s="23"/>
      <c r="C436" s="24"/>
      <c r="D436" s="24">
        <v>692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13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5"/>
      <c r="AD436" s="25"/>
      <c r="AE436" s="26"/>
      <c r="AF436" s="27"/>
      <c r="AG436" s="17">
        <f t="shared" si="244"/>
        <v>0</v>
      </c>
      <c r="AH436" s="28">
        <f t="shared" si="245"/>
        <v>0</v>
      </c>
      <c r="AI436" s="17">
        <f t="shared" si="246"/>
        <v>0</v>
      </c>
      <c r="AJ436" s="28">
        <f t="shared" si="247"/>
        <v>0</v>
      </c>
      <c r="AK436" s="17">
        <f t="shared" si="255"/>
        <v>0</v>
      </c>
      <c r="AL436" s="28">
        <f t="shared" si="248"/>
        <v>0</v>
      </c>
      <c r="AM436" s="17">
        <f t="shared" si="263"/>
        <v>0</v>
      </c>
      <c r="AN436" s="28">
        <f t="shared" si="278"/>
        <v>0</v>
      </c>
      <c r="AO436" s="17"/>
      <c r="AP436" s="28"/>
      <c r="AQ436" s="17"/>
      <c r="AR436" s="28"/>
      <c r="AS436" s="17">
        <f t="shared" si="259"/>
        <v>0</v>
      </c>
      <c r="AT436" s="28">
        <f t="shared" si="260"/>
        <v>0</v>
      </c>
      <c r="AU436" s="17">
        <f t="shared" si="261"/>
        <v>0</v>
      </c>
      <c r="AV436" s="28">
        <f t="shared" si="262"/>
        <v>0</v>
      </c>
      <c r="AW436" s="17">
        <f t="shared" si="249"/>
        <v>692</v>
      </c>
      <c r="AX436" s="28">
        <f t="shared" si="250"/>
        <v>0</v>
      </c>
      <c r="AY436" s="17">
        <f t="shared" si="251"/>
        <v>0</v>
      </c>
      <c r="AZ436" s="28">
        <f t="shared" si="252"/>
        <v>0</v>
      </c>
      <c r="BA436" s="27"/>
      <c r="BB436" s="27">
        <f t="shared" si="254"/>
        <v>0</v>
      </c>
      <c r="BC436" s="27">
        <f t="shared" si="256"/>
        <v>0</v>
      </c>
      <c r="BD436" s="27">
        <f t="shared" si="257"/>
        <v>0</v>
      </c>
      <c r="BE436" s="27">
        <f t="shared" si="258"/>
        <v>0</v>
      </c>
      <c r="BF436" s="29"/>
      <c r="BH436" s="30">
        <f t="shared" si="253"/>
        <v>0</v>
      </c>
    </row>
    <row r="437" spans="1:68" x14ac:dyDescent="0.25">
      <c r="A437" s="33" t="s">
        <v>455</v>
      </c>
      <c r="B437" s="23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13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5"/>
      <c r="AD437" s="25">
        <f t="shared" si="275"/>
        <v>0</v>
      </c>
      <c r="AE437" s="26" t="s">
        <v>42</v>
      </c>
      <c r="AF437" s="27">
        <f>4.2*656*1.69</f>
        <v>4656.2880000000005</v>
      </c>
      <c r="AG437" s="17">
        <f t="shared" si="244"/>
        <v>0</v>
      </c>
      <c r="AH437" s="28">
        <f t="shared" si="245"/>
        <v>0</v>
      </c>
      <c r="AI437" s="17">
        <f t="shared" si="246"/>
        <v>0</v>
      </c>
      <c r="AJ437" s="28">
        <f t="shared" si="247"/>
        <v>0</v>
      </c>
      <c r="AK437" s="17">
        <f t="shared" si="255"/>
        <v>0</v>
      </c>
      <c r="AL437" s="28">
        <f t="shared" si="248"/>
        <v>0</v>
      </c>
      <c r="AM437" s="17">
        <f t="shared" si="263"/>
        <v>0</v>
      </c>
      <c r="AN437" s="28">
        <f t="shared" si="278"/>
        <v>0</v>
      </c>
      <c r="AO437" s="17">
        <f t="shared" ref="AO437:AO443" si="279">+B437</f>
        <v>0</v>
      </c>
      <c r="AP437" s="28">
        <f t="shared" ref="AP437:AP443" si="280">+AO437*AF437</f>
        <v>0</v>
      </c>
      <c r="AQ437" s="17">
        <f t="shared" ref="AQ437:AQ443" si="281">+P437</f>
        <v>0</v>
      </c>
      <c r="AR437" s="28">
        <f t="shared" ref="AR437:AR443" si="282">+AQ437*AF437</f>
        <v>0</v>
      </c>
      <c r="AS437" s="17">
        <f t="shared" si="259"/>
        <v>0</v>
      </c>
      <c r="AT437" s="28">
        <f t="shared" si="260"/>
        <v>0</v>
      </c>
      <c r="AU437" s="17">
        <f t="shared" si="261"/>
        <v>0</v>
      </c>
      <c r="AV437" s="28">
        <f t="shared" si="262"/>
        <v>0</v>
      </c>
      <c r="AW437" s="17">
        <f t="shared" si="249"/>
        <v>0</v>
      </c>
      <c r="AX437" s="28">
        <f t="shared" si="250"/>
        <v>0</v>
      </c>
      <c r="AY437" s="17">
        <f t="shared" si="251"/>
        <v>0</v>
      </c>
      <c r="AZ437" s="28">
        <f t="shared" si="252"/>
        <v>0</v>
      </c>
      <c r="BA437" s="27">
        <f t="shared" si="276"/>
        <v>0</v>
      </c>
      <c r="BB437" s="27">
        <f t="shared" si="254"/>
        <v>0</v>
      </c>
      <c r="BC437" s="27">
        <f t="shared" si="256"/>
        <v>0</v>
      </c>
      <c r="BD437" s="27">
        <f t="shared" si="257"/>
        <v>0</v>
      </c>
      <c r="BE437" s="27">
        <f t="shared" si="258"/>
        <v>0</v>
      </c>
      <c r="BF437" s="29">
        <f t="shared" si="277"/>
        <v>0</v>
      </c>
      <c r="BH437" s="30">
        <f t="shared" si="253"/>
        <v>0</v>
      </c>
      <c r="BM437" s="2">
        <f t="shared" ref="BM437:BM443" si="283">SUM(B437:S437)</f>
        <v>0</v>
      </c>
      <c r="BP437" s="2">
        <f t="shared" ref="BP437:BP443" si="284">SUM(B437:S437)</f>
        <v>0</v>
      </c>
    </row>
    <row r="438" spans="1:68" x14ac:dyDescent="0.25">
      <c r="A438" s="33" t="s">
        <v>456</v>
      </c>
      <c r="B438" s="23"/>
      <c r="C438" s="24"/>
      <c r="D438" s="24">
        <v>692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13">
        <v>86</v>
      </c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5"/>
      <c r="AD438" s="25">
        <f t="shared" si="275"/>
        <v>778</v>
      </c>
      <c r="AE438" s="26" t="s">
        <v>42</v>
      </c>
      <c r="AF438" s="27">
        <v>3050</v>
      </c>
      <c r="AG438" s="17">
        <f t="shared" si="244"/>
        <v>0</v>
      </c>
      <c r="AH438" s="28">
        <f t="shared" si="245"/>
        <v>0</v>
      </c>
      <c r="AI438" s="17">
        <f t="shared" si="246"/>
        <v>0</v>
      </c>
      <c r="AJ438" s="28">
        <f t="shared" si="247"/>
        <v>0</v>
      </c>
      <c r="AK438" s="17">
        <f t="shared" si="255"/>
        <v>86</v>
      </c>
      <c r="AL438" s="28">
        <f t="shared" si="248"/>
        <v>262300</v>
      </c>
      <c r="AM438" s="17">
        <f t="shared" si="263"/>
        <v>0</v>
      </c>
      <c r="AN438" s="28">
        <f t="shared" si="278"/>
        <v>0</v>
      </c>
      <c r="AO438" s="17">
        <f t="shared" si="279"/>
        <v>0</v>
      </c>
      <c r="AP438" s="28">
        <f t="shared" si="280"/>
        <v>0</v>
      </c>
      <c r="AQ438" s="17">
        <f t="shared" si="281"/>
        <v>0</v>
      </c>
      <c r="AR438" s="28">
        <f t="shared" si="282"/>
        <v>0</v>
      </c>
      <c r="AS438" s="17">
        <f t="shared" si="259"/>
        <v>0</v>
      </c>
      <c r="AT438" s="28">
        <f t="shared" si="260"/>
        <v>0</v>
      </c>
      <c r="AU438" s="17">
        <f t="shared" si="261"/>
        <v>0</v>
      </c>
      <c r="AV438" s="28">
        <f t="shared" si="262"/>
        <v>0</v>
      </c>
      <c r="AW438" s="17">
        <f t="shared" si="249"/>
        <v>692</v>
      </c>
      <c r="AX438" s="28">
        <f t="shared" si="250"/>
        <v>2110600</v>
      </c>
      <c r="AY438" s="17">
        <f t="shared" si="251"/>
        <v>0</v>
      </c>
      <c r="AZ438" s="28">
        <f t="shared" si="252"/>
        <v>0</v>
      </c>
      <c r="BA438" s="27">
        <f t="shared" si="276"/>
        <v>0</v>
      </c>
      <c r="BB438" s="27">
        <f t="shared" si="254"/>
        <v>262300</v>
      </c>
      <c r="BC438" s="27">
        <f t="shared" si="256"/>
        <v>0</v>
      </c>
      <c r="BD438" s="27">
        <f t="shared" si="257"/>
        <v>0</v>
      </c>
      <c r="BE438" s="27">
        <f t="shared" si="258"/>
        <v>2110600</v>
      </c>
      <c r="BF438" s="29">
        <f t="shared" si="277"/>
        <v>262300</v>
      </c>
      <c r="BH438" s="30">
        <f t="shared" si="253"/>
        <v>86</v>
      </c>
      <c r="BM438" s="2">
        <f t="shared" si="283"/>
        <v>778</v>
      </c>
      <c r="BP438" s="2">
        <f t="shared" si="284"/>
        <v>778</v>
      </c>
    </row>
    <row r="439" spans="1:68" ht="14.45" hidden="1" customHeight="1" x14ac:dyDescent="0.25">
      <c r="A439" s="33" t="s">
        <v>457</v>
      </c>
      <c r="B439" s="23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13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5"/>
      <c r="AD439" s="25">
        <f t="shared" si="275"/>
        <v>0</v>
      </c>
      <c r="AE439" s="26" t="s">
        <v>42</v>
      </c>
      <c r="AF439" s="27"/>
      <c r="AG439" s="17">
        <f t="shared" si="244"/>
        <v>0</v>
      </c>
      <c r="AH439" s="28">
        <f t="shared" si="245"/>
        <v>0</v>
      </c>
      <c r="AI439" s="17">
        <f t="shared" si="246"/>
        <v>0</v>
      </c>
      <c r="AJ439" s="28">
        <f t="shared" si="247"/>
        <v>0</v>
      </c>
      <c r="AK439" s="17">
        <f t="shared" si="255"/>
        <v>0</v>
      </c>
      <c r="AL439" s="28">
        <f t="shared" si="248"/>
        <v>0</v>
      </c>
      <c r="AM439" s="17">
        <f t="shared" si="263"/>
        <v>0</v>
      </c>
      <c r="AN439" s="28">
        <f t="shared" si="278"/>
        <v>0</v>
      </c>
      <c r="AO439" s="17">
        <f t="shared" si="279"/>
        <v>0</v>
      </c>
      <c r="AP439" s="28">
        <f t="shared" si="280"/>
        <v>0</v>
      </c>
      <c r="AQ439" s="17">
        <f t="shared" si="281"/>
        <v>0</v>
      </c>
      <c r="AR439" s="28">
        <f t="shared" si="282"/>
        <v>0</v>
      </c>
      <c r="AS439" s="17">
        <f t="shared" si="259"/>
        <v>0</v>
      </c>
      <c r="AT439" s="28">
        <f t="shared" si="260"/>
        <v>0</v>
      </c>
      <c r="AU439" s="17">
        <f t="shared" si="261"/>
        <v>0</v>
      </c>
      <c r="AV439" s="28">
        <f t="shared" si="262"/>
        <v>0</v>
      </c>
      <c r="AW439" s="17">
        <f t="shared" si="249"/>
        <v>0</v>
      </c>
      <c r="AX439" s="28">
        <f t="shared" si="250"/>
        <v>0</v>
      </c>
      <c r="AY439" s="17">
        <f t="shared" si="251"/>
        <v>0</v>
      </c>
      <c r="AZ439" s="28">
        <f t="shared" si="252"/>
        <v>0</v>
      </c>
      <c r="BA439" s="27">
        <f t="shared" si="276"/>
        <v>0</v>
      </c>
      <c r="BB439" s="27">
        <f t="shared" si="254"/>
        <v>0</v>
      </c>
      <c r="BC439" s="27">
        <f t="shared" si="256"/>
        <v>0</v>
      </c>
      <c r="BD439" s="27">
        <f t="shared" si="257"/>
        <v>0</v>
      </c>
      <c r="BE439" s="27">
        <f t="shared" si="258"/>
        <v>0</v>
      </c>
      <c r="BF439" s="29">
        <f t="shared" si="277"/>
        <v>0</v>
      </c>
      <c r="BH439" s="30">
        <f t="shared" si="253"/>
        <v>0</v>
      </c>
      <c r="BM439" s="2">
        <f t="shared" si="283"/>
        <v>0</v>
      </c>
      <c r="BP439" s="2">
        <f t="shared" si="284"/>
        <v>0</v>
      </c>
    </row>
    <row r="440" spans="1:68" x14ac:dyDescent="0.25">
      <c r="A440" s="33" t="s">
        <v>458</v>
      </c>
      <c r="B440" s="23"/>
      <c r="C440" s="24"/>
      <c r="D440" s="24">
        <v>173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13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5"/>
      <c r="AD440" s="25">
        <f t="shared" si="275"/>
        <v>173</v>
      </c>
      <c r="AE440" s="26" t="s">
        <v>42</v>
      </c>
      <c r="AF440" s="27">
        <v>5500</v>
      </c>
      <c r="AG440" s="17">
        <f t="shared" si="244"/>
        <v>0</v>
      </c>
      <c r="AH440" s="28">
        <f t="shared" si="245"/>
        <v>0</v>
      </c>
      <c r="AI440" s="17">
        <f t="shared" si="246"/>
        <v>0</v>
      </c>
      <c r="AJ440" s="28">
        <f t="shared" si="247"/>
        <v>0</v>
      </c>
      <c r="AK440" s="17">
        <f t="shared" si="255"/>
        <v>0</v>
      </c>
      <c r="AL440" s="28">
        <f t="shared" si="248"/>
        <v>0</v>
      </c>
      <c r="AM440" s="17">
        <f t="shared" si="263"/>
        <v>0</v>
      </c>
      <c r="AN440" s="28">
        <f t="shared" si="278"/>
        <v>0</v>
      </c>
      <c r="AO440" s="17">
        <f t="shared" si="279"/>
        <v>0</v>
      </c>
      <c r="AP440" s="28">
        <f t="shared" si="280"/>
        <v>0</v>
      </c>
      <c r="AQ440" s="17">
        <f t="shared" si="281"/>
        <v>0</v>
      </c>
      <c r="AR440" s="28">
        <f t="shared" si="282"/>
        <v>0</v>
      </c>
      <c r="AS440" s="17">
        <f t="shared" si="259"/>
        <v>0</v>
      </c>
      <c r="AT440" s="28">
        <f t="shared" si="260"/>
        <v>0</v>
      </c>
      <c r="AU440" s="17">
        <f t="shared" si="261"/>
        <v>0</v>
      </c>
      <c r="AV440" s="28">
        <f t="shared" si="262"/>
        <v>0</v>
      </c>
      <c r="AW440" s="17">
        <f t="shared" si="249"/>
        <v>173</v>
      </c>
      <c r="AX440" s="28">
        <f t="shared" si="250"/>
        <v>951500</v>
      </c>
      <c r="AY440" s="17">
        <f t="shared" si="251"/>
        <v>0</v>
      </c>
      <c r="AZ440" s="28">
        <f t="shared" si="252"/>
        <v>0</v>
      </c>
      <c r="BA440" s="27">
        <f t="shared" si="276"/>
        <v>0</v>
      </c>
      <c r="BB440" s="27">
        <f t="shared" si="254"/>
        <v>0</v>
      </c>
      <c r="BC440" s="27">
        <f t="shared" si="256"/>
        <v>0</v>
      </c>
      <c r="BD440" s="27">
        <f t="shared" si="257"/>
        <v>0</v>
      </c>
      <c r="BE440" s="27">
        <f t="shared" si="258"/>
        <v>951500</v>
      </c>
      <c r="BF440" s="29">
        <f t="shared" si="277"/>
        <v>0</v>
      </c>
      <c r="BH440" s="30">
        <f t="shared" si="253"/>
        <v>0</v>
      </c>
      <c r="BM440" s="2">
        <f t="shared" si="283"/>
        <v>173</v>
      </c>
      <c r="BP440" s="2">
        <f t="shared" si="284"/>
        <v>173</v>
      </c>
    </row>
    <row r="441" spans="1:68" ht="14.45" hidden="1" customHeight="1" x14ac:dyDescent="0.25">
      <c r="A441" s="33" t="s">
        <v>426</v>
      </c>
      <c r="B441" s="23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13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5"/>
      <c r="AD441" s="25">
        <f t="shared" si="275"/>
        <v>0</v>
      </c>
      <c r="AE441" s="26" t="s">
        <v>42</v>
      </c>
      <c r="AF441" s="27"/>
      <c r="AG441" s="17">
        <f t="shared" si="244"/>
        <v>0</v>
      </c>
      <c r="AH441" s="28">
        <f t="shared" si="245"/>
        <v>0</v>
      </c>
      <c r="AI441" s="17">
        <f t="shared" si="246"/>
        <v>0</v>
      </c>
      <c r="AJ441" s="28">
        <f t="shared" si="247"/>
        <v>0</v>
      </c>
      <c r="AK441" s="17">
        <f t="shared" si="255"/>
        <v>0</v>
      </c>
      <c r="AL441" s="28">
        <f t="shared" si="248"/>
        <v>0</v>
      </c>
      <c r="AM441" s="17">
        <f t="shared" si="263"/>
        <v>0</v>
      </c>
      <c r="AN441" s="28">
        <f t="shared" si="278"/>
        <v>0</v>
      </c>
      <c r="AO441" s="17">
        <f t="shared" si="279"/>
        <v>0</v>
      </c>
      <c r="AP441" s="28">
        <f t="shared" si="280"/>
        <v>0</v>
      </c>
      <c r="AQ441" s="17">
        <f t="shared" si="281"/>
        <v>0</v>
      </c>
      <c r="AR441" s="28">
        <f t="shared" si="282"/>
        <v>0</v>
      </c>
      <c r="AS441" s="17">
        <f t="shared" si="259"/>
        <v>0</v>
      </c>
      <c r="AT441" s="28">
        <f t="shared" si="260"/>
        <v>0</v>
      </c>
      <c r="AU441" s="17">
        <f t="shared" si="261"/>
        <v>0</v>
      </c>
      <c r="AV441" s="28">
        <f t="shared" si="262"/>
        <v>0</v>
      </c>
      <c r="AW441" s="17">
        <f t="shared" si="249"/>
        <v>0</v>
      </c>
      <c r="AX441" s="28">
        <f t="shared" si="250"/>
        <v>0</v>
      </c>
      <c r="AY441" s="17">
        <f t="shared" si="251"/>
        <v>0</v>
      </c>
      <c r="AZ441" s="28">
        <f t="shared" si="252"/>
        <v>0</v>
      </c>
      <c r="BA441" s="27">
        <f t="shared" si="276"/>
        <v>0</v>
      </c>
      <c r="BB441" s="27">
        <f t="shared" si="254"/>
        <v>0</v>
      </c>
      <c r="BC441" s="27">
        <f t="shared" si="256"/>
        <v>0</v>
      </c>
      <c r="BD441" s="27">
        <f t="shared" si="257"/>
        <v>0</v>
      </c>
      <c r="BE441" s="27">
        <f t="shared" si="258"/>
        <v>0</v>
      </c>
      <c r="BF441" s="29">
        <f t="shared" si="277"/>
        <v>0</v>
      </c>
      <c r="BH441" s="30">
        <f t="shared" si="253"/>
        <v>0</v>
      </c>
      <c r="BM441" s="2">
        <f t="shared" si="283"/>
        <v>0</v>
      </c>
      <c r="BP441" s="2">
        <f t="shared" si="284"/>
        <v>0</v>
      </c>
    </row>
    <row r="442" spans="1:68" x14ac:dyDescent="0.25">
      <c r="A442" s="33" t="s">
        <v>459</v>
      </c>
      <c r="B442" s="23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13">
        <v>71</v>
      </c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5"/>
      <c r="AD442" s="39">
        <f t="shared" si="275"/>
        <v>71</v>
      </c>
      <c r="AE442" s="26" t="s">
        <v>42</v>
      </c>
      <c r="AF442" s="27">
        <v>18000</v>
      </c>
      <c r="AG442" s="17">
        <f t="shared" si="244"/>
        <v>0</v>
      </c>
      <c r="AH442" s="28">
        <f t="shared" si="245"/>
        <v>0</v>
      </c>
      <c r="AI442" s="17">
        <f t="shared" si="246"/>
        <v>0</v>
      </c>
      <c r="AJ442" s="28">
        <f t="shared" si="247"/>
        <v>0</v>
      </c>
      <c r="AK442" s="17">
        <f t="shared" si="255"/>
        <v>71</v>
      </c>
      <c r="AL442" s="28">
        <f t="shared" si="248"/>
        <v>1278000</v>
      </c>
      <c r="AM442" s="17">
        <f t="shared" si="263"/>
        <v>0</v>
      </c>
      <c r="AN442" s="28">
        <f t="shared" si="278"/>
        <v>0</v>
      </c>
      <c r="AO442" s="17">
        <f t="shared" si="279"/>
        <v>0</v>
      </c>
      <c r="AP442" s="28">
        <f t="shared" si="280"/>
        <v>0</v>
      </c>
      <c r="AQ442" s="17">
        <f t="shared" si="281"/>
        <v>0</v>
      </c>
      <c r="AR442" s="28">
        <f t="shared" si="282"/>
        <v>0</v>
      </c>
      <c r="AS442" s="17">
        <f t="shared" si="259"/>
        <v>0</v>
      </c>
      <c r="AT442" s="28">
        <f t="shared" si="260"/>
        <v>0</v>
      </c>
      <c r="AU442" s="17">
        <f t="shared" si="261"/>
        <v>0</v>
      </c>
      <c r="AV442" s="28">
        <f t="shared" si="262"/>
        <v>0</v>
      </c>
      <c r="AW442" s="17">
        <f t="shared" si="249"/>
        <v>0</v>
      </c>
      <c r="AX442" s="28">
        <f t="shared" si="250"/>
        <v>0</v>
      </c>
      <c r="AY442" s="17">
        <f t="shared" si="251"/>
        <v>0</v>
      </c>
      <c r="AZ442" s="28">
        <f t="shared" si="252"/>
        <v>0</v>
      </c>
      <c r="BA442" s="27">
        <f t="shared" si="276"/>
        <v>0</v>
      </c>
      <c r="BB442" s="27">
        <f t="shared" si="254"/>
        <v>1278000</v>
      </c>
      <c r="BC442" s="27">
        <f t="shared" si="256"/>
        <v>0</v>
      </c>
      <c r="BD442" s="27">
        <f t="shared" si="257"/>
        <v>0</v>
      </c>
      <c r="BE442" s="27">
        <f t="shared" si="258"/>
        <v>0</v>
      </c>
      <c r="BF442" s="29">
        <f t="shared" si="277"/>
        <v>1278000</v>
      </c>
      <c r="BH442" s="30">
        <f t="shared" si="253"/>
        <v>71</v>
      </c>
      <c r="BM442" s="2">
        <f t="shared" si="283"/>
        <v>71</v>
      </c>
      <c r="BP442" s="2">
        <f t="shared" si="284"/>
        <v>71</v>
      </c>
    </row>
    <row r="443" spans="1:68" ht="14.45" hidden="1" customHeight="1" x14ac:dyDescent="0.25">
      <c r="A443" s="33" t="s">
        <v>460</v>
      </c>
      <c r="B443" s="23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13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5"/>
      <c r="AD443" s="25">
        <f t="shared" si="275"/>
        <v>0</v>
      </c>
      <c r="AE443" s="26" t="s">
        <v>42</v>
      </c>
      <c r="AF443" s="27"/>
      <c r="AG443" s="17">
        <f t="shared" si="244"/>
        <v>0</v>
      </c>
      <c r="AH443" s="28">
        <f t="shared" si="245"/>
        <v>0</v>
      </c>
      <c r="AI443" s="17">
        <f t="shared" si="246"/>
        <v>0</v>
      </c>
      <c r="AJ443" s="28">
        <f t="shared" si="247"/>
        <v>0</v>
      </c>
      <c r="AK443" s="17">
        <f t="shared" si="255"/>
        <v>0</v>
      </c>
      <c r="AL443" s="28">
        <f t="shared" si="248"/>
        <v>0</v>
      </c>
      <c r="AM443" s="17">
        <f t="shared" si="263"/>
        <v>0</v>
      </c>
      <c r="AN443" s="28">
        <f t="shared" si="278"/>
        <v>0</v>
      </c>
      <c r="AO443" s="17">
        <f t="shared" si="279"/>
        <v>0</v>
      </c>
      <c r="AP443" s="28">
        <f t="shared" si="280"/>
        <v>0</v>
      </c>
      <c r="AQ443" s="17">
        <f t="shared" si="281"/>
        <v>0</v>
      </c>
      <c r="AR443" s="28">
        <f t="shared" si="282"/>
        <v>0</v>
      </c>
      <c r="AS443" s="17">
        <f t="shared" si="259"/>
        <v>0</v>
      </c>
      <c r="AT443" s="28">
        <f t="shared" si="260"/>
        <v>0</v>
      </c>
      <c r="AU443" s="17">
        <f t="shared" si="261"/>
        <v>0</v>
      </c>
      <c r="AV443" s="28">
        <f t="shared" si="262"/>
        <v>0</v>
      </c>
      <c r="AW443" s="17">
        <f t="shared" si="249"/>
        <v>0</v>
      </c>
      <c r="AX443" s="28">
        <f t="shared" si="250"/>
        <v>0</v>
      </c>
      <c r="AY443" s="17">
        <f t="shared" si="251"/>
        <v>0</v>
      </c>
      <c r="AZ443" s="28">
        <f t="shared" si="252"/>
        <v>0</v>
      </c>
      <c r="BA443" s="27">
        <f t="shared" si="276"/>
        <v>0</v>
      </c>
      <c r="BB443" s="27">
        <f t="shared" si="254"/>
        <v>0</v>
      </c>
      <c r="BC443" s="27">
        <f t="shared" si="256"/>
        <v>0</v>
      </c>
      <c r="BD443" s="27">
        <f t="shared" si="257"/>
        <v>0</v>
      </c>
      <c r="BE443" s="27">
        <f t="shared" si="258"/>
        <v>0</v>
      </c>
      <c r="BF443" s="29">
        <f t="shared" si="277"/>
        <v>0</v>
      </c>
      <c r="BH443" s="30">
        <f t="shared" si="253"/>
        <v>0</v>
      </c>
      <c r="BM443" s="2">
        <f t="shared" si="283"/>
        <v>0</v>
      </c>
      <c r="BP443" s="2">
        <f t="shared" si="284"/>
        <v>0</v>
      </c>
    </row>
    <row r="444" spans="1:68" ht="14.45" customHeight="1" x14ac:dyDescent="0.25">
      <c r="A444" s="33" t="s">
        <v>461</v>
      </c>
      <c r="B444" s="23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13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5"/>
      <c r="AD444" s="39">
        <f t="shared" ref="AD444:AD507" si="285">SUM(B444:AB444)</f>
        <v>0</v>
      </c>
      <c r="AE444" s="26" t="s">
        <v>42</v>
      </c>
      <c r="AF444" s="27"/>
      <c r="AG444" s="17">
        <f t="shared" si="244"/>
        <v>0</v>
      </c>
      <c r="AH444" s="28">
        <f t="shared" si="245"/>
        <v>0</v>
      </c>
      <c r="AI444" s="17">
        <f t="shared" si="246"/>
        <v>0</v>
      </c>
      <c r="AJ444" s="28">
        <f t="shared" si="247"/>
        <v>0</v>
      </c>
      <c r="AK444" s="17">
        <f t="shared" si="255"/>
        <v>0</v>
      </c>
      <c r="AL444" s="28">
        <f t="shared" si="248"/>
        <v>0</v>
      </c>
      <c r="AM444" s="17">
        <f t="shared" si="263"/>
        <v>0</v>
      </c>
      <c r="AN444" s="28">
        <f t="shared" si="278"/>
        <v>0</v>
      </c>
      <c r="AO444" s="17"/>
      <c r="AP444" s="28"/>
      <c r="AQ444" s="17"/>
      <c r="AR444" s="28"/>
      <c r="AS444" s="17">
        <f t="shared" si="259"/>
        <v>0</v>
      </c>
      <c r="AT444" s="28">
        <f t="shared" si="260"/>
        <v>0</v>
      </c>
      <c r="AU444" s="17">
        <f t="shared" si="261"/>
        <v>0</v>
      </c>
      <c r="AV444" s="28">
        <f t="shared" si="262"/>
        <v>0</v>
      </c>
      <c r="AW444" s="17">
        <f t="shared" si="249"/>
        <v>0</v>
      </c>
      <c r="AX444" s="28">
        <f t="shared" si="250"/>
        <v>0</v>
      </c>
      <c r="AY444" s="17">
        <f t="shared" si="251"/>
        <v>0</v>
      </c>
      <c r="AZ444" s="28">
        <f t="shared" si="252"/>
        <v>0</v>
      </c>
      <c r="BA444" s="27"/>
      <c r="BB444" s="27">
        <f t="shared" si="254"/>
        <v>0</v>
      </c>
      <c r="BC444" s="27">
        <f t="shared" si="256"/>
        <v>0</v>
      </c>
      <c r="BD444" s="27">
        <f t="shared" si="257"/>
        <v>0</v>
      </c>
      <c r="BE444" s="27">
        <f t="shared" si="258"/>
        <v>0</v>
      </c>
      <c r="BF444" s="29">
        <f t="shared" si="277"/>
        <v>0</v>
      </c>
      <c r="BH444" s="30">
        <f t="shared" si="253"/>
        <v>0</v>
      </c>
    </row>
    <row r="445" spans="1:68" x14ac:dyDescent="0.25">
      <c r="A445" s="33" t="s">
        <v>462</v>
      </c>
      <c r="B445" s="23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13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5"/>
      <c r="AD445" s="39">
        <f t="shared" si="285"/>
        <v>0</v>
      </c>
      <c r="AE445" s="26" t="s">
        <v>42</v>
      </c>
      <c r="AF445" s="27">
        <v>5500</v>
      </c>
      <c r="AG445" s="17">
        <f t="shared" si="244"/>
        <v>0</v>
      </c>
      <c r="AH445" s="28">
        <f t="shared" si="245"/>
        <v>0</v>
      </c>
      <c r="AI445" s="17">
        <f t="shared" si="246"/>
        <v>0</v>
      </c>
      <c r="AJ445" s="28">
        <f t="shared" si="247"/>
        <v>0</v>
      </c>
      <c r="AK445" s="17">
        <f t="shared" si="255"/>
        <v>0</v>
      </c>
      <c r="AL445" s="28">
        <f t="shared" si="248"/>
        <v>0</v>
      </c>
      <c r="AM445" s="17">
        <f t="shared" si="263"/>
        <v>0</v>
      </c>
      <c r="AN445" s="28">
        <f t="shared" si="278"/>
        <v>0</v>
      </c>
      <c r="AO445" s="17">
        <f>+B445</f>
        <v>0</v>
      </c>
      <c r="AP445" s="28">
        <f>+AO445*AF445</f>
        <v>0</v>
      </c>
      <c r="AQ445" s="17">
        <f>+P445</f>
        <v>0</v>
      </c>
      <c r="AR445" s="28">
        <f>+AQ445*AF445</f>
        <v>0</v>
      </c>
      <c r="AS445" s="17">
        <f t="shared" si="259"/>
        <v>0</v>
      </c>
      <c r="AT445" s="28">
        <f t="shared" si="260"/>
        <v>0</v>
      </c>
      <c r="AU445" s="17">
        <f t="shared" si="261"/>
        <v>0</v>
      </c>
      <c r="AV445" s="28">
        <f t="shared" si="262"/>
        <v>0</v>
      </c>
      <c r="AW445" s="17">
        <f t="shared" si="249"/>
        <v>0</v>
      </c>
      <c r="AX445" s="28">
        <f t="shared" si="250"/>
        <v>0</v>
      </c>
      <c r="AY445" s="17">
        <f t="shared" si="251"/>
        <v>0</v>
      </c>
      <c r="AZ445" s="28">
        <f t="shared" si="252"/>
        <v>0</v>
      </c>
      <c r="BA445" s="27">
        <f t="shared" si="276"/>
        <v>0</v>
      </c>
      <c r="BB445" s="27">
        <f t="shared" si="254"/>
        <v>0</v>
      </c>
      <c r="BC445" s="27">
        <f t="shared" si="256"/>
        <v>0</v>
      </c>
      <c r="BD445" s="27">
        <f t="shared" si="257"/>
        <v>0</v>
      </c>
      <c r="BE445" s="27">
        <f t="shared" si="258"/>
        <v>0</v>
      </c>
      <c r="BF445" s="29">
        <f t="shared" si="277"/>
        <v>0</v>
      </c>
      <c r="BH445" s="30">
        <f t="shared" si="253"/>
        <v>0</v>
      </c>
      <c r="BM445" s="2">
        <f>SUM(B445:S445)</f>
        <v>0</v>
      </c>
      <c r="BP445" s="2">
        <f>SUM(B445:S445)</f>
        <v>0</v>
      </c>
    </row>
    <row r="446" spans="1:68" ht="14.45" hidden="1" customHeight="1" x14ac:dyDescent="0.25">
      <c r="A446" s="33" t="s">
        <v>457</v>
      </c>
      <c r="B446" s="23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13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5"/>
      <c r="AD446" s="39">
        <f t="shared" si="285"/>
        <v>0</v>
      </c>
      <c r="AE446" s="26" t="s">
        <v>42</v>
      </c>
      <c r="AF446" s="27"/>
      <c r="AG446" s="17">
        <f t="shared" si="244"/>
        <v>0</v>
      </c>
      <c r="AH446" s="28">
        <f t="shared" si="245"/>
        <v>0</v>
      </c>
      <c r="AI446" s="17">
        <f t="shared" si="246"/>
        <v>0</v>
      </c>
      <c r="AJ446" s="28">
        <f t="shared" si="247"/>
        <v>0</v>
      </c>
      <c r="AK446" s="17">
        <f t="shared" si="255"/>
        <v>0</v>
      </c>
      <c r="AL446" s="28">
        <f t="shared" si="248"/>
        <v>0</v>
      </c>
      <c r="AM446" s="17">
        <f t="shared" si="263"/>
        <v>0</v>
      </c>
      <c r="AN446" s="28">
        <f t="shared" si="278"/>
        <v>0</v>
      </c>
      <c r="AO446" s="17">
        <f>+B446</f>
        <v>0</v>
      </c>
      <c r="AP446" s="28">
        <f>+AO446*AF446</f>
        <v>0</v>
      </c>
      <c r="AQ446" s="17">
        <f>+P446</f>
        <v>0</v>
      </c>
      <c r="AR446" s="28">
        <f>+AQ446*AF446</f>
        <v>0</v>
      </c>
      <c r="AS446" s="17">
        <f t="shared" si="259"/>
        <v>0</v>
      </c>
      <c r="AT446" s="28">
        <f t="shared" si="260"/>
        <v>0</v>
      </c>
      <c r="AU446" s="17">
        <f t="shared" si="261"/>
        <v>0</v>
      </c>
      <c r="AV446" s="28">
        <f t="shared" si="262"/>
        <v>0</v>
      </c>
      <c r="AW446" s="17">
        <f t="shared" si="249"/>
        <v>0</v>
      </c>
      <c r="AX446" s="28">
        <f t="shared" si="250"/>
        <v>0</v>
      </c>
      <c r="AY446" s="17">
        <f t="shared" si="251"/>
        <v>0</v>
      </c>
      <c r="AZ446" s="28">
        <f t="shared" si="252"/>
        <v>0</v>
      </c>
      <c r="BA446" s="27">
        <f t="shared" si="276"/>
        <v>0</v>
      </c>
      <c r="BB446" s="27">
        <f t="shared" si="254"/>
        <v>0</v>
      </c>
      <c r="BC446" s="27">
        <f t="shared" si="256"/>
        <v>0</v>
      </c>
      <c r="BD446" s="27">
        <f t="shared" si="257"/>
        <v>0</v>
      </c>
      <c r="BE446" s="27">
        <f t="shared" si="258"/>
        <v>0</v>
      </c>
      <c r="BF446" s="29">
        <f t="shared" si="277"/>
        <v>0</v>
      </c>
      <c r="BH446" s="30">
        <f t="shared" si="253"/>
        <v>0</v>
      </c>
      <c r="BM446" s="2">
        <f>SUM(B446:S446)</f>
        <v>0</v>
      </c>
      <c r="BP446" s="2">
        <f>SUM(B446:S446)</f>
        <v>0</v>
      </c>
    </row>
    <row r="447" spans="1:68" ht="14.45" customHeight="1" x14ac:dyDescent="0.25">
      <c r="A447" s="33" t="s">
        <v>463</v>
      </c>
      <c r="B447" s="23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13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>
        <v>1</v>
      </c>
      <c r="AB447" s="24"/>
      <c r="AC447" s="25"/>
      <c r="AD447" s="39">
        <f t="shared" si="285"/>
        <v>1</v>
      </c>
      <c r="AE447" s="26" t="s">
        <v>42</v>
      </c>
      <c r="AF447" s="27">
        <f>71*950</f>
        <v>67450</v>
      </c>
      <c r="AG447" s="17">
        <f t="shared" si="244"/>
        <v>0</v>
      </c>
      <c r="AH447" s="28">
        <f t="shared" si="245"/>
        <v>0</v>
      </c>
      <c r="AI447" s="17">
        <f t="shared" si="246"/>
        <v>0</v>
      </c>
      <c r="AJ447" s="28">
        <f t="shared" si="247"/>
        <v>0</v>
      </c>
      <c r="AK447" s="17">
        <f t="shared" si="255"/>
        <v>0</v>
      </c>
      <c r="AL447" s="28">
        <f t="shared" si="248"/>
        <v>0</v>
      </c>
      <c r="AM447" s="17">
        <f t="shared" si="263"/>
        <v>1</v>
      </c>
      <c r="AN447" s="28">
        <f t="shared" si="278"/>
        <v>67450</v>
      </c>
      <c r="AO447" s="17"/>
      <c r="AP447" s="28"/>
      <c r="AQ447" s="17"/>
      <c r="AR447" s="28"/>
      <c r="AS447" s="17">
        <f t="shared" si="259"/>
        <v>0</v>
      </c>
      <c r="AT447" s="28">
        <f t="shared" si="260"/>
        <v>0</v>
      </c>
      <c r="AU447" s="17">
        <f t="shared" si="261"/>
        <v>0</v>
      </c>
      <c r="AV447" s="28">
        <f t="shared" si="262"/>
        <v>0</v>
      </c>
      <c r="AW447" s="17">
        <f t="shared" si="249"/>
        <v>0</v>
      </c>
      <c r="AX447" s="28">
        <f t="shared" si="250"/>
        <v>0</v>
      </c>
      <c r="AY447" s="17">
        <f t="shared" si="251"/>
        <v>0</v>
      </c>
      <c r="AZ447" s="28">
        <f t="shared" si="252"/>
        <v>0</v>
      </c>
      <c r="BA447" s="27"/>
      <c r="BB447" s="27">
        <f t="shared" si="254"/>
        <v>67450</v>
      </c>
      <c r="BC447" s="27">
        <f t="shared" si="256"/>
        <v>0</v>
      </c>
      <c r="BD447" s="27">
        <f t="shared" si="257"/>
        <v>0</v>
      </c>
      <c r="BE447" s="27">
        <f t="shared" si="258"/>
        <v>0</v>
      </c>
      <c r="BF447" s="29">
        <f t="shared" si="277"/>
        <v>67450</v>
      </c>
      <c r="BH447" s="30">
        <f t="shared" si="253"/>
        <v>1</v>
      </c>
    </row>
    <row r="448" spans="1:68" ht="14.45" customHeight="1" x14ac:dyDescent="0.25">
      <c r="A448" s="33" t="s">
        <v>464</v>
      </c>
      <c r="B448" s="23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13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>
        <v>2</v>
      </c>
      <c r="AB448" s="24"/>
      <c r="AC448" s="25"/>
      <c r="AD448" s="39">
        <f t="shared" si="285"/>
        <v>2</v>
      </c>
      <c r="AE448" s="26" t="s">
        <v>42</v>
      </c>
      <c r="AF448" s="27">
        <f>250*950</f>
        <v>237500</v>
      </c>
      <c r="AG448" s="17">
        <f t="shared" si="244"/>
        <v>0</v>
      </c>
      <c r="AH448" s="28">
        <f t="shared" si="245"/>
        <v>0</v>
      </c>
      <c r="AI448" s="17">
        <f t="shared" si="246"/>
        <v>0</v>
      </c>
      <c r="AJ448" s="28">
        <f t="shared" si="247"/>
        <v>0</v>
      </c>
      <c r="AK448" s="17">
        <f t="shared" si="255"/>
        <v>0</v>
      </c>
      <c r="AL448" s="28">
        <f t="shared" si="248"/>
        <v>0</v>
      </c>
      <c r="AM448" s="17">
        <f t="shared" si="263"/>
        <v>2</v>
      </c>
      <c r="AN448" s="28">
        <f t="shared" si="278"/>
        <v>475000</v>
      </c>
      <c r="AO448" s="17"/>
      <c r="AP448" s="28"/>
      <c r="AQ448" s="17"/>
      <c r="AR448" s="28"/>
      <c r="AS448" s="17">
        <f t="shared" si="259"/>
        <v>0</v>
      </c>
      <c r="AT448" s="28">
        <f t="shared" si="260"/>
        <v>0</v>
      </c>
      <c r="AU448" s="17">
        <f t="shared" si="261"/>
        <v>0</v>
      </c>
      <c r="AV448" s="28">
        <f t="shared" si="262"/>
        <v>0</v>
      </c>
      <c r="AW448" s="17">
        <f t="shared" si="249"/>
        <v>0</v>
      </c>
      <c r="AX448" s="28">
        <f t="shared" si="250"/>
        <v>0</v>
      </c>
      <c r="AY448" s="17">
        <f t="shared" si="251"/>
        <v>0</v>
      </c>
      <c r="AZ448" s="28">
        <f t="shared" si="252"/>
        <v>0</v>
      </c>
      <c r="BA448" s="27"/>
      <c r="BB448" s="27">
        <f t="shared" si="254"/>
        <v>475000</v>
      </c>
      <c r="BC448" s="27">
        <f t="shared" si="256"/>
        <v>0</v>
      </c>
      <c r="BD448" s="27">
        <f t="shared" si="257"/>
        <v>0</v>
      </c>
      <c r="BE448" s="27">
        <f t="shared" si="258"/>
        <v>0</v>
      </c>
      <c r="BF448" s="29">
        <f t="shared" si="277"/>
        <v>475000</v>
      </c>
      <c r="BH448" s="30">
        <f t="shared" si="253"/>
        <v>2</v>
      </c>
    </row>
    <row r="449" spans="1:68" ht="14.45" customHeight="1" x14ac:dyDescent="0.25">
      <c r="A449" s="33" t="s">
        <v>465</v>
      </c>
      <c r="B449" s="23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13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>
        <v>1</v>
      </c>
      <c r="AB449" s="24"/>
      <c r="AC449" s="25"/>
      <c r="AD449" s="39">
        <f t="shared" si="285"/>
        <v>1</v>
      </c>
      <c r="AE449" s="26" t="s">
        <v>42</v>
      </c>
      <c r="AF449" s="27">
        <f>1100*950</f>
        <v>1045000</v>
      </c>
      <c r="AG449" s="17">
        <f t="shared" si="244"/>
        <v>0</v>
      </c>
      <c r="AH449" s="28">
        <f t="shared" si="245"/>
        <v>0</v>
      </c>
      <c r="AI449" s="17">
        <f t="shared" si="246"/>
        <v>0</v>
      </c>
      <c r="AJ449" s="28">
        <f t="shared" si="247"/>
        <v>0</v>
      </c>
      <c r="AK449" s="17">
        <f t="shared" si="255"/>
        <v>0</v>
      </c>
      <c r="AL449" s="28">
        <f t="shared" si="248"/>
        <v>0</v>
      </c>
      <c r="AM449" s="17">
        <f t="shared" si="263"/>
        <v>1</v>
      </c>
      <c r="AN449" s="28">
        <f t="shared" si="278"/>
        <v>1045000</v>
      </c>
      <c r="AO449" s="17"/>
      <c r="AP449" s="28"/>
      <c r="AQ449" s="17"/>
      <c r="AR449" s="28"/>
      <c r="AS449" s="17">
        <f t="shared" si="259"/>
        <v>0</v>
      </c>
      <c r="AT449" s="28">
        <f t="shared" si="260"/>
        <v>0</v>
      </c>
      <c r="AU449" s="17">
        <f t="shared" si="261"/>
        <v>0</v>
      </c>
      <c r="AV449" s="28">
        <f t="shared" si="262"/>
        <v>0</v>
      </c>
      <c r="AW449" s="17">
        <f t="shared" si="249"/>
        <v>0</v>
      </c>
      <c r="AX449" s="28">
        <f t="shared" si="250"/>
        <v>0</v>
      </c>
      <c r="AY449" s="17">
        <f t="shared" si="251"/>
        <v>0</v>
      </c>
      <c r="AZ449" s="28">
        <f t="shared" si="252"/>
        <v>0</v>
      </c>
      <c r="BA449" s="27"/>
      <c r="BB449" s="27">
        <f t="shared" si="254"/>
        <v>1045000</v>
      </c>
      <c r="BC449" s="27">
        <f t="shared" si="256"/>
        <v>0</v>
      </c>
      <c r="BD449" s="27">
        <f t="shared" si="257"/>
        <v>0</v>
      </c>
      <c r="BE449" s="27">
        <f t="shared" si="258"/>
        <v>0</v>
      </c>
      <c r="BF449" s="29">
        <f t="shared" si="277"/>
        <v>1045000</v>
      </c>
      <c r="BH449" s="30">
        <f t="shared" si="253"/>
        <v>1</v>
      </c>
    </row>
    <row r="450" spans="1:68" x14ac:dyDescent="0.25">
      <c r="A450" s="33" t="s">
        <v>466</v>
      </c>
      <c r="B450" s="23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13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5"/>
      <c r="AD450" s="39">
        <f t="shared" si="285"/>
        <v>0</v>
      </c>
      <c r="AE450" s="26" t="s">
        <v>42</v>
      </c>
      <c r="AF450" s="27">
        <v>312391</v>
      </c>
      <c r="AG450" s="17">
        <f t="shared" si="244"/>
        <v>0</v>
      </c>
      <c r="AH450" s="28">
        <f t="shared" si="245"/>
        <v>0</v>
      </c>
      <c r="AI450" s="17">
        <f t="shared" si="246"/>
        <v>0</v>
      </c>
      <c r="AJ450" s="28">
        <f t="shared" si="247"/>
        <v>0</v>
      </c>
      <c r="AK450" s="17">
        <f t="shared" si="255"/>
        <v>0</v>
      </c>
      <c r="AL450" s="28">
        <f t="shared" si="248"/>
        <v>0</v>
      </c>
      <c r="AM450" s="17">
        <f t="shared" si="263"/>
        <v>0</v>
      </c>
      <c r="AN450" s="28">
        <f t="shared" si="278"/>
        <v>0</v>
      </c>
      <c r="AO450" s="17">
        <f t="shared" ref="AO450:AO513" si="286">+B450</f>
        <v>0</v>
      </c>
      <c r="AP450" s="28">
        <f t="shared" ref="AP450:AP513" si="287">+AO450*AF450</f>
        <v>0</v>
      </c>
      <c r="AQ450" s="17">
        <f t="shared" ref="AQ450:AQ513" si="288">+P450</f>
        <v>0</v>
      </c>
      <c r="AR450" s="28">
        <f t="shared" ref="AR450:AR513" si="289">+AQ450*AF450</f>
        <v>0</v>
      </c>
      <c r="AS450" s="17">
        <f t="shared" si="259"/>
        <v>0</v>
      </c>
      <c r="AT450" s="28">
        <f t="shared" si="260"/>
        <v>0</v>
      </c>
      <c r="AU450" s="17">
        <f t="shared" si="261"/>
        <v>0</v>
      </c>
      <c r="AV450" s="28">
        <f t="shared" si="262"/>
        <v>0</v>
      </c>
      <c r="AW450" s="17">
        <f t="shared" si="249"/>
        <v>0</v>
      </c>
      <c r="AX450" s="28">
        <f t="shared" si="250"/>
        <v>0</v>
      </c>
      <c r="AY450" s="17">
        <f t="shared" si="251"/>
        <v>0</v>
      </c>
      <c r="AZ450" s="28">
        <f t="shared" si="252"/>
        <v>0</v>
      </c>
      <c r="BA450" s="27">
        <f t="shared" si="276"/>
        <v>0</v>
      </c>
      <c r="BB450" s="27">
        <f t="shared" si="254"/>
        <v>0</v>
      </c>
      <c r="BC450" s="27">
        <f t="shared" si="256"/>
        <v>0</v>
      </c>
      <c r="BD450" s="27">
        <f t="shared" si="257"/>
        <v>0</v>
      </c>
      <c r="BE450" s="27">
        <f t="shared" si="258"/>
        <v>0</v>
      </c>
      <c r="BF450" s="29">
        <f t="shared" si="277"/>
        <v>0</v>
      </c>
      <c r="BH450" s="30">
        <f t="shared" si="253"/>
        <v>0</v>
      </c>
      <c r="BM450" s="2">
        <f t="shared" ref="BM450:BM513" si="290">SUM(B450:S450)</f>
        <v>0</v>
      </c>
      <c r="BP450" s="2">
        <f t="shared" ref="BP450:BP513" si="291">SUM(B450:S450)</f>
        <v>0</v>
      </c>
    </row>
    <row r="451" spans="1:68" x14ac:dyDescent="0.25">
      <c r="A451" s="33" t="s">
        <v>467</v>
      </c>
      <c r="B451" s="23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13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5"/>
      <c r="AD451" s="39">
        <f t="shared" si="285"/>
        <v>0</v>
      </c>
      <c r="AE451" s="26" t="s">
        <v>42</v>
      </c>
      <c r="AF451" s="27">
        <v>312391</v>
      </c>
      <c r="AG451" s="17">
        <f t="shared" si="244"/>
        <v>0</v>
      </c>
      <c r="AH451" s="28">
        <f t="shared" si="245"/>
        <v>0</v>
      </c>
      <c r="AI451" s="17">
        <f t="shared" si="246"/>
        <v>0</v>
      </c>
      <c r="AJ451" s="28">
        <f t="shared" si="247"/>
        <v>0</v>
      </c>
      <c r="AK451" s="17">
        <f t="shared" si="255"/>
        <v>0</v>
      </c>
      <c r="AL451" s="28">
        <f t="shared" si="248"/>
        <v>0</v>
      </c>
      <c r="AM451" s="17">
        <f t="shared" si="263"/>
        <v>0</v>
      </c>
      <c r="AN451" s="28">
        <f t="shared" si="278"/>
        <v>0</v>
      </c>
      <c r="AO451" s="17">
        <f t="shared" si="286"/>
        <v>0</v>
      </c>
      <c r="AP451" s="28">
        <f t="shared" si="287"/>
        <v>0</v>
      </c>
      <c r="AQ451" s="17">
        <f t="shared" si="288"/>
        <v>0</v>
      </c>
      <c r="AR451" s="28">
        <f t="shared" si="289"/>
        <v>0</v>
      </c>
      <c r="AS451" s="17">
        <f t="shared" si="259"/>
        <v>0</v>
      </c>
      <c r="AT451" s="28">
        <f t="shared" si="260"/>
        <v>0</v>
      </c>
      <c r="AU451" s="17">
        <f t="shared" si="261"/>
        <v>0</v>
      </c>
      <c r="AV451" s="28">
        <f t="shared" si="262"/>
        <v>0</v>
      </c>
      <c r="AW451" s="17">
        <f t="shared" si="249"/>
        <v>0</v>
      </c>
      <c r="AX451" s="28">
        <f t="shared" si="250"/>
        <v>0</v>
      </c>
      <c r="AY451" s="17">
        <f t="shared" si="251"/>
        <v>0</v>
      </c>
      <c r="AZ451" s="28">
        <f t="shared" si="252"/>
        <v>0</v>
      </c>
      <c r="BA451" s="27">
        <f t="shared" si="276"/>
        <v>0</v>
      </c>
      <c r="BB451" s="27">
        <f t="shared" si="254"/>
        <v>0</v>
      </c>
      <c r="BC451" s="27">
        <f t="shared" si="256"/>
        <v>0</v>
      </c>
      <c r="BD451" s="27">
        <f t="shared" si="257"/>
        <v>0</v>
      </c>
      <c r="BE451" s="27">
        <f t="shared" si="258"/>
        <v>0</v>
      </c>
      <c r="BF451" s="29">
        <f t="shared" si="277"/>
        <v>0</v>
      </c>
      <c r="BH451" s="30">
        <f t="shared" si="253"/>
        <v>0</v>
      </c>
      <c r="BM451" s="2">
        <f t="shared" si="290"/>
        <v>0</v>
      </c>
      <c r="BP451" s="2">
        <f t="shared" si="291"/>
        <v>0</v>
      </c>
    </row>
    <row r="452" spans="1:68" x14ac:dyDescent="0.25">
      <c r="A452" s="33" t="s">
        <v>468</v>
      </c>
      <c r="B452" s="23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13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5"/>
      <c r="AD452" s="39">
        <f t="shared" si="285"/>
        <v>0</v>
      </c>
      <c r="AE452" s="26" t="s">
        <v>42</v>
      </c>
      <c r="AF452" s="27">
        <v>312391</v>
      </c>
      <c r="AG452" s="17">
        <f t="shared" si="244"/>
        <v>0</v>
      </c>
      <c r="AH452" s="28">
        <f t="shared" si="245"/>
        <v>0</v>
      </c>
      <c r="AI452" s="17">
        <f t="shared" si="246"/>
        <v>0</v>
      </c>
      <c r="AJ452" s="28">
        <f t="shared" si="247"/>
        <v>0</v>
      </c>
      <c r="AK452" s="17">
        <f t="shared" si="255"/>
        <v>0</v>
      </c>
      <c r="AL452" s="28">
        <f t="shared" si="248"/>
        <v>0</v>
      </c>
      <c r="AM452" s="17">
        <f t="shared" si="263"/>
        <v>0</v>
      </c>
      <c r="AN452" s="28">
        <f t="shared" si="278"/>
        <v>0</v>
      </c>
      <c r="AO452" s="17">
        <f t="shared" si="286"/>
        <v>0</v>
      </c>
      <c r="AP452" s="28">
        <f t="shared" si="287"/>
        <v>0</v>
      </c>
      <c r="AQ452" s="17">
        <f t="shared" si="288"/>
        <v>0</v>
      </c>
      <c r="AR452" s="28">
        <f t="shared" si="289"/>
        <v>0</v>
      </c>
      <c r="AS452" s="17">
        <f t="shared" si="259"/>
        <v>0</v>
      </c>
      <c r="AT452" s="28">
        <f t="shared" si="260"/>
        <v>0</v>
      </c>
      <c r="AU452" s="17">
        <f t="shared" si="261"/>
        <v>0</v>
      </c>
      <c r="AV452" s="28">
        <f t="shared" si="262"/>
        <v>0</v>
      </c>
      <c r="AW452" s="17">
        <f t="shared" si="249"/>
        <v>0</v>
      </c>
      <c r="AX452" s="28">
        <f t="shared" si="250"/>
        <v>0</v>
      </c>
      <c r="AY452" s="17">
        <f t="shared" si="251"/>
        <v>0</v>
      </c>
      <c r="AZ452" s="28">
        <f t="shared" si="252"/>
        <v>0</v>
      </c>
      <c r="BA452" s="27">
        <f t="shared" si="276"/>
        <v>0</v>
      </c>
      <c r="BB452" s="27">
        <f t="shared" si="254"/>
        <v>0</v>
      </c>
      <c r="BC452" s="27">
        <f t="shared" si="256"/>
        <v>0</v>
      </c>
      <c r="BD452" s="27">
        <f t="shared" si="257"/>
        <v>0</v>
      </c>
      <c r="BE452" s="27">
        <f t="shared" si="258"/>
        <v>0</v>
      </c>
      <c r="BF452" s="29">
        <f t="shared" si="277"/>
        <v>0</v>
      </c>
      <c r="BH452" s="30">
        <f t="shared" si="253"/>
        <v>0</v>
      </c>
      <c r="BM452" s="2">
        <f t="shared" si="290"/>
        <v>0</v>
      </c>
      <c r="BP452" s="2">
        <f t="shared" si="291"/>
        <v>0</v>
      </c>
    </row>
    <row r="453" spans="1:68" x14ac:dyDescent="0.25">
      <c r="A453" s="33" t="s">
        <v>469</v>
      </c>
      <c r="B453" s="23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13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5"/>
      <c r="AD453" s="39">
        <f t="shared" si="285"/>
        <v>0</v>
      </c>
      <c r="AE453" s="26" t="s">
        <v>42</v>
      </c>
      <c r="AF453" s="27">
        <v>312391</v>
      </c>
      <c r="AG453" s="17">
        <f t="shared" si="244"/>
        <v>0</v>
      </c>
      <c r="AH453" s="28">
        <f t="shared" si="245"/>
        <v>0</v>
      </c>
      <c r="AI453" s="17">
        <f t="shared" si="246"/>
        <v>0</v>
      </c>
      <c r="AJ453" s="28">
        <f t="shared" si="247"/>
        <v>0</v>
      </c>
      <c r="AK453" s="17">
        <f t="shared" si="255"/>
        <v>0</v>
      </c>
      <c r="AL453" s="28">
        <f t="shared" si="248"/>
        <v>0</v>
      </c>
      <c r="AM453" s="17">
        <f t="shared" si="263"/>
        <v>0</v>
      </c>
      <c r="AN453" s="28">
        <f t="shared" si="278"/>
        <v>0</v>
      </c>
      <c r="AO453" s="17">
        <f t="shared" si="286"/>
        <v>0</v>
      </c>
      <c r="AP453" s="28">
        <f t="shared" si="287"/>
        <v>0</v>
      </c>
      <c r="AQ453" s="17">
        <f t="shared" si="288"/>
        <v>0</v>
      </c>
      <c r="AR453" s="28">
        <f t="shared" si="289"/>
        <v>0</v>
      </c>
      <c r="AS453" s="17">
        <f t="shared" si="259"/>
        <v>0</v>
      </c>
      <c r="AT453" s="28">
        <f t="shared" si="260"/>
        <v>0</v>
      </c>
      <c r="AU453" s="17">
        <f t="shared" si="261"/>
        <v>0</v>
      </c>
      <c r="AV453" s="28">
        <f t="shared" si="262"/>
        <v>0</v>
      </c>
      <c r="AW453" s="17">
        <f t="shared" si="249"/>
        <v>0</v>
      </c>
      <c r="AX453" s="28">
        <f t="shared" si="250"/>
        <v>0</v>
      </c>
      <c r="AY453" s="17">
        <f t="shared" si="251"/>
        <v>0</v>
      </c>
      <c r="AZ453" s="28">
        <f t="shared" si="252"/>
        <v>0</v>
      </c>
      <c r="BA453" s="27">
        <f t="shared" si="276"/>
        <v>0</v>
      </c>
      <c r="BB453" s="27">
        <f t="shared" si="254"/>
        <v>0</v>
      </c>
      <c r="BC453" s="27">
        <f t="shared" si="256"/>
        <v>0</v>
      </c>
      <c r="BD453" s="27">
        <f t="shared" si="257"/>
        <v>0</v>
      </c>
      <c r="BE453" s="27">
        <f t="shared" si="258"/>
        <v>0</v>
      </c>
      <c r="BF453" s="29">
        <f t="shared" si="277"/>
        <v>0</v>
      </c>
      <c r="BH453" s="30">
        <f t="shared" si="253"/>
        <v>0</v>
      </c>
      <c r="BM453" s="2">
        <f t="shared" si="290"/>
        <v>0</v>
      </c>
      <c r="BP453" s="2">
        <f t="shared" si="291"/>
        <v>0</v>
      </c>
    </row>
    <row r="454" spans="1:68" ht="14.45" hidden="1" customHeight="1" x14ac:dyDescent="0.25">
      <c r="A454" s="33" t="s">
        <v>470</v>
      </c>
      <c r="B454" s="23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13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5"/>
      <c r="AD454" s="39">
        <f t="shared" si="285"/>
        <v>0</v>
      </c>
      <c r="AE454" s="26" t="s">
        <v>42</v>
      </c>
      <c r="AF454" s="27">
        <v>90000</v>
      </c>
      <c r="AG454" s="17">
        <f t="shared" si="244"/>
        <v>0</v>
      </c>
      <c r="AH454" s="28">
        <f t="shared" si="245"/>
        <v>0</v>
      </c>
      <c r="AI454" s="17">
        <f t="shared" si="246"/>
        <v>0</v>
      </c>
      <c r="AJ454" s="28">
        <f t="shared" si="247"/>
        <v>0</v>
      </c>
      <c r="AK454" s="17">
        <f t="shared" si="255"/>
        <v>0</v>
      </c>
      <c r="AL454" s="28">
        <f t="shared" si="248"/>
        <v>0</v>
      </c>
      <c r="AM454" s="17">
        <f t="shared" si="263"/>
        <v>0</v>
      </c>
      <c r="AN454" s="28">
        <f t="shared" si="278"/>
        <v>0</v>
      </c>
      <c r="AO454" s="17">
        <f t="shared" si="286"/>
        <v>0</v>
      </c>
      <c r="AP454" s="28">
        <f t="shared" si="287"/>
        <v>0</v>
      </c>
      <c r="AQ454" s="17">
        <f t="shared" si="288"/>
        <v>0</v>
      </c>
      <c r="AR454" s="28">
        <f t="shared" si="289"/>
        <v>0</v>
      </c>
      <c r="AS454" s="17">
        <f t="shared" si="259"/>
        <v>0</v>
      </c>
      <c r="AT454" s="28">
        <f t="shared" si="260"/>
        <v>0</v>
      </c>
      <c r="AU454" s="17">
        <f t="shared" si="261"/>
        <v>0</v>
      </c>
      <c r="AV454" s="28">
        <f t="shared" si="262"/>
        <v>0</v>
      </c>
      <c r="AW454" s="17">
        <f t="shared" si="249"/>
        <v>0</v>
      </c>
      <c r="AX454" s="28">
        <f t="shared" si="250"/>
        <v>0</v>
      </c>
      <c r="AY454" s="17">
        <f t="shared" si="251"/>
        <v>0</v>
      </c>
      <c r="AZ454" s="28">
        <f t="shared" si="252"/>
        <v>0</v>
      </c>
      <c r="BA454" s="27">
        <f t="shared" si="276"/>
        <v>0</v>
      </c>
      <c r="BB454" s="27">
        <f t="shared" si="254"/>
        <v>0</v>
      </c>
      <c r="BC454" s="27">
        <f t="shared" si="256"/>
        <v>0</v>
      </c>
      <c r="BD454" s="27">
        <f t="shared" si="257"/>
        <v>0</v>
      </c>
      <c r="BE454" s="27">
        <f t="shared" si="258"/>
        <v>0</v>
      </c>
      <c r="BF454" s="29">
        <f t="shared" si="277"/>
        <v>0</v>
      </c>
      <c r="BH454" s="30">
        <f t="shared" si="253"/>
        <v>0</v>
      </c>
      <c r="BM454" s="2">
        <f t="shared" si="290"/>
        <v>0</v>
      </c>
      <c r="BP454" s="2">
        <f t="shared" si="291"/>
        <v>0</v>
      </c>
    </row>
    <row r="455" spans="1:68" ht="14.45" hidden="1" customHeight="1" x14ac:dyDescent="0.25">
      <c r="A455" s="33" t="s">
        <v>471</v>
      </c>
      <c r="B455" s="23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13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5"/>
      <c r="AD455" s="39">
        <f t="shared" si="285"/>
        <v>0</v>
      </c>
      <c r="AE455" s="26" t="s">
        <v>42</v>
      </c>
      <c r="AF455" s="27"/>
      <c r="AG455" s="17">
        <f t="shared" ref="AG455:AG518" si="292">SUM(F455:L455)-G455</f>
        <v>0</v>
      </c>
      <c r="AH455" s="28">
        <f t="shared" ref="AH455:AH518" si="293">+AG455*AF455</f>
        <v>0</v>
      </c>
      <c r="AI455" s="17">
        <f t="shared" ref="AI455:AI518" si="294">SUM(T455:Y455)-U455</f>
        <v>0</v>
      </c>
      <c r="AJ455" s="28">
        <f t="shared" ref="AJ455:AJ518" si="295">+AI455*AF455</f>
        <v>0</v>
      </c>
      <c r="AK455" s="17">
        <f t="shared" si="255"/>
        <v>0</v>
      </c>
      <c r="AL455" s="28">
        <f t="shared" ref="AL455:AL518" si="296">+AK455*AF455</f>
        <v>0</v>
      </c>
      <c r="AM455" s="17">
        <f t="shared" si="263"/>
        <v>0</v>
      </c>
      <c r="AN455" s="28">
        <f t="shared" si="278"/>
        <v>0</v>
      </c>
      <c r="AO455" s="17">
        <f t="shared" si="286"/>
        <v>0</v>
      </c>
      <c r="AP455" s="28">
        <f t="shared" si="287"/>
        <v>0</v>
      </c>
      <c r="AQ455" s="17">
        <f t="shared" si="288"/>
        <v>0</v>
      </c>
      <c r="AR455" s="28">
        <f t="shared" si="289"/>
        <v>0</v>
      </c>
      <c r="AS455" s="17">
        <f t="shared" si="259"/>
        <v>0</v>
      </c>
      <c r="AT455" s="28">
        <f t="shared" si="260"/>
        <v>0</v>
      </c>
      <c r="AU455" s="17">
        <f t="shared" si="261"/>
        <v>0</v>
      </c>
      <c r="AV455" s="28">
        <f t="shared" si="262"/>
        <v>0</v>
      </c>
      <c r="AW455" s="17">
        <f t="shared" ref="AW455:AW518" si="297">+D455</f>
        <v>0</v>
      </c>
      <c r="AX455" s="28">
        <f t="shared" ref="AX455:AX518" si="298">+AW455*AF455</f>
        <v>0</v>
      </c>
      <c r="AY455" s="17">
        <f t="shared" ref="AY455:AY518" si="299">+R455</f>
        <v>0</v>
      </c>
      <c r="AZ455" s="28">
        <f t="shared" ref="AZ455:AZ518" si="300">+AY455*AF455</f>
        <v>0</v>
      </c>
      <c r="BA455" s="27">
        <f t="shared" si="276"/>
        <v>0</v>
      </c>
      <c r="BB455" s="27">
        <f t="shared" si="254"/>
        <v>0</v>
      </c>
      <c r="BC455" s="27">
        <f t="shared" si="256"/>
        <v>0</v>
      </c>
      <c r="BD455" s="27">
        <f t="shared" si="257"/>
        <v>0</v>
      </c>
      <c r="BE455" s="27">
        <f t="shared" si="258"/>
        <v>0</v>
      </c>
      <c r="BF455" s="29">
        <f t="shared" si="277"/>
        <v>0</v>
      </c>
      <c r="BH455" s="30">
        <f t="shared" ref="BH455:BH518" si="301">+B455+C455+E455+G455+M455+N455+O455+(P455+Q455+S455+U455+Z455+AA455+AB455)</f>
        <v>0</v>
      </c>
      <c r="BM455" s="2">
        <f t="shared" si="290"/>
        <v>0</v>
      </c>
      <c r="BP455" s="2">
        <f t="shared" si="291"/>
        <v>0</v>
      </c>
    </row>
    <row r="456" spans="1:68" ht="14.45" hidden="1" customHeight="1" x14ac:dyDescent="0.25">
      <c r="A456" s="33" t="s">
        <v>472</v>
      </c>
      <c r="B456" s="23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13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5"/>
      <c r="AD456" s="39">
        <f t="shared" si="285"/>
        <v>0</v>
      </c>
      <c r="AE456" s="26" t="s">
        <v>42</v>
      </c>
      <c r="AF456" s="27"/>
      <c r="AG456" s="17">
        <f t="shared" si="292"/>
        <v>0</v>
      </c>
      <c r="AH456" s="28">
        <f t="shared" si="293"/>
        <v>0</v>
      </c>
      <c r="AI456" s="17">
        <f t="shared" si="294"/>
        <v>0</v>
      </c>
      <c r="AJ456" s="28">
        <f t="shared" si="295"/>
        <v>0</v>
      </c>
      <c r="AK456" s="17">
        <f t="shared" si="255"/>
        <v>0</v>
      </c>
      <c r="AL456" s="28">
        <f t="shared" si="296"/>
        <v>0</v>
      </c>
      <c r="AM456" s="17">
        <f t="shared" si="263"/>
        <v>0</v>
      </c>
      <c r="AN456" s="28">
        <f t="shared" si="278"/>
        <v>0</v>
      </c>
      <c r="AO456" s="17">
        <f t="shared" si="286"/>
        <v>0</v>
      </c>
      <c r="AP456" s="28">
        <f t="shared" si="287"/>
        <v>0</v>
      </c>
      <c r="AQ456" s="17">
        <f t="shared" si="288"/>
        <v>0</v>
      </c>
      <c r="AR456" s="28">
        <f t="shared" si="289"/>
        <v>0</v>
      </c>
      <c r="AS456" s="17">
        <f t="shared" si="259"/>
        <v>0</v>
      </c>
      <c r="AT456" s="28">
        <f t="shared" si="260"/>
        <v>0</v>
      </c>
      <c r="AU456" s="17">
        <f t="shared" si="261"/>
        <v>0</v>
      </c>
      <c r="AV456" s="28">
        <f t="shared" si="262"/>
        <v>0</v>
      </c>
      <c r="AW456" s="17">
        <f t="shared" si="297"/>
        <v>0</v>
      </c>
      <c r="AX456" s="28">
        <f t="shared" si="298"/>
        <v>0</v>
      </c>
      <c r="AY456" s="17">
        <f t="shared" si="299"/>
        <v>0</v>
      </c>
      <c r="AZ456" s="28">
        <f t="shared" si="300"/>
        <v>0</v>
      </c>
      <c r="BA456" s="27">
        <f t="shared" si="276"/>
        <v>0</v>
      </c>
      <c r="BB456" s="27">
        <f t="shared" ref="BB456:BB519" si="302">+AL456+AN456</f>
        <v>0</v>
      </c>
      <c r="BC456" s="27">
        <f t="shared" si="256"/>
        <v>0</v>
      </c>
      <c r="BD456" s="27">
        <f t="shared" si="257"/>
        <v>0</v>
      </c>
      <c r="BE456" s="27">
        <f t="shared" si="258"/>
        <v>0</v>
      </c>
      <c r="BF456" s="29">
        <f t="shared" si="277"/>
        <v>0</v>
      </c>
      <c r="BH456" s="30">
        <f t="shared" si="301"/>
        <v>0</v>
      </c>
      <c r="BM456" s="2">
        <f t="shared" si="290"/>
        <v>0</v>
      </c>
      <c r="BP456" s="2">
        <f t="shared" si="291"/>
        <v>0</v>
      </c>
    </row>
    <row r="457" spans="1:68" ht="14.45" hidden="1" customHeight="1" x14ac:dyDescent="0.25">
      <c r="A457" s="33" t="s">
        <v>473</v>
      </c>
      <c r="B457" s="23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13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5"/>
      <c r="AD457" s="39">
        <f t="shared" si="285"/>
        <v>0</v>
      </c>
      <c r="AE457" s="26" t="s">
        <v>42</v>
      </c>
      <c r="AF457" s="27"/>
      <c r="AG457" s="17">
        <f t="shared" si="292"/>
        <v>0</v>
      </c>
      <c r="AH457" s="28">
        <f t="shared" si="293"/>
        <v>0</v>
      </c>
      <c r="AI457" s="17">
        <f t="shared" si="294"/>
        <v>0</v>
      </c>
      <c r="AJ457" s="28">
        <f t="shared" si="295"/>
        <v>0</v>
      </c>
      <c r="AK457" s="17">
        <f t="shared" ref="AK457:AK520" si="303">+N457+O457+G457</f>
        <v>0</v>
      </c>
      <c r="AL457" s="28">
        <f t="shared" si="296"/>
        <v>0</v>
      </c>
      <c r="AM457" s="17">
        <f t="shared" si="263"/>
        <v>0</v>
      </c>
      <c r="AN457" s="28">
        <f t="shared" si="278"/>
        <v>0</v>
      </c>
      <c r="AO457" s="17">
        <f t="shared" si="286"/>
        <v>0</v>
      </c>
      <c r="AP457" s="28">
        <f t="shared" si="287"/>
        <v>0</v>
      </c>
      <c r="AQ457" s="17">
        <f t="shared" si="288"/>
        <v>0</v>
      </c>
      <c r="AR457" s="28">
        <f t="shared" si="289"/>
        <v>0</v>
      </c>
      <c r="AS457" s="17">
        <f t="shared" si="259"/>
        <v>0</v>
      </c>
      <c r="AT457" s="28">
        <f t="shared" si="260"/>
        <v>0</v>
      </c>
      <c r="AU457" s="17">
        <f t="shared" si="261"/>
        <v>0</v>
      </c>
      <c r="AV457" s="28">
        <f t="shared" si="262"/>
        <v>0</v>
      </c>
      <c r="AW457" s="17">
        <f t="shared" si="297"/>
        <v>0</v>
      </c>
      <c r="AX457" s="28">
        <f t="shared" si="298"/>
        <v>0</v>
      </c>
      <c r="AY457" s="17">
        <f t="shared" si="299"/>
        <v>0</v>
      </c>
      <c r="AZ457" s="28">
        <f t="shared" si="300"/>
        <v>0</v>
      </c>
      <c r="BA457" s="27">
        <f t="shared" si="276"/>
        <v>0</v>
      </c>
      <c r="BB457" s="27">
        <f t="shared" si="302"/>
        <v>0</v>
      </c>
      <c r="BC457" s="27">
        <f t="shared" ref="BC457:BC520" si="304">+AP457+AR457</f>
        <v>0</v>
      </c>
      <c r="BD457" s="27">
        <f t="shared" ref="BD457:BD520" si="305">+AT457+AV457</f>
        <v>0</v>
      </c>
      <c r="BE457" s="27">
        <f t="shared" ref="BE457:BE520" si="306">+AX457+AZ457</f>
        <v>0</v>
      </c>
      <c r="BF457" s="29">
        <f t="shared" si="277"/>
        <v>0</v>
      </c>
      <c r="BH457" s="30">
        <f t="shared" si="301"/>
        <v>0</v>
      </c>
      <c r="BM457" s="2">
        <f t="shared" si="290"/>
        <v>0</v>
      </c>
      <c r="BP457" s="2">
        <f t="shared" si="291"/>
        <v>0</v>
      </c>
    </row>
    <row r="458" spans="1:68" ht="14.45" hidden="1" customHeight="1" x14ac:dyDescent="0.25">
      <c r="A458" s="33" t="s">
        <v>474</v>
      </c>
      <c r="B458" s="23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13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5"/>
      <c r="AD458" s="39">
        <f t="shared" si="285"/>
        <v>0</v>
      </c>
      <c r="AE458" s="26" t="s">
        <v>42</v>
      </c>
      <c r="AF458" s="27"/>
      <c r="AG458" s="17">
        <f t="shared" si="292"/>
        <v>0</v>
      </c>
      <c r="AH458" s="28">
        <f t="shared" si="293"/>
        <v>0</v>
      </c>
      <c r="AI458" s="17">
        <f t="shared" si="294"/>
        <v>0</v>
      </c>
      <c r="AJ458" s="28">
        <f t="shared" si="295"/>
        <v>0</v>
      </c>
      <c r="AK458" s="17">
        <f t="shared" si="303"/>
        <v>0</v>
      </c>
      <c r="AL458" s="28">
        <f t="shared" si="296"/>
        <v>0</v>
      </c>
      <c r="AM458" s="17">
        <f t="shared" si="263"/>
        <v>0</v>
      </c>
      <c r="AN458" s="28">
        <f t="shared" si="278"/>
        <v>0</v>
      </c>
      <c r="AO458" s="17">
        <f t="shared" si="286"/>
        <v>0</v>
      </c>
      <c r="AP458" s="28">
        <f t="shared" si="287"/>
        <v>0</v>
      </c>
      <c r="AQ458" s="17">
        <f t="shared" si="288"/>
        <v>0</v>
      </c>
      <c r="AR458" s="28">
        <f t="shared" si="289"/>
        <v>0</v>
      </c>
      <c r="AS458" s="17">
        <f t="shared" ref="AS458:AS521" si="307">+C458</f>
        <v>0</v>
      </c>
      <c r="AT458" s="28">
        <f t="shared" ref="AT458:AT521" si="308">+AS458*AF458</f>
        <v>0</v>
      </c>
      <c r="AU458" s="17">
        <f t="shared" ref="AU458:AU521" si="309">+Q458</f>
        <v>0</v>
      </c>
      <c r="AV458" s="28">
        <f t="shared" ref="AV458:AV521" si="310">+AU458*AF458</f>
        <v>0</v>
      </c>
      <c r="AW458" s="17">
        <f t="shared" si="297"/>
        <v>0</v>
      </c>
      <c r="AX458" s="28">
        <f t="shared" si="298"/>
        <v>0</v>
      </c>
      <c r="AY458" s="17">
        <f t="shared" si="299"/>
        <v>0</v>
      </c>
      <c r="AZ458" s="28">
        <f t="shared" si="300"/>
        <v>0</v>
      </c>
      <c r="BA458" s="27">
        <f t="shared" si="276"/>
        <v>0</v>
      </c>
      <c r="BB458" s="27">
        <f t="shared" si="302"/>
        <v>0</v>
      </c>
      <c r="BC458" s="27">
        <f t="shared" si="304"/>
        <v>0</v>
      </c>
      <c r="BD458" s="27">
        <f t="shared" si="305"/>
        <v>0</v>
      </c>
      <c r="BE458" s="27">
        <f t="shared" si="306"/>
        <v>0</v>
      </c>
      <c r="BF458" s="29">
        <f t="shared" si="277"/>
        <v>0</v>
      </c>
      <c r="BH458" s="30">
        <f t="shared" si="301"/>
        <v>0</v>
      </c>
      <c r="BM458" s="2">
        <f t="shared" si="290"/>
        <v>0</v>
      </c>
      <c r="BP458" s="2">
        <f t="shared" si="291"/>
        <v>0</v>
      </c>
    </row>
    <row r="459" spans="1:68" ht="14.45" hidden="1" customHeight="1" x14ac:dyDescent="0.25">
      <c r="A459" s="33" t="s">
        <v>475</v>
      </c>
      <c r="B459" s="23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13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5"/>
      <c r="AD459" s="39">
        <f t="shared" si="285"/>
        <v>0</v>
      </c>
      <c r="AE459" s="26" t="s">
        <v>42</v>
      </c>
      <c r="AF459" s="27"/>
      <c r="AG459" s="17">
        <f t="shared" si="292"/>
        <v>0</v>
      </c>
      <c r="AH459" s="28">
        <f t="shared" si="293"/>
        <v>0</v>
      </c>
      <c r="AI459" s="17">
        <f t="shared" si="294"/>
        <v>0</v>
      </c>
      <c r="AJ459" s="28">
        <f t="shared" si="295"/>
        <v>0</v>
      </c>
      <c r="AK459" s="17">
        <f t="shared" si="303"/>
        <v>0</v>
      </c>
      <c r="AL459" s="28">
        <f t="shared" si="296"/>
        <v>0</v>
      </c>
      <c r="AM459" s="17">
        <f t="shared" ref="AM459:AM522" si="311">+AA459+AB459+U459</f>
        <v>0</v>
      </c>
      <c r="AN459" s="28">
        <f t="shared" si="278"/>
        <v>0</v>
      </c>
      <c r="AO459" s="17">
        <f t="shared" si="286"/>
        <v>0</v>
      </c>
      <c r="AP459" s="28">
        <f t="shared" si="287"/>
        <v>0</v>
      </c>
      <c r="AQ459" s="17">
        <f t="shared" si="288"/>
        <v>0</v>
      </c>
      <c r="AR459" s="28">
        <f t="shared" si="289"/>
        <v>0</v>
      </c>
      <c r="AS459" s="17">
        <f t="shared" si="307"/>
        <v>0</v>
      </c>
      <c r="AT459" s="28">
        <f t="shared" si="308"/>
        <v>0</v>
      </c>
      <c r="AU459" s="17">
        <f t="shared" si="309"/>
        <v>0</v>
      </c>
      <c r="AV459" s="28">
        <f t="shared" si="310"/>
        <v>0</v>
      </c>
      <c r="AW459" s="17">
        <f t="shared" si="297"/>
        <v>0</v>
      </c>
      <c r="AX459" s="28">
        <f t="shared" si="298"/>
        <v>0</v>
      </c>
      <c r="AY459" s="17">
        <f t="shared" si="299"/>
        <v>0</v>
      </c>
      <c r="AZ459" s="28">
        <f t="shared" si="300"/>
        <v>0</v>
      </c>
      <c r="BA459" s="27">
        <f t="shared" si="276"/>
        <v>0</v>
      </c>
      <c r="BB459" s="27">
        <f t="shared" si="302"/>
        <v>0</v>
      </c>
      <c r="BC459" s="27">
        <f t="shared" si="304"/>
        <v>0</v>
      </c>
      <c r="BD459" s="27">
        <f t="shared" si="305"/>
        <v>0</v>
      </c>
      <c r="BE459" s="27">
        <f t="shared" si="306"/>
        <v>0</v>
      </c>
      <c r="BF459" s="29">
        <f t="shared" si="277"/>
        <v>0</v>
      </c>
      <c r="BH459" s="30">
        <f t="shared" si="301"/>
        <v>0</v>
      </c>
      <c r="BM459" s="2">
        <f t="shared" si="290"/>
        <v>0</v>
      </c>
      <c r="BP459" s="2">
        <f t="shared" si="291"/>
        <v>0</v>
      </c>
    </row>
    <row r="460" spans="1:68" ht="14.45" hidden="1" customHeight="1" x14ac:dyDescent="0.25">
      <c r="A460" s="33" t="s">
        <v>476</v>
      </c>
      <c r="B460" s="23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13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5"/>
      <c r="AD460" s="39">
        <f t="shared" si="285"/>
        <v>0</v>
      </c>
      <c r="AE460" s="26" t="s">
        <v>42</v>
      </c>
      <c r="AF460" s="27"/>
      <c r="AG460" s="17">
        <f t="shared" si="292"/>
        <v>0</v>
      </c>
      <c r="AH460" s="28">
        <f t="shared" si="293"/>
        <v>0</v>
      </c>
      <c r="AI460" s="17">
        <f t="shared" si="294"/>
        <v>0</v>
      </c>
      <c r="AJ460" s="28">
        <f t="shared" si="295"/>
        <v>0</v>
      </c>
      <c r="AK460" s="17">
        <f t="shared" si="303"/>
        <v>0</v>
      </c>
      <c r="AL460" s="28">
        <f t="shared" si="296"/>
        <v>0</v>
      </c>
      <c r="AM460" s="17">
        <f t="shared" si="311"/>
        <v>0</v>
      </c>
      <c r="AN460" s="28">
        <f t="shared" si="278"/>
        <v>0</v>
      </c>
      <c r="AO460" s="17">
        <f t="shared" si="286"/>
        <v>0</v>
      </c>
      <c r="AP460" s="28">
        <f t="shared" si="287"/>
        <v>0</v>
      </c>
      <c r="AQ460" s="17">
        <f t="shared" si="288"/>
        <v>0</v>
      </c>
      <c r="AR460" s="28">
        <f t="shared" si="289"/>
        <v>0</v>
      </c>
      <c r="AS460" s="17">
        <f t="shared" si="307"/>
        <v>0</v>
      </c>
      <c r="AT460" s="28">
        <f t="shared" si="308"/>
        <v>0</v>
      </c>
      <c r="AU460" s="17">
        <f t="shared" si="309"/>
        <v>0</v>
      </c>
      <c r="AV460" s="28">
        <f t="shared" si="310"/>
        <v>0</v>
      </c>
      <c r="AW460" s="17">
        <f t="shared" si="297"/>
        <v>0</v>
      </c>
      <c r="AX460" s="28">
        <f t="shared" si="298"/>
        <v>0</v>
      </c>
      <c r="AY460" s="17">
        <f t="shared" si="299"/>
        <v>0</v>
      </c>
      <c r="AZ460" s="28">
        <f t="shared" si="300"/>
        <v>0</v>
      </c>
      <c r="BA460" s="27">
        <f t="shared" si="276"/>
        <v>0</v>
      </c>
      <c r="BB460" s="27">
        <f t="shared" si="302"/>
        <v>0</v>
      </c>
      <c r="BC460" s="27">
        <f t="shared" si="304"/>
        <v>0</v>
      </c>
      <c r="BD460" s="27">
        <f t="shared" si="305"/>
        <v>0</v>
      </c>
      <c r="BE460" s="27">
        <f t="shared" si="306"/>
        <v>0</v>
      </c>
      <c r="BF460" s="29">
        <f t="shared" si="277"/>
        <v>0</v>
      </c>
      <c r="BH460" s="30">
        <f t="shared" si="301"/>
        <v>0</v>
      </c>
      <c r="BM460" s="2">
        <f t="shared" si="290"/>
        <v>0</v>
      </c>
      <c r="BP460" s="2">
        <f t="shared" si="291"/>
        <v>0</v>
      </c>
    </row>
    <row r="461" spans="1:68" ht="14.45" hidden="1" customHeight="1" x14ac:dyDescent="0.25">
      <c r="A461" s="33" t="s">
        <v>477</v>
      </c>
      <c r="B461" s="23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13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5"/>
      <c r="AD461" s="39">
        <f t="shared" si="285"/>
        <v>0</v>
      </c>
      <c r="AE461" s="26" t="s">
        <v>42</v>
      </c>
      <c r="AF461" s="27"/>
      <c r="AG461" s="17">
        <f t="shared" si="292"/>
        <v>0</v>
      </c>
      <c r="AH461" s="28">
        <f t="shared" si="293"/>
        <v>0</v>
      </c>
      <c r="AI461" s="17">
        <f t="shared" si="294"/>
        <v>0</v>
      </c>
      <c r="AJ461" s="28">
        <f t="shared" si="295"/>
        <v>0</v>
      </c>
      <c r="AK461" s="17">
        <f t="shared" si="303"/>
        <v>0</v>
      </c>
      <c r="AL461" s="28">
        <f t="shared" si="296"/>
        <v>0</v>
      </c>
      <c r="AM461" s="17">
        <f t="shared" si="311"/>
        <v>0</v>
      </c>
      <c r="AN461" s="28">
        <f t="shared" si="278"/>
        <v>0</v>
      </c>
      <c r="AO461" s="17">
        <f t="shared" si="286"/>
        <v>0</v>
      </c>
      <c r="AP461" s="28">
        <f t="shared" si="287"/>
        <v>0</v>
      </c>
      <c r="AQ461" s="17">
        <f t="shared" si="288"/>
        <v>0</v>
      </c>
      <c r="AR461" s="28">
        <f t="shared" si="289"/>
        <v>0</v>
      </c>
      <c r="AS461" s="17">
        <f t="shared" si="307"/>
        <v>0</v>
      </c>
      <c r="AT461" s="28">
        <f t="shared" si="308"/>
        <v>0</v>
      </c>
      <c r="AU461" s="17">
        <f t="shared" si="309"/>
        <v>0</v>
      </c>
      <c r="AV461" s="28">
        <f t="shared" si="310"/>
        <v>0</v>
      </c>
      <c r="AW461" s="17">
        <f t="shared" si="297"/>
        <v>0</v>
      </c>
      <c r="AX461" s="28">
        <f t="shared" si="298"/>
        <v>0</v>
      </c>
      <c r="AY461" s="17">
        <f t="shared" si="299"/>
        <v>0</v>
      </c>
      <c r="AZ461" s="28">
        <f t="shared" si="300"/>
        <v>0</v>
      </c>
      <c r="BA461" s="27">
        <f t="shared" si="276"/>
        <v>0</v>
      </c>
      <c r="BB461" s="27">
        <f t="shared" si="302"/>
        <v>0</v>
      </c>
      <c r="BC461" s="27">
        <f t="shared" si="304"/>
        <v>0</v>
      </c>
      <c r="BD461" s="27">
        <f t="shared" si="305"/>
        <v>0</v>
      </c>
      <c r="BE461" s="27">
        <f t="shared" si="306"/>
        <v>0</v>
      </c>
      <c r="BF461" s="29">
        <f t="shared" si="277"/>
        <v>0</v>
      </c>
      <c r="BH461" s="30">
        <f t="shared" si="301"/>
        <v>0</v>
      </c>
      <c r="BM461" s="2">
        <f t="shared" si="290"/>
        <v>0</v>
      </c>
      <c r="BP461" s="2">
        <f t="shared" si="291"/>
        <v>0</v>
      </c>
    </row>
    <row r="462" spans="1:68" ht="14.45" hidden="1" customHeight="1" x14ac:dyDescent="0.25">
      <c r="A462" s="33" t="s">
        <v>478</v>
      </c>
      <c r="B462" s="23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13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5"/>
      <c r="AD462" s="39">
        <f t="shared" si="285"/>
        <v>0</v>
      </c>
      <c r="AE462" s="26" t="s">
        <v>42</v>
      </c>
      <c r="AF462" s="27"/>
      <c r="AG462" s="17">
        <f t="shared" si="292"/>
        <v>0</v>
      </c>
      <c r="AH462" s="28">
        <f t="shared" si="293"/>
        <v>0</v>
      </c>
      <c r="AI462" s="17">
        <f t="shared" si="294"/>
        <v>0</v>
      </c>
      <c r="AJ462" s="28">
        <f t="shared" si="295"/>
        <v>0</v>
      </c>
      <c r="AK462" s="17">
        <f t="shared" si="303"/>
        <v>0</v>
      </c>
      <c r="AL462" s="28">
        <f t="shared" si="296"/>
        <v>0</v>
      </c>
      <c r="AM462" s="17">
        <f t="shared" si="311"/>
        <v>0</v>
      </c>
      <c r="AN462" s="28">
        <f t="shared" si="278"/>
        <v>0</v>
      </c>
      <c r="AO462" s="17">
        <f t="shared" si="286"/>
        <v>0</v>
      </c>
      <c r="AP462" s="28">
        <f t="shared" si="287"/>
        <v>0</v>
      </c>
      <c r="AQ462" s="17">
        <f t="shared" si="288"/>
        <v>0</v>
      </c>
      <c r="AR462" s="28">
        <f t="shared" si="289"/>
        <v>0</v>
      </c>
      <c r="AS462" s="17">
        <f t="shared" si="307"/>
        <v>0</v>
      </c>
      <c r="AT462" s="28">
        <f t="shared" si="308"/>
        <v>0</v>
      </c>
      <c r="AU462" s="17">
        <f t="shared" si="309"/>
        <v>0</v>
      </c>
      <c r="AV462" s="28">
        <f t="shared" si="310"/>
        <v>0</v>
      </c>
      <c r="AW462" s="17">
        <f t="shared" si="297"/>
        <v>0</v>
      </c>
      <c r="AX462" s="28">
        <f t="shared" si="298"/>
        <v>0</v>
      </c>
      <c r="AY462" s="17">
        <f t="shared" si="299"/>
        <v>0</v>
      </c>
      <c r="AZ462" s="28">
        <f t="shared" si="300"/>
        <v>0</v>
      </c>
      <c r="BA462" s="27">
        <f t="shared" si="276"/>
        <v>0</v>
      </c>
      <c r="BB462" s="27">
        <f t="shared" si="302"/>
        <v>0</v>
      </c>
      <c r="BC462" s="27">
        <f t="shared" si="304"/>
        <v>0</v>
      </c>
      <c r="BD462" s="27">
        <f t="shared" si="305"/>
        <v>0</v>
      </c>
      <c r="BE462" s="27">
        <f t="shared" si="306"/>
        <v>0</v>
      </c>
      <c r="BF462" s="29">
        <f t="shared" si="277"/>
        <v>0</v>
      </c>
      <c r="BH462" s="30">
        <f t="shared" si="301"/>
        <v>0</v>
      </c>
      <c r="BM462" s="2">
        <f t="shared" si="290"/>
        <v>0</v>
      </c>
      <c r="BP462" s="2">
        <f t="shared" si="291"/>
        <v>0</v>
      </c>
    </row>
    <row r="463" spans="1:68" ht="14.45" hidden="1" customHeight="1" x14ac:dyDescent="0.25">
      <c r="A463" s="33" t="s">
        <v>479</v>
      </c>
      <c r="B463" s="23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13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5"/>
      <c r="AD463" s="39">
        <f t="shared" si="285"/>
        <v>0</v>
      </c>
      <c r="AE463" s="26" t="s">
        <v>42</v>
      </c>
      <c r="AF463" s="27"/>
      <c r="AG463" s="17">
        <f t="shared" si="292"/>
        <v>0</v>
      </c>
      <c r="AH463" s="28">
        <f t="shared" si="293"/>
        <v>0</v>
      </c>
      <c r="AI463" s="17">
        <f t="shared" si="294"/>
        <v>0</v>
      </c>
      <c r="AJ463" s="28">
        <f t="shared" si="295"/>
        <v>0</v>
      </c>
      <c r="AK463" s="17">
        <f t="shared" si="303"/>
        <v>0</v>
      </c>
      <c r="AL463" s="28">
        <f t="shared" si="296"/>
        <v>0</v>
      </c>
      <c r="AM463" s="17">
        <f t="shared" si="311"/>
        <v>0</v>
      </c>
      <c r="AN463" s="28">
        <f t="shared" si="278"/>
        <v>0</v>
      </c>
      <c r="AO463" s="17">
        <f t="shared" si="286"/>
        <v>0</v>
      </c>
      <c r="AP463" s="28">
        <f t="shared" si="287"/>
        <v>0</v>
      </c>
      <c r="AQ463" s="17">
        <f t="shared" si="288"/>
        <v>0</v>
      </c>
      <c r="AR463" s="28">
        <f t="shared" si="289"/>
        <v>0</v>
      </c>
      <c r="AS463" s="17">
        <f t="shared" si="307"/>
        <v>0</v>
      </c>
      <c r="AT463" s="28">
        <f t="shared" si="308"/>
        <v>0</v>
      </c>
      <c r="AU463" s="17">
        <f t="shared" si="309"/>
        <v>0</v>
      </c>
      <c r="AV463" s="28">
        <f t="shared" si="310"/>
        <v>0</v>
      </c>
      <c r="AW463" s="17">
        <f t="shared" si="297"/>
        <v>0</v>
      </c>
      <c r="AX463" s="28">
        <f t="shared" si="298"/>
        <v>0</v>
      </c>
      <c r="AY463" s="17">
        <f t="shared" si="299"/>
        <v>0</v>
      </c>
      <c r="AZ463" s="28">
        <f t="shared" si="300"/>
        <v>0</v>
      </c>
      <c r="BA463" s="27">
        <f t="shared" si="276"/>
        <v>0</v>
      </c>
      <c r="BB463" s="27">
        <f t="shared" si="302"/>
        <v>0</v>
      </c>
      <c r="BC463" s="27">
        <f t="shared" si="304"/>
        <v>0</v>
      </c>
      <c r="BD463" s="27">
        <f t="shared" si="305"/>
        <v>0</v>
      </c>
      <c r="BE463" s="27">
        <f t="shared" si="306"/>
        <v>0</v>
      </c>
      <c r="BF463" s="29">
        <f t="shared" si="277"/>
        <v>0</v>
      </c>
      <c r="BH463" s="30">
        <f t="shared" si="301"/>
        <v>0</v>
      </c>
      <c r="BM463" s="2">
        <f t="shared" si="290"/>
        <v>0</v>
      </c>
      <c r="BP463" s="2">
        <f t="shared" si="291"/>
        <v>0</v>
      </c>
    </row>
    <row r="464" spans="1:68" ht="14.45" hidden="1" customHeight="1" x14ac:dyDescent="0.25">
      <c r="A464" s="33" t="s">
        <v>480</v>
      </c>
      <c r="B464" s="23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13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5"/>
      <c r="AD464" s="39">
        <f t="shared" si="285"/>
        <v>0</v>
      </c>
      <c r="AE464" s="26" t="s">
        <v>42</v>
      </c>
      <c r="AF464" s="27"/>
      <c r="AG464" s="17">
        <f t="shared" si="292"/>
        <v>0</v>
      </c>
      <c r="AH464" s="28">
        <f t="shared" si="293"/>
        <v>0</v>
      </c>
      <c r="AI464" s="17">
        <f t="shared" si="294"/>
        <v>0</v>
      </c>
      <c r="AJ464" s="28">
        <f t="shared" si="295"/>
        <v>0</v>
      </c>
      <c r="AK464" s="17">
        <f t="shared" si="303"/>
        <v>0</v>
      </c>
      <c r="AL464" s="28">
        <f t="shared" si="296"/>
        <v>0</v>
      </c>
      <c r="AM464" s="17">
        <f t="shared" si="311"/>
        <v>0</v>
      </c>
      <c r="AN464" s="28">
        <f t="shared" si="278"/>
        <v>0</v>
      </c>
      <c r="AO464" s="17">
        <f t="shared" si="286"/>
        <v>0</v>
      </c>
      <c r="AP464" s="28">
        <f t="shared" si="287"/>
        <v>0</v>
      </c>
      <c r="AQ464" s="17">
        <f t="shared" si="288"/>
        <v>0</v>
      </c>
      <c r="AR464" s="28">
        <f t="shared" si="289"/>
        <v>0</v>
      </c>
      <c r="AS464" s="17">
        <f t="shared" si="307"/>
        <v>0</v>
      </c>
      <c r="AT464" s="28">
        <f t="shared" si="308"/>
        <v>0</v>
      </c>
      <c r="AU464" s="17">
        <f t="shared" si="309"/>
        <v>0</v>
      </c>
      <c r="AV464" s="28">
        <f t="shared" si="310"/>
        <v>0</v>
      </c>
      <c r="AW464" s="17">
        <f t="shared" si="297"/>
        <v>0</v>
      </c>
      <c r="AX464" s="28">
        <f t="shared" si="298"/>
        <v>0</v>
      </c>
      <c r="AY464" s="17">
        <f t="shared" si="299"/>
        <v>0</v>
      </c>
      <c r="AZ464" s="28">
        <f t="shared" si="300"/>
        <v>0</v>
      </c>
      <c r="BA464" s="27">
        <f t="shared" si="276"/>
        <v>0</v>
      </c>
      <c r="BB464" s="27">
        <f t="shared" si="302"/>
        <v>0</v>
      </c>
      <c r="BC464" s="27">
        <f t="shared" si="304"/>
        <v>0</v>
      </c>
      <c r="BD464" s="27">
        <f t="shared" si="305"/>
        <v>0</v>
      </c>
      <c r="BE464" s="27">
        <f t="shared" si="306"/>
        <v>0</v>
      </c>
      <c r="BF464" s="29">
        <f t="shared" si="277"/>
        <v>0</v>
      </c>
      <c r="BH464" s="30">
        <f t="shared" si="301"/>
        <v>0</v>
      </c>
      <c r="BM464" s="2">
        <f t="shared" si="290"/>
        <v>0</v>
      </c>
      <c r="BP464" s="2">
        <f t="shared" si="291"/>
        <v>0</v>
      </c>
    </row>
    <row r="465" spans="1:68" ht="14.45" hidden="1" customHeight="1" x14ac:dyDescent="0.25">
      <c r="A465" s="33" t="s">
        <v>481</v>
      </c>
      <c r="B465" s="23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13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5"/>
      <c r="AD465" s="39">
        <f t="shared" si="285"/>
        <v>0</v>
      </c>
      <c r="AE465" s="26" t="s">
        <v>42</v>
      </c>
      <c r="AF465" s="27"/>
      <c r="AG465" s="17">
        <f t="shared" si="292"/>
        <v>0</v>
      </c>
      <c r="AH465" s="28">
        <f t="shared" si="293"/>
        <v>0</v>
      </c>
      <c r="AI465" s="17">
        <f t="shared" si="294"/>
        <v>0</v>
      </c>
      <c r="AJ465" s="28">
        <f t="shared" si="295"/>
        <v>0</v>
      </c>
      <c r="AK465" s="17">
        <f t="shared" si="303"/>
        <v>0</v>
      </c>
      <c r="AL465" s="28">
        <f t="shared" si="296"/>
        <v>0</v>
      </c>
      <c r="AM465" s="17">
        <f t="shared" si="311"/>
        <v>0</v>
      </c>
      <c r="AN465" s="28">
        <f t="shared" si="278"/>
        <v>0</v>
      </c>
      <c r="AO465" s="17">
        <f t="shared" si="286"/>
        <v>0</v>
      </c>
      <c r="AP465" s="28">
        <f t="shared" si="287"/>
        <v>0</v>
      </c>
      <c r="AQ465" s="17">
        <f t="shared" si="288"/>
        <v>0</v>
      </c>
      <c r="AR465" s="28">
        <f t="shared" si="289"/>
        <v>0</v>
      </c>
      <c r="AS465" s="17">
        <f t="shared" si="307"/>
        <v>0</v>
      </c>
      <c r="AT465" s="28">
        <f t="shared" si="308"/>
        <v>0</v>
      </c>
      <c r="AU465" s="17">
        <f t="shared" si="309"/>
        <v>0</v>
      </c>
      <c r="AV465" s="28">
        <f t="shared" si="310"/>
        <v>0</v>
      </c>
      <c r="AW465" s="17">
        <f t="shared" si="297"/>
        <v>0</v>
      </c>
      <c r="AX465" s="28">
        <f t="shared" si="298"/>
        <v>0</v>
      </c>
      <c r="AY465" s="17">
        <f t="shared" si="299"/>
        <v>0</v>
      </c>
      <c r="AZ465" s="28">
        <f t="shared" si="300"/>
        <v>0</v>
      </c>
      <c r="BA465" s="27">
        <f t="shared" si="276"/>
        <v>0</v>
      </c>
      <c r="BB465" s="27">
        <f t="shared" si="302"/>
        <v>0</v>
      </c>
      <c r="BC465" s="27">
        <f t="shared" si="304"/>
        <v>0</v>
      </c>
      <c r="BD465" s="27">
        <f t="shared" si="305"/>
        <v>0</v>
      </c>
      <c r="BE465" s="27">
        <f t="shared" si="306"/>
        <v>0</v>
      </c>
      <c r="BF465" s="29">
        <f t="shared" si="277"/>
        <v>0</v>
      </c>
      <c r="BH465" s="30">
        <f t="shared" si="301"/>
        <v>0</v>
      </c>
      <c r="BM465" s="2">
        <f t="shared" si="290"/>
        <v>0</v>
      </c>
      <c r="BP465" s="2">
        <f t="shared" si="291"/>
        <v>0</v>
      </c>
    </row>
    <row r="466" spans="1:68" ht="14.45" hidden="1" customHeight="1" x14ac:dyDescent="0.25">
      <c r="A466" s="33" t="s">
        <v>482</v>
      </c>
      <c r="B466" s="23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13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5"/>
      <c r="AD466" s="39">
        <f t="shared" si="285"/>
        <v>0</v>
      </c>
      <c r="AE466" s="26" t="s">
        <v>42</v>
      </c>
      <c r="AF466" s="27"/>
      <c r="AG466" s="17">
        <f t="shared" si="292"/>
        <v>0</v>
      </c>
      <c r="AH466" s="28">
        <f t="shared" si="293"/>
        <v>0</v>
      </c>
      <c r="AI466" s="17">
        <f t="shared" si="294"/>
        <v>0</v>
      </c>
      <c r="AJ466" s="28">
        <f t="shared" si="295"/>
        <v>0</v>
      </c>
      <c r="AK466" s="17">
        <f t="shared" si="303"/>
        <v>0</v>
      </c>
      <c r="AL466" s="28">
        <f t="shared" si="296"/>
        <v>0</v>
      </c>
      <c r="AM466" s="17">
        <f t="shared" si="311"/>
        <v>0</v>
      </c>
      <c r="AN466" s="28">
        <f t="shared" si="278"/>
        <v>0</v>
      </c>
      <c r="AO466" s="17">
        <f t="shared" si="286"/>
        <v>0</v>
      </c>
      <c r="AP466" s="28">
        <f t="shared" si="287"/>
        <v>0</v>
      </c>
      <c r="AQ466" s="17">
        <f t="shared" si="288"/>
        <v>0</v>
      </c>
      <c r="AR466" s="28">
        <f t="shared" si="289"/>
        <v>0</v>
      </c>
      <c r="AS466" s="17">
        <f t="shared" si="307"/>
        <v>0</v>
      </c>
      <c r="AT466" s="28">
        <f t="shared" si="308"/>
        <v>0</v>
      </c>
      <c r="AU466" s="17">
        <f t="shared" si="309"/>
        <v>0</v>
      </c>
      <c r="AV466" s="28">
        <f t="shared" si="310"/>
        <v>0</v>
      </c>
      <c r="AW466" s="17">
        <f t="shared" si="297"/>
        <v>0</v>
      </c>
      <c r="AX466" s="28">
        <f t="shared" si="298"/>
        <v>0</v>
      </c>
      <c r="AY466" s="17">
        <f t="shared" si="299"/>
        <v>0</v>
      </c>
      <c r="AZ466" s="28">
        <f t="shared" si="300"/>
        <v>0</v>
      </c>
      <c r="BA466" s="27">
        <f t="shared" si="276"/>
        <v>0</v>
      </c>
      <c r="BB466" s="27">
        <f t="shared" si="302"/>
        <v>0</v>
      </c>
      <c r="BC466" s="27">
        <f t="shared" si="304"/>
        <v>0</v>
      </c>
      <c r="BD466" s="27">
        <f t="shared" si="305"/>
        <v>0</v>
      </c>
      <c r="BE466" s="27">
        <f t="shared" si="306"/>
        <v>0</v>
      </c>
      <c r="BF466" s="29">
        <f t="shared" si="277"/>
        <v>0</v>
      </c>
      <c r="BH466" s="30">
        <f t="shared" si="301"/>
        <v>0</v>
      </c>
      <c r="BM466" s="2">
        <f t="shared" si="290"/>
        <v>0</v>
      </c>
      <c r="BP466" s="2">
        <f t="shared" si="291"/>
        <v>0</v>
      </c>
    </row>
    <row r="467" spans="1:68" ht="14.45" hidden="1" customHeight="1" x14ac:dyDescent="0.25">
      <c r="A467" s="33" t="s">
        <v>483</v>
      </c>
      <c r="B467" s="23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13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5"/>
      <c r="AD467" s="39">
        <f t="shared" si="285"/>
        <v>0</v>
      </c>
      <c r="AE467" s="26" t="s">
        <v>42</v>
      </c>
      <c r="AF467" s="27"/>
      <c r="AG467" s="17">
        <f t="shared" si="292"/>
        <v>0</v>
      </c>
      <c r="AH467" s="28">
        <f t="shared" si="293"/>
        <v>0</v>
      </c>
      <c r="AI467" s="17">
        <f t="shared" si="294"/>
        <v>0</v>
      </c>
      <c r="AJ467" s="28">
        <f t="shared" si="295"/>
        <v>0</v>
      </c>
      <c r="AK467" s="17">
        <f t="shared" si="303"/>
        <v>0</v>
      </c>
      <c r="AL467" s="28">
        <f t="shared" si="296"/>
        <v>0</v>
      </c>
      <c r="AM467" s="17">
        <f t="shared" si="311"/>
        <v>0</v>
      </c>
      <c r="AN467" s="28">
        <f t="shared" si="278"/>
        <v>0</v>
      </c>
      <c r="AO467" s="17">
        <f t="shared" si="286"/>
        <v>0</v>
      </c>
      <c r="AP467" s="28">
        <f t="shared" si="287"/>
        <v>0</v>
      </c>
      <c r="AQ467" s="17">
        <f t="shared" si="288"/>
        <v>0</v>
      </c>
      <c r="AR467" s="28">
        <f t="shared" si="289"/>
        <v>0</v>
      </c>
      <c r="AS467" s="17">
        <f t="shared" si="307"/>
        <v>0</v>
      </c>
      <c r="AT467" s="28">
        <f t="shared" si="308"/>
        <v>0</v>
      </c>
      <c r="AU467" s="17">
        <f t="shared" si="309"/>
        <v>0</v>
      </c>
      <c r="AV467" s="28">
        <f t="shared" si="310"/>
        <v>0</v>
      </c>
      <c r="AW467" s="17">
        <f t="shared" si="297"/>
        <v>0</v>
      </c>
      <c r="AX467" s="28">
        <f t="shared" si="298"/>
        <v>0</v>
      </c>
      <c r="AY467" s="17">
        <f t="shared" si="299"/>
        <v>0</v>
      </c>
      <c r="AZ467" s="28">
        <f t="shared" si="300"/>
        <v>0</v>
      </c>
      <c r="BA467" s="27">
        <f t="shared" si="276"/>
        <v>0</v>
      </c>
      <c r="BB467" s="27">
        <f t="shared" si="302"/>
        <v>0</v>
      </c>
      <c r="BC467" s="27">
        <f t="shared" si="304"/>
        <v>0</v>
      </c>
      <c r="BD467" s="27">
        <f t="shared" si="305"/>
        <v>0</v>
      </c>
      <c r="BE467" s="27">
        <f t="shared" si="306"/>
        <v>0</v>
      </c>
      <c r="BF467" s="29">
        <f t="shared" si="277"/>
        <v>0</v>
      </c>
      <c r="BH467" s="30">
        <f t="shared" si="301"/>
        <v>0</v>
      </c>
      <c r="BM467" s="2">
        <f t="shared" si="290"/>
        <v>0</v>
      </c>
      <c r="BP467" s="2">
        <f t="shared" si="291"/>
        <v>0</v>
      </c>
    </row>
    <row r="468" spans="1:68" ht="14.45" hidden="1" customHeight="1" x14ac:dyDescent="0.25">
      <c r="A468" s="33" t="s">
        <v>484</v>
      </c>
      <c r="B468" s="23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13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5"/>
      <c r="AD468" s="39">
        <f t="shared" si="285"/>
        <v>0</v>
      </c>
      <c r="AE468" s="26" t="s">
        <v>42</v>
      </c>
      <c r="AF468" s="27"/>
      <c r="AG468" s="17">
        <f t="shared" si="292"/>
        <v>0</v>
      </c>
      <c r="AH468" s="28">
        <f t="shared" si="293"/>
        <v>0</v>
      </c>
      <c r="AI468" s="17">
        <f t="shared" si="294"/>
        <v>0</v>
      </c>
      <c r="AJ468" s="28">
        <f t="shared" si="295"/>
        <v>0</v>
      </c>
      <c r="AK468" s="17">
        <f t="shared" si="303"/>
        <v>0</v>
      </c>
      <c r="AL468" s="28">
        <f t="shared" si="296"/>
        <v>0</v>
      </c>
      <c r="AM468" s="17">
        <f t="shared" si="311"/>
        <v>0</v>
      </c>
      <c r="AN468" s="28">
        <f t="shared" si="278"/>
        <v>0</v>
      </c>
      <c r="AO468" s="17">
        <f t="shared" si="286"/>
        <v>0</v>
      </c>
      <c r="AP468" s="28">
        <f t="shared" si="287"/>
        <v>0</v>
      </c>
      <c r="AQ468" s="17">
        <f t="shared" si="288"/>
        <v>0</v>
      </c>
      <c r="AR468" s="28">
        <f t="shared" si="289"/>
        <v>0</v>
      </c>
      <c r="AS468" s="17">
        <f t="shared" si="307"/>
        <v>0</v>
      </c>
      <c r="AT468" s="28">
        <f t="shared" si="308"/>
        <v>0</v>
      </c>
      <c r="AU468" s="17">
        <f t="shared" si="309"/>
        <v>0</v>
      </c>
      <c r="AV468" s="28">
        <f t="shared" si="310"/>
        <v>0</v>
      </c>
      <c r="AW468" s="17">
        <f t="shared" si="297"/>
        <v>0</v>
      </c>
      <c r="AX468" s="28">
        <f t="shared" si="298"/>
        <v>0</v>
      </c>
      <c r="AY468" s="17">
        <f t="shared" si="299"/>
        <v>0</v>
      </c>
      <c r="AZ468" s="28">
        <f t="shared" si="300"/>
        <v>0</v>
      </c>
      <c r="BA468" s="27">
        <f t="shared" si="276"/>
        <v>0</v>
      </c>
      <c r="BB468" s="27">
        <f t="shared" si="302"/>
        <v>0</v>
      </c>
      <c r="BC468" s="27">
        <f t="shared" si="304"/>
        <v>0</v>
      </c>
      <c r="BD468" s="27">
        <f t="shared" si="305"/>
        <v>0</v>
      </c>
      <c r="BE468" s="27">
        <f t="shared" si="306"/>
        <v>0</v>
      </c>
      <c r="BF468" s="29">
        <f t="shared" si="277"/>
        <v>0</v>
      </c>
      <c r="BH468" s="30">
        <f t="shared" si="301"/>
        <v>0</v>
      </c>
      <c r="BM468" s="2">
        <f t="shared" si="290"/>
        <v>0</v>
      </c>
      <c r="BP468" s="2">
        <f t="shared" si="291"/>
        <v>0</v>
      </c>
    </row>
    <row r="469" spans="1:68" ht="14.45" hidden="1" customHeight="1" x14ac:dyDescent="0.25">
      <c r="A469" s="33" t="s">
        <v>485</v>
      </c>
      <c r="B469" s="23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13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5"/>
      <c r="AD469" s="39">
        <f t="shared" si="285"/>
        <v>0</v>
      </c>
      <c r="AE469" s="26" t="s">
        <v>42</v>
      </c>
      <c r="AF469" s="27"/>
      <c r="AG469" s="17">
        <f t="shared" si="292"/>
        <v>0</v>
      </c>
      <c r="AH469" s="28">
        <f t="shared" si="293"/>
        <v>0</v>
      </c>
      <c r="AI469" s="17">
        <f t="shared" si="294"/>
        <v>0</v>
      </c>
      <c r="AJ469" s="28">
        <f t="shared" si="295"/>
        <v>0</v>
      </c>
      <c r="AK469" s="17">
        <f t="shared" si="303"/>
        <v>0</v>
      </c>
      <c r="AL469" s="28">
        <f t="shared" si="296"/>
        <v>0</v>
      </c>
      <c r="AM469" s="17">
        <f t="shared" si="311"/>
        <v>0</v>
      </c>
      <c r="AN469" s="28">
        <f t="shared" si="278"/>
        <v>0</v>
      </c>
      <c r="AO469" s="17">
        <f t="shared" si="286"/>
        <v>0</v>
      </c>
      <c r="AP469" s="28">
        <f t="shared" si="287"/>
        <v>0</v>
      </c>
      <c r="AQ469" s="17">
        <f t="shared" si="288"/>
        <v>0</v>
      </c>
      <c r="AR469" s="28">
        <f t="shared" si="289"/>
        <v>0</v>
      </c>
      <c r="AS469" s="17">
        <f t="shared" si="307"/>
        <v>0</v>
      </c>
      <c r="AT469" s="28">
        <f t="shared" si="308"/>
        <v>0</v>
      </c>
      <c r="AU469" s="17">
        <f t="shared" si="309"/>
        <v>0</v>
      </c>
      <c r="AV469" s="28">
        <f t="shared" si="310"/>
        <v>0</v>
      </c>
      <c r="AW469" s="17">
        <f t="shared" si="297"/>
        <v>0</v>
      </c>
      <c r="AX469" s="28">
        <f t="shared" si="298"/>
        <v>0</v>
      </c>
      <c r="AY469" s="17">
        <f t="shared" si="299"/>
        <v>0</v>
      </c>
      <c r="AZ469" s="28">
        <f t="shared" si="300"/>
        <v>0</v>
      </c>
      <c r="BA469" s="27">
        <f t="shared" si="276"/>
        <v>0</v>
      </c>
      <c r="BB469" s="27">
        <f t="shared" si="302"/>
        <v>0</v>
      </c>
      <c r="BC469" s="27">
        <f t="shared" si="304"/>
        <v>0</v>
      </c>
      <c r="BD469" s="27">
        <f t="shared" si="305"/>
        <v>0</v>
      </c>
      <c r="BE469" s="27">
        <f t="shared" si="306"/>
        <v>0</v>
      </c>
      <c r="BF469" s="29">
        <f t="shared" si="277"/>
        <v>0</v>
      </c>
      <c r="BH469" s="30">
        <f t="shared" si="301"/>
        <v>0</v>
      </c>
      <c r="BM469" s="2">
        <f t="shared" si="290"/>
        <v>0</v>
      </c>
      <c r="BP469" s="2">
        <f t="shared" si="291"/>
        <v>0</v>
      </c>
    </row>
    <row r="470" spans="1:68" ht="14.45" hidden="1" customHeight="1" x14ac:dyDescent="0.25">
      <c r="A470" s="33" t="s">
        <v>486</v>
      </c>
      <c r="B470" s="23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13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5"/>
      <c r="AD470" s="39">
        <f t="shared" si="285"/>
        <v>0</v>
      </c>
      <c r="AE470" s="26" t="s">
        <v>42</v>
      </c>
      <c r="AF470" s="27"/>
      <c r="AG470" s="17">
        <f t="shared" si="292"/>
        <v>0</v>
      </c>
      <c r="AH470" s="28">
        <f t="shared" si="293"/>
        <v>0</v>
      </c>
      <c r="AI470" s="17">
        <f t="shared" si="294"/>
        <v>0</v>
      </c>
      <c r="AJ470" s="28">
        <f t="shared" si="295"/>
        <v>0</v>
      </c>
      <c r="AK470" s="17">
        <f t="shared" si="303"/>
        <v>0</v>
      </c>
      <c r="AL470" s="28">
        <f t="shared" si="296"/>
        <v>0</v>
      </c>
      <c r="AM470" s="17">
        <f t="shared" si="311"/>
        <v>0</v>
      </c>
      <c r="AN470" s="28">
        <f t="shared" si="278"/>
        <v>0</v>
      </c>
      <c r="AO470" s="17">
        <f t="shared" si="286"/>
        <v>0</v>
      </c>
      <c r="AP470" s="28">
        <f t="shared" si="287"/>
        <v>0</v>
      </c>
      <c r="AQ470" s="17">
        <f t="shared" si="288"/>
        <v>0</v>
      </c>
      <c r="AR470" s="28">
        <f t="shared" si="289"/>
        <v>0</v>
      </c>
      <c r="AS470" s="17">
        <f t="shared" si="307"/>
        <v>0</v>
      </c>
      <c r="AT470" s="28">
        <f t="shared" si="308"/>
        <v>0</v>
      </c>
      <c r="AU470" s="17">
        <f t="shared" si="309"/>
        <v>0</v>
      </c>
      <c r="AV470" s="28">
        <f t="shared" si="310"/>
        <v>0</v>
      </c>
      <c r="AW470" s="17">
        <f t="shared" si="297"/>
        <v>0</v>
      </c>
      <c r="AX470" s="28">
        <f t="shared" si="298"/>
        <v>0</v>
      </c>
      <c r="AY470" s="17">
        <f t="shared" si="299"/>
        <v>0</v>
      </c>
      <c r="AZ470" s="28">
        <f t="shared" si="300"/>
        <v>0</v>
      </c>
      <c r="BA470" s="27">
        <f t="shared" si="276"/>
        <v>0</v>
      </c>
      <c r="BB470" s="27">
        <f t="shared" si="302"/>
        <v>0</v>
      </c>
      <c r="BC470" s="27">
        <f t="shared" si="304"/>
        <v>0</v>
      </c>
      <c r="BD470" s="27">
        <f t="shared" si="305"/>
        <v>0</v>
      </c>
      <c r="BE470" s="27">
        <f t="shared" si="306"/>
        <v>0</v>
      </c>
      <c r="BF470" s="29">
        <f t="shared" si="277"/>
        <v>0</v>
      </c>
      <c r="BH470" s="30">
        <f t="shared" si="301"/>
        <v>0</v>
      </c>
      <c r="BM470" s="2">
        <f t="shared" si="290"/>
        <v>0</v>
      </c>
      <c r="BP470" s="2">
        <f t="shared" si="291"/>
        <v>0</v>
      </c>
    </row>
    <row r="471" spans="1:68" ht="14.45" hidden="1" customHeight="1" x14ac:dyDescent="0.25">
      <c r="A471" s="33" t="s">
        <v>487</v>
      </c>
      <c r="B471" s="23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13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5"/>
      <c r="AD471" s="39">
        <f t="shared" si="285"/>
        <v>0</v>
      </c>
      <c r="AE471" s="26" t="s">
        <v>42</v>
      </c>
      <c r="AF471" s="27"/>
      <c r="AG471" s="17">
        <f t="shared" si="292"/>
        <v>0</v>
      </c>
      <c r="AH471" s="28">
        <f t="shared" si="293"/>
        <v>0</v>
      </c>
      <c r="AI471" s="17">
        <f t="shared" si="294"/>
        <v>0</v>
      </c>
      <c r="AJ471" s="28">
        <f t="shared" si="295"/>
        <v>0</v>
      </c>
      <c r="AK471" s="17">
        <f t="shared" si="303"/>
        <v>0</v>
      </c>
      <c r="AL471" s="28">
        <f t="shared" si="296"/>
        <v>0</v>
      </c>
      <c r="AM471" s="17">
        <f t="shared" si="311"/>
        <v>0</v>
      </c>
      <c r="AN471" s="28">
        <f t="shared" si="278"/>
        <v>0</v>
      </c>
      <c r="AO471" s="17">
        <f t="shared" si="286"/>
        <v>0</v>
      </c>
      <c r="AP471" s="28">
        <f t="shared" si="287"/>
        <v>0</v>
      </c>
      <c r="AQ471" s="17">
        <f t="shared" si="288"/>
        <v>0</v>
      </c>
      <c r="AR471" s="28">
        <f t="shared" si="289"/>
        <v>0</v>
      </c>
      <c r="AS471" s="17">
        <f t="shared" si="307"/>
        <v>0</v>
      </c>
      <c r="AT471" s="28">
        <f t="shared" si="308"/>
        <v>0</v>
      </c>
      <c r="AU471" s="17">
        <f t="shared" si="309"/>
        <v>0</v>
      </c>
      <c r="AV471" s="28">
        <f t="shared" si="310"/>
        <v>0</v>
      </c>
      <c r="AW471" s="17">
        <f t="shared" si="297"/>
        <v>0</v>
      </c>
      <c r="AX471" s="28">
        <f t="shared" si="298"/>
        <v>0</v>
      </c>
      <c r="AY471" s="17">
        <f t="shared" si="299"/>
        <v>0</v>
      </c>
      <c r="AZ471" s="28">
        <f t="shared" si="300"/>
        <v>0</v>
      </c>
      <c r="BA471" s="27">
        <f t="shared" si="276"/>
        <v>0</v>
      </c>
      <c r="BB471" s="27">
        <f t="shared" si="302"/>
        <v>0</v>
      </c>
      <c r="BC471" s="27">
        <f t="shared" si="304"/>
        <v>0</v>
      </c>
      <c r="BD471" s="27">
        <f t="shared" si="305"/>
        <v>0</v>
      </c>
      <c r="BE471" s="27">
        <f t="shared" si="306"/>
        <v>0</v>
      </c>
      <c r="BF471" s="29">
        <f t="shared" si="277"/>
        <v>0</v>
      </c>
      <c r="BH471" s="30">
        <f t="shared" si="301"/>
        <v>0</v>
      </c>
      <c r="BM471" s="2">
        <f t="shared" si="290"/>
        <v>0</v>
      </c>
      <c r="BP471" s="2">
        <f t="shared" si="291"/>
        <v>0</v>
      </c>
    </row>
    <row r="472" spans="1:68" ht="14.45" hidden="1" customHeight="1" x14ac:dyDescent="0.25">
      <c r="A472" s="33" t="s">
        <v>488</v>
      </c>
      <c r="B472" s="23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13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5"/>
      <c r="AD472" s="39">
        <f t="shared" si="285"/>
        <v>0</v>
      </c>
      <c r="AE472" s="26" t="s">
        <v>42</v>
      </c>
      <c r="AF472" s="27"/>
      <c r="AG472" s="17">
        <f t="shared" si="292"/>
        <v>0</v>
      </c>
      <c r="AH472" s="28">
        <f t="shared" si="293"/>
        <v>0</v>
      </c>
      <c r="AI472" s="17">
        <f t="shared" si="294"/>
        <v>0</v>
      </c>
      <c r="AJ472" s="28">
        <f t="shared" si="295"/>
        <v>0</v>
      </c>
      <c r="AK472" s="17">
        <f t="shared" si="303"/>
        <v>0</v>
      </c>
      <c r="AL472" s="28">
        <f t="shared" si="296"/>
        <v>0</v>
      </c>
      <c r="AM472" s="17">
        <f t="shared" si="311"/>
        <v>0</v>
      </c>
      <c r="AN472" s="28">
        <f t="shared" si="278"/>
        <v>0</v>
      </c>
      <c r="AO472" s="17">
        <f t="shared" si="286"/>
        <v>0</v>
      </c>
      <c r="AP472" s="28">
        <f t="shared" si="287"/>
        <v>0</v>
      </c>
      <c r="AQ472" s="17">
        <f t="shared" si="288"/>
        <v>0</v>
      </c>
      <c r="AR472" s="28">
        <f t="shared" si="289"/>
        <v>0</v>
      </c>
      <c r="AS472" s="17">
        <f t="shared" si="307"/>
        <v>0</v>
      </c>
      <c r="AT472" s="28">
        <f t="shared" si="308"/>
        <v>0</v>
      </c>
      <c r="AU472" s="17">
        <f t="shared" si="309"/>
        <v>0</v>
      </c>
      <c r="AV472" s="28">
        <f t="shared" si="310"/>
        <v>0</v>
      </c>
      <c r="AW472" s="17">
        <f t="shared" si="297"/>
        <v>0</v>
      </c>
      <c r="AX472" s="28">
        <f t="shared" si="298"/>
        <v>0</v>
      </c>
      <c r="AY472" s="17">
        <f t="shared" si="299"/>
        <v>0</v>
      </c>
      <c r="AZ472" s="28">
        <f t="shared" si="300"/>
        <v>0</v>
      </c>
      <c r="BA472" s="27">
        <f t="shared" si="276"/>
        <v>0</v>
      </c>
      <c r="BB472" s="27">
        <f t="shared" si="302"/>
        <v>0</v>
      </c>
      <c r="BC472" s="27">
        <f t="shared" si="304"/>
        <v>0</v>
      </c>
      <c r="BD472" s="27">
        <f t="shared" si="305"/>
        <v>0</v>
      </c>
      <c r="BE472" s="27">
        <f t="shared" si="306"/>
        <v>0</v>
      </c>
      <c r="BF472" s="29">
        <f t="shared" si="277"/>
        <v>0</v>
      </c>
      <c r="BH472" s="30">
        <f t="shared" si="301"/>
        <v>0</v>
      </c>
      <c r="BM472" s="2">
        <f t="shared" si="290"/>
        <v>0</v>
      </c>
      <c r="BP472" s="2">
        <f t="shared" si="291"/>
        <v>0</v>
      </c>
    </row>
    <row r="473" spans="1:68" ht="14.45" hidden="1" customHeight="1" x14ac:dyDescent="0.25">
      <c r="A473" s="33" t="s">
        <v>489</v>
      </c>
      <c r="B473" s="23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13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5"/>
      <c r="AD473" s="39">
        <f t="shared" si="285"/>
        <v>0</v>
      </c>
      <c r="AE473" s="26" t="s">
        <v>42</v>
      </c>
      <c r="AF473" s="27"/>
      <c r="AG473" s="17">
        <f t="shared" si="292"/>
        <v>0</v>
      </c>
      <c r="AH473" s="28">
        <f t="shared" si="293"/>
        <v>0</v>
      </c>
      <c r="AI473" s="17">
        <f t="shared" si="294"/>
        <v>0</v>
      </c>
      <c r="AJ473" s="28">
        <f t="shared" si="295"/>
        <v>0</v>
      </c>
      <c r="AK473" s="17">
        <f t="shared" si="303"/>
        <v>0</v>
      </c>
      <c r="AL473" s="28">
        <f t="shared" si="296"/>
        <v>0</v>
      </c>
      <c r="AM473" s="17">
        <f t="shared" si="311"/>
        <v>0</v>
      </c>
      <c r="AN473" s="28">
        <f t="shared" si="278"/>
        <v>0</v>
      </c>
      <c r="AO473" s="17">
        <f t="shared" si="286"/>
        <v>0</v>
      </c>
      <c r="AP473" s="28">
        <f t="shared" si="287"/>
        <v>0</v>
      </c>
      <c r="AQ473" s="17">
        <f t="shared" si="288"/>
        <v>0</v>
      </c>
      <c r="AR473" s="28">
        <f t="shared" si="289"/>
        <v>0</v>
      </c>
      <c r="AS473" s="17">
        <f t="shared" si="307"/>
        <v>0</v>
      </c>
      <c r="AT473" s="28">
        <f t="shared" si="308"/>
        <v>0</v>
      </c>
      <c r="AU473" s="17">
        <f t="shared" si="309"/>
        <v>0</v>
      </c>
      <c r="AV473" s="28">
        <f t="shared" si="310"/>
        <v>0</v>
      </c>
      <c r="AW473" s="17">
        <f t="shared" si="297"/>
        <v>0</v>
      </c>
      <c r="AX473" s="28">
        <f t="shared" si="298"/>
        <v>0</v>
      </c>
      <c r="AY473" s="17">
        <f t="shared" si="299"/>
        <v>0</v>
      </c>
      <c r="AZ473" s="28">
        <f t="shared" si="300"/>
        <v>0</v>
      </c>
      <c r="BA473" s="27">
        <f t="shared" si="276"/>
        <v>0</v>
      </c>
      <c r="BB473" s="27">
        <f t="shared" si="302"/>
        <v>0</v>
      </c>
      <c r="BC473" s="27">
        <f t="shared" si="304"/>
        <v>0</v>
      </c>
      <c r="BD473" s="27">
        <f t="shared" si="305"/>
        <v>0</v>
      </c>
      <c r="BE473" s="27">
        <f t="shared" si="306"/>
        <v>0</v>
      </c>
      <c r="BF473" s="29">
        <f t="shared" si="277"/>
        <v>0</v>
      </c>
      <c r="BH473" s="30">
        <f t="shared" si="301"/>
        <v>0</v>
      </c>
      <c r="BM473" s="2">
        <f t="shared" si="290"/>
        <v>0</v>
      </c>
      <c r="BP473" s="2">
        <f t="shared" si="291"/>
        <v>0</v>
      </c>
    </row>
    <row r="474" spans="1:68" ht="14.45" hidden="1" customHeight="1" x14ac:dyDescent="0.25">
      <c r="A474" s="33" t="s">
        <v>490</v>
      </c>
      <c r="B474" s="23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13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5"/>
      <c r="AD474" s="39">
        <f t="shared" si="285"/>
        <v>0</v>
      </c>
      <c r="AE474" s="26" t="s">
        <v>42</v>
      </c>
      <c r="AF474" s="27"/>
      <c r="AG474" s="17">
        <f t="shared" si="292"/>
        <v>0</v>
      </c>
      <c r="AH474" s="28">
        <f t="shared" si="293"/>
        <v>0</v>
      </c>
      <c r="AI474" s="17">
        <f t="shared" si="294"/>
        <v>0</v>
      </c>
      <c r="AJ474" s="28">
        <f t="shared" si="295"/>
        <v>0</v>
      </c>
      <c r="AK474" s="17">
        <f t="shared" si="303"/>
        <v>0</v>
      </c>
      <c r="AL474" s="28">
        <f t="shared" si="296"/>
        <v>0</v>
      </c>
      <c r="AM474" s="17">
        <f t="shared" si="311"/>
        <v>0</v>
      </c>
      <c r="AN474" s="28">
        <f t="shared" si="278"/>
        <v>0</v>
      </c>
      <c r="AO474" s="17">
        <f t="shared" si="286"/>
        <v>0</v>
      </c>
      <c r="AP474" s="28">
        <f t="shared" si="287"/>
        <v>0</v>
      </c>
      <c r="AQ474" s="17">
        <f t="shared" si="288"/>
        <v>0</v>
      </c>
      <c r="AR474" s="28">
        <f t="shared" si="289"/>
        <v>0</v>
      </c>
      <c r="AS474" s="17">
        <f t="shared" si="307"/>
        <v>0</v>
      </c>
      <c r="AT474" s="28">
        <f t="shared" si="308"/>
        <v>0</v>
      </c>
      <c r="AU474" s="17">
        <f t="shared" si="309"/>
        <v>0</v>
      </c>
      <c r="AV474" s="28">
        <f t="shared" si="310"/>
        <v>0</v>
      </c>
      <c r="AW474" s="17">
        <f t="shared" si="297"/>
        <v>0</v>
      </c>
      <c r="AX474" s="28">
        <f t="shared" si="298"/>
        <v>0</v>
      </c>
      <c r="AY474" s="17">
        <f t="shared" si="299"/>
        <v>0</v>
      </c>
      <c r="AZ474" s="28">
        <f t="shared" si="300"/>
        <v>0</v>
      </c>
      <c r="BA474" s="27">
        <f t="shared" si="276"/>
        <v>0</v>
      </c>
      <c r="BB474" s="27">
        <f t="shared" si="302"/>
        <v>0</v>
      </c>
      <c r="BC474" s="27">
        <f t="shared" si="304"/>
        <v>0</v>
      </c>
      <c r="BD474" s="27">
        <f t="shared" si="305"/>
        <v>0</v>
      </c>
      <c r="BE474" s="27">
        <f t="shared" si="306"/>
        <v>0</v>
      </c>
      <c r="BF474" s="29">
        <f t="shared" si="277"/>
        <v>0</v>
      </c>
      <c r="BH474" s="30">
        <f t="shared" si="301"/>
        <v>0</v>
      </c>
      <c r="BM474" s="2">
        <f t="shared" si="290"/>
        <v>0</v>
      </c>
      <c r="BP474" s="2">
        <f t="shared" si="291"/>
        <v>0</v>
      </c>
    </row>
    <row r="475" spans="1:68" ht="14.45" hidden="1" customHeight="1" x14ac:dyDescent="0.25">
      <c r="A475" s="33" t="s">
        <v>491</v>
      </c>
      <c r="B475" s="23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13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5"/>
      <c r="AD475" s="39">
        <f t="shared" si="285"/>
        <v>0</v>
      </c>
      <c r="AE475" s="26" t="s">
        <v>42</v>
      </c>
      <c r="AF475" s="27"/>
      <c r="AG475" s="17">
        <f t="shared" si="292"/>
        <v>0</v>
      </c>
      <c r="AH475" s="28">
        <f t="shared" si="293"/>
        <v>0</v>
      </c>
      <c r="AI475" s="17">
        <f t="shared" si="294"/>
        <v>0</v>
      </c>
      <c r="AJ475" s="28">
        <f t="shared" si="295"/>
        <v>0</v>
      </c>
      <c r="AK475" s="17">
        <f t="shared" si="303"/>
        <v>0</v>
      </c>
      <c r="AL475" s="28">
        <f t="shared" si="296"/>
        <v>0</v>
      </c>
      <c r="AM475" s="17">
        <f t="shared" si="311"/>
        <v>0</v>
      </c>
      <c r="AN475" s="28">
        <f t="shared" si="278"/>
        <v>0</v>
      </c>
      <c r="AO475" s="17">
        <f t="shared" si="286"/>
        <v>0</v>
      </c>
      <c r="AP475" s="28">
        <f t="shared" si="287"/>
        <v>0</v>
      </c>
      <c r="AQ475" s="17">
        <f t="shared" si="288"/>
        <v>0</v>
      </c>
      <c r="AR475" s="28">
        <f t="shared" si="289"/>
        <v>0</v>
      </c>
      <c r="AS475" s="17">
        <f t="shared" si="307"/>
        <v>0</v>
      </c>
      <c r="AT475" s="28">
        <f t="shared" si="308"/>
        <v>0</v>
      </c>
      <c r="AU475" s="17">
        <f t="shared" si="309"/>
        <v>0</v>
      </c>
      <c r="AV475" s="28">
        <f t="shared" si="310"/>
        <v>0</v>
      </c>
      <c r="AW475" s="17">
        <f t="shared" si="297"/>
        <v>0</v>
      </c>
      <c r="AX475" s="28">
        <f t="shared" si="298"/>
        <v>0</v>
      </c>
      <c r="AY475" s="17">
        <f t="shared" si="299"/>
        <v>0</v>
      </c>
      <c r="AZ475" s="28">
        <f t="shared" si="300"/>
        <v>0</v>
      </c>
      <c r="BA475" s="27">
        <f t="shared" si="276"/>
        <v>0</v>
      </c>
      <c r="BB475" s="27">
        <f t="shared" si="302"/>
        <v>0</v>
      </c>
      <c r="BC475" s="27">
        <f t="shared" si="304"/>
        <v>0</v>
      </c>
      <c r="BD475" s="27">
        <f t="shared" si="305"/>
        <v>0</v>
      </c>
      <c r="BE475" s="27">
        <f t="shared" si="306"/>
        <v>0</v>
      </c>
      <c r="BF475" s="29">
        <f t="shared" si="277"/>
        <v>0</v>
      </c>
      <c r="BH475" s="30">
        <f t="shared" si="301"/>
        <v>0</v>
      </c>
      <c r="BM475" s="2">
        <f t="shared" si="290"/>
        <v>0</v>
      </c>
      <c r="BP475" s="2">
        <f t="shared" si="291"/>
        <v>0</v>
      </c>
    </row>
    <row r="476" spans="1:68" ht="14.45" hidden="1" customHeight="1" x14ac:dyDescent="0.25">
      <c r="A476" s="33" t="s">
        <v>492</v>
      </c>
      <c r="B476" s="23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13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5"/>
      <c r="AD476" s="39">
        <f t="shared" si="285"/>
        <v>0</v>
      </c>
      <c r="AE476" s="26" t="s">
        <v>42</v>
      </c>
      <c r="AF476" s="27"/>
      <c r="AG476" s="17">
        <f t="shared" si="292"/>
        <v>0</v>
      </c>
      <c r="AH476" s="28">
        <f t="shared" si="293"/>
        <v>0</v>
      </c>
      <c r="AI476" s="17">
        <f t="shared" si="294"/>
        <v>0</v>
      </c>
      <c r="AJ476" s="28">
        <f t="shared" si="295"/>
        <v>0</v>
      </c>
      <c r="AK476" s="17">
        <f t="shared" si="303"/>
        <v>0</v>
      </c>
      <c r="AL476" s="28">
        <f t="shared" si="296"/>
        <v>0</v>
      </c>
      <c r="AM476" s="17">
        <f t="shared" si="311"/>
        <v>0</v>
      </c>
      <c r="AN476" s="28">
        <f t="shared" si="278"/>
        <v>0</v>
      </c>
      <c r="AO476" s="17">
        <f t="shared" si="286"/>
        <v>0</v>
      </c>
      <c r="AP476" s="28">
        <f t="shared" si="287"/>
        <v>0</v>
      </c>
      <c r="AQ476" s="17">
        <f t="shared" si="288"/>
        <v>0</v>
      </c>
      <c r="AR476" s="28">
        <f t="shared" si="289"/>
        <v>0</v>
      </c>
      <c r="AS476" s="17">
        <f t="shared" si="307"/>
        <v>0</v>
      </c>
      <c r="AT476" s="28">
        <f t="shared" si="308"/>
        <v>0</v>
      </c>
      <c r="AU476" s="17">
        <f t="shared" si="309"/>
        <v>0</v>
      </c>
      <c r="AV476" s="28">
        <f t="shared" si="310"/>
        <v>0</v>
      </c>
      <c r="AW476" s="17">
        <f t="shared" si="297"/>
        <v>0</v>
      </c>
      <c r="AX476" s="28">
        <f t="shared" si="298"/>
        <v>0</v>
      </c>
      <c r="AY476" s="17">
        <f t="shared" si="299"/>
        <v>0</v>
      </c>
      <c r="AZ476" s="28">
        <f t="shared" si="300"/>
        <v>0</v>
      </c>
      <c r="BA476" s="27">
        <f t="shared" si="276"/>
        <v>0</v>
      </c>
      <c r="BB476" s="27">
        <f t="shared" si="302"/>
        <v>0</v>
      </c>
      <c r="BC476" s="27">
        <f t="shared" si="304"/>
        <v>0</v>
      </c>
      <c r="BD476" s="27">
        <f t="shared" si="305"/>
        <v>0</v>
      </c>
      <c r="BE476" s="27">
        <f t="shared" si="306"/>
        <v>0</v>
      </c>
      <c r="BF476" s="29">
        <f t="shared" si="277"/>
        <v>0</v>
      </c>
      <c r="BH476" s="30">
        <f t="shared" si="301"/>
        <v>0</v>
      </c>
      <c r="BM476" s="2">
        <f t="shared" si="290"/>
        <v>0</v>
      </c>
      <c r="BP476" s="2">
        <f t="shared" si="291"/>
        <v>0</v>
      </c>
    </row>
    <row r="477" spans="1:68" ht="14.45" hidden="1" customHeight="1" x14ac:dyDescent="0.25">
      <c r="A477" s="33" t="s">
        <v>493</v>
      </c>
      <c r="B477" s="23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13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5"/>
      <c r="AD477" s="39">
        <f t="shared" si="285"/>
        <v>0</v>
      </c>
      <c r="AE477" s="26" t="s">
        <v>42</v>
      </c>
      <c r="AF477" s="27"/>
      <c r="AG477" s="17">
        <f t="shared" si="292"/>
        <v>0</v>
      </c>
      <c r="AH477" s="28">
        <f t="shared" si="293"/>
        <v>0</v>
      </c>
      <c r="AI477" s="17">
        <f t="shared" si="294"/>
        <v>0</v>
      </c>
      <c r="AJ477" s="28">
        <f t="shared" si="295"/>
        <v>0</v>
      </c>
      <c r="AK477" s="17">
        <f t="shared" si="303"/>
        <v>0</v>
      </c>
      <c r="AL477" s="28">
        <f t="shared" si="296"/>
        <v>0</v>
      </c>
      <c r="AM477" s="17">
        <f t="shared" si="311"/>
        <v>0</v>
      </c>
      <c r="AN477" s="28">
        <f t="shared" si="278"/>
        <v>0</v>
      </c>
      <c r="AO477" s="17">
        <f t="shared" si="286"/>
        <v>0</v>
      </c>
      <c r="AP477" s="28">
        <f t="shared" si="287"/>
        <v>0</v>
      </c>
      <c r="AQ477" s="17">
        <f t="shared" si="288"/>
        <v>0</v>
      </c>
      <c r="AR477" s="28">
        <f t="shared" si="289"/>
        <v>0</v>
      </c>
      <c r="AS477" s="17">
        <f t="shared" si="307"/>
        <v>0</v>
      </c>
      <c r="AT477" s="28">
        <f t="shared" si="308"/>
        <v>0</v>
      </c>
      <c r="AU477" s="17">
        <f t="shared" si="309"/>
        <v>0</v>
      </c>
      <c r="AV477" s="28">
        <f t="shared" si="310"/>
        <v>0</v>
      </c>
      <c r="AW477" s="17">
        <f t="shared" si="297"/>
        <v>0</v>
      </c>
      <c r="AX477" s="28">
        <f t="shared" si="298"/>
        <v>0</v>
      </c>
      <c r="AY477" s="17">
        <f t="shared" si="299"/>
        <v>0</v>
      </c>
      <c r="AZ477" s="28">
        <f t="shared" si="300"/>
        <v>0</v>
      </c>
      <c r="BA477" s="27">
        <f t="shared" si="276"/>
        <v>0</v>
      </c>
      <c r="BB477" s="27">
        <f t="shared" si="302"/>
        <v>0</v>
      </c>
      <c r="BC477" s="27">
        <f t="shared" si="304"/>
        <v>0</v>
      </c>
      <c r="BD477" s="27">
        <f t="shared" si="305"/>
        <v>0</v>
      </c>
      <c r="BE477" s="27">
        <f t="shared" si="306"/>
        <v>0</v>
      </c>
      <c r="BF477" s="29">
        <f t="shared" si="277"/>
        <v>0</v>
      </c>
      <c r="BH477" s="30">
        <f t="shared" si="301"/>
        <v>0</v>
      </c>
      <c r="BM477" s="2">
        <f t="shared" si="290"/>
        <v>0</v>
      </c>
      <c r="BP477" s="2">
        <f t="shared" si="291"/>
        <v>0</v>
      </c>
    </row>
    <row r="478" spans="1:68" ht="14.45" hidden="1" customHeight="1" x14ac:dyDescent="0.25">
      <c r="A478" s="33" t="s">
        <v>494</v>
      </c>
      <c r="B478" s="23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13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5"/>
      <c r="AD478" s="39">
        <f t="shared" si="285"/>
        <v>0</v>
      </c>
      <c r="AE478" s="26" t="s">
        <v>42</v>
      </c>
      <c r="AF478" s="27"/>
      <c r="AG478" s="17">
        <f t="shared" si="292"/>
        <v>0</v>
      </c>
      <c r="AH478" s="28">
        <f t="shared" si="293"/>
        <v>0</v>
      </c>
      <c r="AI478" s="17">
        <f t="shared" si="294"/>
        <v>0</v>
      </c>
      <c r="AJ478" s="28">
        <f t="shared" si="295"/>
        <v>0</v>
      </c>
      <c r="AK478" s="17">
        <f t="shared" si="303"/>
        <v>0</v>
      </c>
      <c r="AL478" s="28">
        <f t="shared" si="296"/>
        <v>0</v>
      </c>
      <c r="AM478" s="17">
        <f t="shared" si="311"/>
        <v>0</v>
      </c>
      <c r="AN478" s="28">
        <f t="shared" si="278"/>
        <v>0</v>
      </c>
      <c r="AO478" s="17">
        <f t="shared" si="286"/>
        <v>0</v>
      </c>
      <c r="AP478" s="28">
        <f t="shared" si="287"/>
        <v>0</v>
      </c>
      <c r="AQ478" s="17">
        <f t="shared" si="288"/>
        <v>0</v>
      </c>
      <c r="AR478" s="28">
        <f t="shared" si="289"/>
        <v>0</v>
      </c>
      <c r="AS478" s="17">
        <f t="shared" si="307"/>
        <v>0</v>
      </c>
      <c r="AT478" s="28">
        <f t="shared" si="308"/>
        <v>0</v>
      </c>
      <c r="AU478" s="17">
        <f t="shared" si="309"/>
        <v>0</v>
      </c>
      <c r="AV478" s="28">
        <f t="shared" si="310"/>
        <v>0</v>
      </c>
      <c r="AW478" s="17">
        <f t="shared" si="297"/>
        <v>0</v>
      </c>
      <c r="AX478" s="28">
        <f t="shared" si="298"/>
        <v>0</v>
      </c>
      <c r="AY478" s="17">
        <f t="shared" si="299"/>
        <v>0</v>
      </c>
      <c r="AZ478" s="28">
        <f t="shared" si="300"/>
        <v>0</v>
      </c>
      <c r="BA478" s="27">
        <f t="shared" si="276"/>
        <v>0</v>
      </c>
      <c r="BB478" s="27">
        <f t="shared" si="302"/>
        <v>0</v>
      </c>
      <c r="BC478" s="27">
        <f t="shared" si="304"/>
        <v>0</v>
      </c>
      <c r="BD478" s="27">
        <f t="shared" si="305"/>
        <v>0</v>
      </c>
      <c r="BE478" s="27">
        <f t="shared" si="306"/>
        <v>0</v>
      </c>
      <c r="BF478" s="29">
        <f t="shared" si="277"/>
        <v>0</v>
      </c>
      <c r="BH478" s="30">
        <f t="shared" si="301"/>
        <v>0</v>
      </c>
      <c r="BM478" s="2">
        <f t="shared" si="290"/>
        <v>0</v>
      </c>
      <c r="BP478" s="2">
        <f t="shared" si="291"/>
        <v>0</v>
      </c>
    </row>
    <row r="479" spans="1:68" ht="14.45" hidden="1" customHeight="1" x14ac:dyDescent="0.25">
      <c r="A479" s="33" t="s">
        <v>495</v>
      </c>
      <c r="B479" s="23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13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5"/>
      <c r="AD479" s="39">
        <f t="shared" si="285"/>
        <v>0</v>
      </c>
      <c r="AE479" s="26" t="s">
        <v>42</v>
      </c>
      <c r="AF479" s="27"/>
      <c r="AG479" s="17">
        <f t="shared" si="292"/>
        <v>0</v>
      </c>
      <c r="AH479" s="28">
        <f t="shared" si="293"/>
        <v>0</v>
      </c>
      <c r="AI479" s="17">
        <f t="shared" si="294"/>
        <v>0</v>
      </c>
      <c r="AJ479" s="28">
        <f t="shared" si="295"/>
        <v>0</v>
      </c>
      <c r="AK479" s="17">
        <f t="shared" si="303"/>
        <v>0</v>
      </c>
      <c r="AL479" s="28">
        <f t="shared" si="296"/>
        <v>0</v>
      </c>
      <c r="AM479" s="17">
        <f t="shared" si="311"/>
        <v>0</v>
      </c>
      <c r="AN479" s="28">
        <f t="shared" si="278"/>
        <v>0</v>
      </c>
      <c r="AO479" s="17">
        <f t="shared" si="286"/>
        <v>0</v>
      </c>
      <c r="AP479" s="28">
        <f t="shared" si="287"/>
        <v>0</v>
      </c>
      <c r="AQ479" s="17">
        <f t="shared" si="288"/>
        <v>0</v>
      </c>
      <c r="AR479" s="28">
        <f t="shared" si="289"/>
        <v>0</v>
      </c>
      <c r="AS479" s="17">
        <f t="shared" si="307"/>
        <v>0</v>
      </c>
      <c r="AT479" s="28">
        <f t="shared" si="308"/>
        <v>0</v>
      </c>
      <c r="AU479" s="17">
        <f t="shared" si="309"/>
        <v>0</v>
      </c>
      <c r="AV479" s="28">
        <f t="shared" si="310"/>
        <v>0</v>
      </c>
      <c r="AW479" s="17">
        <f t="shared" si="297"/>
        <v>0</v>
      </c>
      <c r="AX479" s="28">
        <f t="shared" si="298"/>
        <v>0</v>
      </c>
      <c r="AY479" s="17">
        <f t="shared" si="299"/>
        <v>0</v>
      </c>
      <c r="AZ479" s="28">
        <f t="shared" si="300"/>
        <v>0</v>
      </c>
      <c r="BA479" s="27">
        <f t="shared" si="276"/>
        <v>0</v>
      </c>
      <c r="BB479" s="27">
        <f t="shared" si="302"/>
        <v>0</v>
      </c>
      <c r="BC479" s="27">
        <f t="shared" si="304"/>
        <v>0</v>
      </c>
      <c r="BD479" s="27">
        <f t="shared" si="305"/>
        <v>0</v>
      </c>
      <c r="BE479" s="27">
        <f t="shared" si="306"/>
        <v>0</v>
      </c>
      <c r="BF479" s="29">
        <f t="shared" si="277"/>
        <v>0</v>
      </c>
      <c r="BH479" s="30">
        <f t="shared" si="301"/>
        <v>0</v>
      </c>
      <c r="BM479" s="2">
        <f t="shared" si="290"/>
        <v>0</v>
      </c>
      <c r="BP479" s="2">
        <f t="shared" si="291"/>
        <v>0</v>
      </c>
    </row>
    <row r="480" spans="1:68" ht="14.45" hidden="1" customHeight="1" x14ac:dyDescent="0.25">
      <c r="A480" s="33" t="s">
        <v>496</v>
      </c>
      <c r="B480" s="23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13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5"/>
      <c r="AD480" s="39">
        <f t="shared" si="285"/>
        <v>0</v>
      </c>
      <c r="AE480" s="26" t="s">
        <v>42</v>
      </c>
      <c r="AF480" s="27"/>
      <c r="AG480" s="17">
        <f t="shared" si="292"/>
        <v>0</v>
      </c>
      <c r="AH480" s="28">
        <f t="shared" si="293"/>
        <v>0</v>
      </c>
      <c r="AI480" s="17">
        <f t="shared" si="294"/>
        <v>0</v>
      </c>
      <c r="AJ480" s="28">
        <f t="shared" si="295"/>
        <v>0</v>
      </c>
      <c r="AK480" s="17">
        <f t="shared" si="303"/>
        <v>0</v>
      </c>
      <c r="AL480" s="28">
        <f t="shared" si="296"/>
        <v>0</v>
      </c>
      <c r="AM480" s="17">
        <f t="shared" si="311"/>
        <v>0</v>
      </c>
      <c r="AN480" s="28">
        <f t="shared" si="278"/>
        <v>0</v>
      </c>
      <c r="AO480" s="17">
        <f t="shared" si="286"/>
        <v>0</v>
      </c>
      <c r="AP480" s="28">
        <f t="shared" si="287"/>
        <v>0</v>
      </c>
      <c r="AQ480" s="17">
        <f t="shared" si="288"/>
        <v>0</v>
      </c>
      <c r="AR480" s="28">
        <f t="shared" si="289"/>
        <v>0</v>
      </c>
      <c r="AS480" s="17">
        <f t="shared" si="307"/>
        <v>0</v>
      </c>
      <c r="AT480" s="28">
        <f t="shared" si="308"/>
        <v>0</v>
      </c>
      <c r="AU480" s="17">
        <f t="shared" si="309"/>
        <v>0</v>
      </c>
      <c r="AV480" s="28">
        <f t="shared" si="310"/>
        <v>0</v>
      </c>
      <c r="AW480" s="17">
        <f t="shared" si="297"/>
        <v>0</v>
      </c>
      <c r="AX480" s="28">
        <f t="shared" si="298"/>
        <v>0</v>
      </c>
      <c r="AY480" s="17">
        <f t="shared" si="299"/>
        <v>0</v>
      </c>
      <c r="AZ480" s="28">
        <f t="shared" si="300"/>
        <v>0</v>
      </c>
      <c r="BA480" s="27">
        <f t="shared" si="276"/>
        <v>0</v>
      </c>
      <c r="BB480" s="27">
        <f t="shared" si="302"/>
        <v>0</v>
      </c>
      <c r="BC480" s="27">
        <f t="shared" si="304"/>
        <v>0</v>
      </c>
      <c r="BD480" s="27">
        <f t="shared" si="305"/>
        <v>0</v>
      </c>
      <c r="BE480" s="27">
        <f t="shared" si="306"/>
        <v>0</v>
      </c>
      <c r="BF480" s="29">
        <f t="shared" si="277"/>
        <v>0</v>
      </c>
      <c r="BH480" s="30">
        <f t="shared" si="301"/>
        <v>0</v>
      </c>
      <c r="BM480" s="2">
        <f t="shared" si="290"/>
        <v>0</v>
      </c>
      <c r="BP480" s="2">
        <f t="shared" si="291"/>
        <v>0</v>
      </c>
    </row>
    <row r="481" spans="1:68" ht="14.45" hidden="1" customHeight="1" x14ac:dyDescent="0.25">
      <c r="A481" s="33" t="s">
        <v>497</v>
      </c>
      <c r="B481" s="23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13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5"/>
      <c r="AD481" s="39">
        <f t="shared" si="285"/>
        <v>0</v>
      </c>
      <c r="AE481" s="26" t="s">
        <v>42</v>
      </c>
      <c r="AF481" s="27"/>
      <c r="AG481" s="17">
        <f t="shared" si="292"/>
        <v>0</v>
      </c>
      <c r="AH481" s="28">
        <f t="shared" si="293"/>
        <v>0</v>
      </c>
      <c r="AI481" s="17">
        <f t="shared" si="294"/>
        <v>0</v>
      </c>
      <c r="AJ481" s="28">
        <f t="shared" si="295"/>
        <v>0</v>
      </c>
      <c r="AK481" s="17">
        <f t="shared" si="303"/>
        <v>0</v>
      </c>
      <c r="AL481" s="28">
        <f t="shared" si="296"/>
        <v>0</v>
      </c>
      <c r="AM481" s="17">
        <f t="shared" si="311"/>
        <v>0</v>
      </c>
      <c r="AN481" s="28">
        <f t="shared" si="278"/>
        <v>0</v>
      </c>
      <c r="AO481" s="17">
        <f t="shared" si="286"/>
        <v>0</v>
      </c>
      <c r="AP481" s="28">
        <f t="shared" si="287"/>
        <v>0</v>
      </c>
      <c r="AQ481" s="17">
        <f t="shared" si="288"/>
        <v>0</v>
      </c>
      <c r="AR481" s="28">
        <f t="shared" si="289"/>
        <v>0</v>
      </c>
      <c r="AS481" s="17">
        <f t="shared" si="307"/>
        <v>0</v>
      </c>
      <c r="AT481" s="28">
        <f t="shared" si="308"/>
        <v>0</v>
      </c>
      <c r="AU481" s="17">
        <f t="shared" si="309"/>
        <v>0</v>
      </c>
      <c r="AV481" s="28">
        <f t="shared" si="310"/>
        <v>0</v>
      </c>
      <c r="AW481" s="17">
        <f t="shared" si="297"/>
        <v>0</v>
      </c>
      <c r="AX481" s="28">
        <f t="shared" si="298"/>
        <v>0</v>
      </c>
      <c r="AY481" s="17">
        <f t="shared" si="299"/>
        <v>0</v>
      </c>
      <c r="AZ481" s="28">
        <f t="shared" si="300"/>
        <v>0</v>
      </c>
      <c r="BA481" s="27">
        <f t="shared" si="276"/>
        <v>0</v>
      </c>
      <c r="BB481" s="27">
        <f t="shared" si="302"/>
        <v>0</v>
      </c>
      <c r="BC481" s="27">
        <f t="shared" si="304"/>
        <v>0</v>
      </c>
      <c r="BD481" s="27">
        <f t="shared" si="305"/>
        <v>0</v>
      </c>
      <c r="BE481" s="27">
        <f t="shared" si="306"/>
        <v>0</v>
      </c>
      <c r="BF481" s="29">
        <f t="shared" si="277"/>
        <v>0</v>
      </c>
      <c r="BH481" s="30">
        <f t="shared" si="301"/>
        <v>0</v>
      </c>
      <c r="BM481" s="2">
        <f t="shared" si="290"/>
        <v>0</v>
      </c>
      <c r="BP481" s="2">
        <f t="shared" si="291"/>
        <v>0</v>
      </c>
    </row>
    <row r="482" spans="1:68" ht="14.45" hidden="1" customHeight="1" x14ac:dyDescent="0.25">
      <c r="A482" s="33" t="s">
        <v>498</v>
      </c>
      <c r="B482" s="23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13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5"/>
      <c r="AD482" s="39">
        <f t="shared" si="285"/>
        <v>0</v>
      </c>
      <c r="AE482" s="26" t="s">
        <v>42</v>
      </c>
      <c r="AF482" s="27"/>
      <c r="AG482" s="17">
        <f t="shared" si="292"/>
        <v>0</v>
      </c>
      <c r="AH482" s="28">
        <f t="shared" si="293"/>
        <v>0</v>
      </c>
      <c r="AI482" s="17">
        <f t="shared" si="294"/>
        <v>0</v>
      </c>
      <c r="AJ482" s="28">
        <f t="shared" si="295"/>
        <v>0</v>
      </c>
      <c r="AK482" s="17">
        <f t="shared" si="303"/>
        <v>0</v>
      </c>
      <c r="AL482" s="28">
        <f t="shared" si="296"/>
        <v>0</v>
      </c>
      <c r="AM482" s="17">
        <f t="shared" si="311"/>
        <v>0</v>
      </c>
      <c r="AN482" s="28">
        <f t="shared" si="278"/>
        <v>0</v>
      </c>
      <c r="AO482" s="17">
        <f t="shared" si="286"/>
        <v>0</v>
      </c>
      <c r="AP482" s="28">
        <f t="shared" si="287"/>
        <v>0</v>
      </c>
      <c r="AQ482" s="17">
        <f t="shared" si="288"/>
        <v>0</v>
      </c>
      <c r="AR482" s="28">
        <f t="shared" si="289"/>
        <v>0</v>
      </c>
      <c r="AS482" s="17">
        <f t="shared" si="307"/>
        <v>0</v>
      </c>
      <c r="AT482" s="28">
        <f t="shared" si="308"/>
        <v>0</v>
      </c>
      <c r="AU482" s="17">
        <f t="shared" si="309"/>
        <v>0</v>
      </c>
      <c r="AV482" s="28">
        <f t="shared" si="310"/>
        <v>0</v>
      </c>
      <c r="AW482" s="17">
        <f t="shared" si="297"/>
        <v>0</v>
      </c>
      <c r="AX482" s="28">
        <f t="shared" si="298"/>
        <v>0</v>
      </c>
      <c r="AY482" s="17">
        <f t="shared" si="299"/>
        <v>0</v>
      </c>
      <c r="AZ482" s="28">
        <f t="shared" si="300"/>
        <v>0</v>
      </c>
      <c r="BA482" s="27">
        <f t="shared" si="276"/>
        <v>0</v>
      </c>
      <c r="BB482" s="27">
        <f t="shared" si="302"/>
        <v>0</v>
      </c>
      <c r="BC482" s="27">
        <f t="shared" si="304"/>
        <v>0</v>
      </c>
      <c r="BD482" s="27">
        <f t="shared" si="305"/>
        <v>0</v>
      </c>
      <c r="BE482" s="27">
        <f t="shared" si="306"/>
        <v>0</v>
      </c>
      <c r="BF482" s="29">
        <f t="shared" si="277"/>
        <v>0</v>
      </c>
      <c r="BH482" s="30">
        <f t="shared" si="301"/>
        <v>0</v>
      </c>
      <c r="BM482" s="2">
        <f t="shared" si="290"/>
        <v>0</v>
      </c>
      <c r="BP482" s="2">
        <f t="shared" si="291"/>
        <v>0</v>
      </c>
    </row>
    <row r="483" spans="1:68" ht="14.45" hidden="1" customHeight="1" x14ac:dyDescent="0.25">
      <c r="A483" s="33" t="s">
        <v>499</v>
      </c>
      <c r="B483" s="23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13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5"/>
      <c r="AD483" s="39">
        <f t="shared" si="285"/>
        <v>0</v>
      </c>
      <c r="AE483" s="26" t="s">
        <v>42</v>
      </c>
      <c r="AF483" s="27"/>
      <c r="AG483" s="17">
        <f t="shared" si="292"/>
        <v>0</v>
      </c>
      <c r="AH483" s="28">
        <f t="shared" si="293"/>
        <v>0</v>
      </c>
      <c r="AI483" s="17">
        <f t="shared" si="294"/>
        <v>0</v>
      </c>
      <c r="AJ483" s="28">
        <f t="shared" si="295"/>
        <v>0</v>
      </c>
      <c r="AK483" s="17">
        <f t="shared" si="303"/>
        <v>0</v>
      </c>
      <c r="AL483" s="28">
        <f t="shared" si="296"/>
        <v>0</v>
      </c>
      <c r="AM483" s="17">
        <f t="shared" si="311"/>
        <v>0</v>
      </c>
      <c r="AN483" s="28">
        <f t="shared" si="278"/>
        <v>0</v>
      </c>
      <c r="AO483" s="17">
        <f t="shared" si="286"/>
        <v>0</v>
      </c>
      <c r="AP483" s="28">
        <f t="shared" si="287"/>
        <v>0</v>
      </c>
      <c r="AQ483" s="17">
        <f t="shared" si="288"/>
        <v>0</v>
      </c>
      <c r="AR483" s="28">
        <f t="shared" si="289"/>
        <v>0</v>
      </c>
      <c r="AS483" s="17">
        <f t="shared" si="307"/>
        <v>0</v>
      </c>
      <c r="AT483" s="28">
        <f t="shared" si="308"/>
        <v>0</v>
      </c>
      <c r="AU483" s="17">
        <f t="shared" si="309"/>
        <v>0</v>
      </c>
      <c r="AV483" s="28">
        <f t="shared" si="310"/>
        <v>0</v>
      </c>
      <c r="AW483" s="17">
        <f t="shared" si="297"/>
        <v>0</v>
      </c>
      <c r="AX483" s="28">
        <f t="shared" si="298"/>
        <v>0</v>
      </c>
      <c r="AY483" s="17">
        <f t="shared" si="299"/>
        <v>0</v>
      </c>
      <c r="AZ483" s="28">
        <f t="shared" si="300"/>
        <v>0</v>
      </c>
      <c r="BA483" s="27">
        <f t="shared" si="276"/>
        <v>0</v>
      </c>
      <c r="BB483" s="27">
        <f t="shared" si="302"/>
        <v>0</v>
      </c>
      <c r="BC483" s="27">
        <f t="shared" si="304"/>
        <v>0</v>
      </c>
      <c r="BD483" s="27">
        <f t="shared" si="305"/>
        <v>0</v>
      </c>
      <c r="BE483" s="27">
        <f t="shared" si="306"/>
        <v>0</v>
      </c>
      <c r="BF483" s="29">
        <f t="shared" si="277"/>
        <v>0</v>
      </c>
      <c r="BH483" s="30">
        <f t="shared" si="301"/>
        <v>0</v>
      </c>
      <c r="BM483" s="2">
        <f t="shared" si="290"/>
        <v>0</v>
      </c>
      <c r="BP483" s="2">
        <f t="shared" si="291"/>
        <v>0</v>
      </c>
    </row>
    <row r="484" spans="1:68" ht="14.45" hidden="1" customHeight="1" x14ac:dyDescent="0.25">
      <c r="A484" s="33" t="s">
        <v>500</v>
      </c>
      <c r="B484" s="23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13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5"/>
      <c r="AD484" s="39">
        <f t="shared" si="285"/>
        <v>0</v>
      </c>
      <c r="AE484" s="26" t="s">
        <v>42</v>
      </c>
      <c r="AF484" s="27"/>
      <c r="AG484" s="17">
        <f t="shared" si="292"/>
        <v>0</v>
      </c>
      <c r="AH484" s="28">
        <f t="shared" si="293"/>
        <v>0</v>
      </c>
      <c r="AI484" s="17">
        <f t="shared" si="294"/>
        <v>0</v>
      </c>
      <c r="AJ484" s="28">
        <f t="shared" si="295"/>
        <v>0</v>
      </c>
      <c r="AK484" s="17">
        <f t="shared" si="303"/>
        <v>0</v>
      </c>
      <c r="AL484" s="28">
        <f t="shared" si="296"/>
        <v>0</v>
      </c>
      <c r="AM484" s="17">
        <f t="shared" si="311"/>
        <v>0</v>
      </c>
      <c r="AN484" s="28">
        <f t="shared" si="278"/>
        <v>0</v>
      </c>
      <c r="AO484" s="17">
        <f t="shared" si="286"/>
        <v>0</v>
      </c>
      <c r="AP484" s="28">
        <f t="shared" si="287"/>
        <v>0</v>
      </c>
      <c r="AQ484" s="17">
        <f t="shared" si="288"/>
        <v>0</v>
      </c>
      <c r="AR484" s="28">
        <f t="shared" si="289"/>
        <v>0</v>
      </c>
      <c r="AS484" s="17">
        <f t="shared" si="307"/>
        <v>0</v>
      </c>
      <c r="AT484" s="28">
        <f t="shared" si="308"/>
        <v>0</v>
      </c>
      <c r="AU484" s="17">
        <f t="shared" si="309"/>
        <v>0</v>
      </c>
      <c r="AV484" s="28">
        <f t="shared" si="310"/>
        <v>0</v>
      </c>
      <c r="AW484" s="17">
        <f t="shared" si="297"/>
        <v>0</v>
      </c>
      <c r="AX484" s="28">
        <f t="shared" si="298"/>
        <v>0</v>
      </c>
      <c r="AY484" s="17">
        <f t="shared" si="299"/>
        <v>0</v>
      </c>
      <c r="AZ484" s="28">
        <f t="shared" si="300"/>
        <v>0</v>
      </c>
      <c r="BA484" s="27">
        <f t="shared" si="276"/>
        <v>0</v>
      </c>
      <c r="BB484" s="27">
        <f t="shared" si="302"/>
        <v>0</v>
      </c>
      <c r="BC484" s="27">
        <f t="shared" si="304"/>
        <v>0</v>
      </c>
      <c r="BD484" s="27">
        <f t="shared" si="305"/>
        <v>0</v>
      </c>
      <c r="BE484" s="27">
        <f t="shared" si="306"/>
        <v>0</v>
      </c>
      <c r="BF484" s="29">
        <f t="shared" si="277"/>
        <v>0</v>
      </c>
      <c r="BH484" s="30">
        <f t="shared" si="301"/>
        <v>0</v>
      </c>
      <c r="BM484" s="2">
        <f t="shared" si="290"/>
        <v>0</v>
      </c>
      <c r="BP484" s="2">
        <f t="shared" si="291"/>
        <v>0</v>
      </c>
    </row>
    <row r="485" spans="1:68" ht="14.45" hidden="1" customHeight="1" x14ac:dyDescent="0.25">
      <c r="A485" s="33" t="s">
        <v>501</v>
      </c>
      <c r="B485" s="23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13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5"/>
      <c r="AD485" s="39">
        <f t="shared" si="285"/>
        <v>0</v>
      </c>
      <c r="AE485" s="26" t="s">
        <v>42</v>
      </c>
      <c r="AF485" s="27"/>
      <c r="AG485" s="17">
        <f t="shared" si="292"/>
        <v>0</v>
      </c>
      <c r="AH485" s="28">
        <f t="shared" si="293"/>
        <v>0</v>
      </c>
      <c r="AI485" s="17">
        <f t="shared" si="294"/>
        <v>0</v>
      </c>
      <c r="AJ485" s="28">
        <f t="shared" si="295"/>
        <v>0</v>
      </c>
      <c r="AK485" s="17">
        <f t="shared" si="303"/>
        <v>0</v>
      </c>
      <c r="AL485" s="28">
        <f t="shared" si="296"/>
        <v>0</v>
      </c>
      <c r="AM485" s="17">
        <f t="shared" si="311"/>
        <v>0</v>
      </c>
      <c r="AN485" s="28">
        <f t="shared" si="278"/>
        <v>0</v>
      </c>
      <c r="AO485" s="17">
        <f t="shared" si="286"/>
        <v>0</v>
      </c>
      <c r="AP485" s="28">
        <f t="shared" si="287"/>
        <v>0</v>
      </c>
      <c r="AQ485" s="17">
        <f t="shared" si="288"/>
        <v>0</v>
      </c>
      <c r="AR485" s="28">
        <f t="shared" si="289"/>
        <v>0</v>
      </c>
      <c r="AS485" s="17">
        <f t="shared" si="307"/>
        <v>0</v>
      </c>
      <c r="AT485" s="28">
        <f t="shared" si="308"/>
        <v>0</v>
      </c>
      <c r="AU485" s="17">
        <f t="shared" si="309"/>
        <v>0</v>
      </c>
      <c r="AV485" s="28">
        <f t="shared" si="310"/>
        <v>0</v>
      </c>
      <c r="AW485" s="17">
        <f t="shared" si="297"/>
        <v>0</v>
      </c>
      <c r="AX485" s="28">
        <f t="shared" si="298"/>
        <v>0</v>
      </c>
      <c r="AY485" s="17">
        <f t="shared" si="299"/>
        <v>0</v>
      </c>
      <c r="AZ485" s="28">
        <f t="shared" si="300"/>
        <v>0</v>
      </c>
      <c r="BA485" s="27">
        <f t="shared" si="276"/>
        <v>0</v>
      </c>
      <c r="BB485" s="27">
        <f t="shared" si="302"/>
        <v>0</v>
      </c>
      <c r="BC485" s="27">
        <f t="shared" si="304"/>
        <v>0</v>
      </c>
      <c r="BD485" s="27">
        <f t="shared" si="305"/>
        <v>0</v>
      </c>
      <c r="BE485" s="27">
        <f t="shared" si="306"/>
        <v>0</v>
      </c>
      <c r="BF485" s="29">
        <f t="shared" si="277"/>
        <v>0</v>
      </c>
      <c r="BH485" s="30">
        <f t="shared" si="301"/>
        <v>0</v>
      </c>
      <c r="BM485" s="2">
        <f t="shared" si="290"/>
        <v>0</v>
      </c>
      <c r="BP485" s="2">
        <f t="shared" si="291"/>
        <v>0</v>
      </c>
    </row>
    <row r="486" spans="1:68" ht="14.45" hidden="1" customHeight="1" x14ac:dyDescent="0.25">
      <c r="A486" s="33" t="s">
        <v>502</v>
      </c>
      <c r="B486" s="23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13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5"/>
      <c r="AD486" s="39">
        <f t="shared" si="285"/>
        <v>0</v>
      </c>
      <c r="AE486" s="26" t="s">
        <v>42</v>
      </c>
      <c r="AF486" s="27"/>
      <c r="AG486" s="17">
        <f t="shared" si="292"/>
        <v>0</v>
      </c>
      <c r="AH486" s="28">
        <f t="shared" si="293"/>
        <v>0</v>
      </c>
      <c r="AI486" s="17">
        <f t="shared" si="294"/>
        <v>0</v>
      </c>
      <c r="AJ486" s="28">
        <f t="shared" si="295"/>
        <v>0</v>
      </c>
      <c r="AK486" s="17">
        <f t="shared" si="303"/>
        <v>0</v>
      </c>
      <c r="AL486" s="28">
        <f t="shared" si="296"/>
        <v>0</v>
      </c>
      <c r="AM486" s="17">
        <f t="shared" si="311"/>
        <v>0</v>
      </c>
      <c r="AN486" s="28">
        <f t="shared" si="278"/>
        <v>0</v>
      </c>
      <c r="AO486" s="17">
        <f t="shared" si="286"/>
        <v>0</v>
      </c>
      <c r="AP486" s="28">
        <f t="shared" si="287"/>
        <v>0</v>
      </c>
      <c r="AQ486" s="17">
        <f t="shared" si="288"/>
        <v>0</v>
      </c>
      <c r="AR486" s="28">
        <f t="shared" si="289"/>
        <v>0</v>
      </c>
      <c r="AS486" s="17">
        <f t="shared" si="307"/>
        <v>0</v>
      </c>
      <c r="AT486" s="28">
        <f t="shared" si="308"/>
        <v>0</v>
      </c>
      <c r="AU486" s="17">
        <f t="shared" si="309"/>
        <v>0</v>
      </c>
      <c r="AV486" s="28">
        <f t="shared" si="310"/>
        <v>0</v>
      </c>
      <c r="AW486" s="17">
        <f t="shared" si="297"/>
        <v>0</v>
      </c>
      <c r="AX486" s="28">
        <f t="shared" si="298"/>
        <v>0</v>
      </c>
      <c r="AY486" s="17">
        <f t="shared" si="299"/>
        <v>0</v>
      </c>
      <c r="AZ486" s="28">
        <f t="shared" si="300"/>
        <v>0</v>
      </c>
      <c r="BA486" s="27">
        <f t="shared" si="276"/>
        <v>0</v>
      </c>
      <c r="BB486" s="27">
        <f t="shared" si="302"/>
        <v>0</v>
      </c>
      <c r="BC486" s="27">
        <f t="shared" si="304"/>
        <v>0</v>
      </c>
      <c r="BD486" s="27">
        <f t="shared" si="305"/>
        <v>0</v>
      </c>
      <c r="BE486" s="27">
        <f t="shared" si="306"/>
        <v>0</v>
      </c>
      <c r="BF486" s="29">
        <f t="shared" si="277"/>
        <v>0</v>
      </c>
      <c r="BH486" s="30">
        <f t="shared" si="301"/>
        <v>0</v>
      </c>
      <c r="BM486" s="2">
        <f t="shared" si="290"/>
        <v>0</v>
      </c>
      <c r="BP486" s="2">
        <f t="shared" si="291"/>
        <v>0</v>
      </c>
    </row>
    <row r="487" spans="1:68" ht="14.45" hidden="1" customHeight="1" x14ac:dyDescent="0.25">
      <c r="A487" s="33" t="s">
        <v>503</v>
      </c>
      <c r="B487" s="23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13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5"/>
      <c r="AD487" s="39">
        <f t="shared" si="285"/>
        <v>0</v>
      </c>
      <c r="AE487" s="26" t="s">
        <v>42</v>
      </c>
      <c r="AF487" s="27"/>
      <c r="AG487" s="17">
        <f t="shared" si="292"/>
        <v>0</v>
      </c>
      <c r="AH487" s="28">
        <f t="shared" si="293"/>
        <v>0</v>
      </c>
      <c r="AI487" s="17">
        <f t="shared" si="294"/>
        <v>0</v>
      </c>
      <c r="AJ487" s="28">
        <f t="shared" si="295"/>
        <v>0</v>
      </c>
      <c r="AK487" s="17">
        <f t="shared" si="303"/>
        <v>0</v>
      </c>
      <c r="AL487" s="28">
        <f t="shared" si="296"/>
        <v>0</v>
      </c>
      <c r="AM487" s="17">
        <f t="shared" si="311"/>
        <v>0</v>
      </c>
      <c r="AN487" s="28">
        <f t="shared" si="278"/>
        <v>0</v>
      </c>
      <c r="AO487" s="17">
        <f t="shared" si="286"/>
        <v>0</v>
      </c>
      <c r="AP487" s="28">
        <f t="shared" si="287"/>
        <v>0</v>
      </c>
      <c r="AQ487" s="17">
        <f t="shared" si="288"/>
        <v>0</v>
      </c>
      <c r="AR487" s="28">
        <f t="shared" si="289"/>
        <v>0</v>
      </c>
      <c r="AS487" s="17">
        <f t="shared" si="307"/>
        <v>0</v>
      </c>
      <c r="AT487" s="28">
        <f t="shared" si="308"/>
        <v>0</v>
      </c>
      <c r="AU487" s="17">
        <f t="shared" si="309"/>
        <v>0</v>
      </c>
      <c r="AV487" s="28">
        <f t="shared" si="310"/>
        <v>0</v>
      </c>
      <c r="AW487" s="17">
        <f t="shared" si="297"/>
        <v>0</v>
      </c>
      <c r="AX487" s="28">
        <f t="shared" si="298"/>
        <v>0</v>
      </c>
      <c r="AY487" s="17">
        <f t="shared" si="299"/>
        <v>0</v>
      </c>
      <c r="AZ487" s="28">
        <f t="shared" si="300"/>
        <v>0</v>
      </c>
      <c r="BA487" s="27">
        <f t="shared" si="276"/>
        <v>0</v>
      </c>
      <c r="BB487" s="27">
        <f t="shared" si="302"/>
        <v>0</v>
      </c>
      <c r="BC487" s="27">
        <f t="shared" si="304"/>
        <v>0</v>
      </c>
      <c r="BD487" s="27">
        <f t="shared" si="305"/>
        <v>0</v>
      </c>
      <c r="BE487" s="27">
        <f t="shared" si="306"/>
        <v>0</v>
      </c>
      <c r="BF487" s="29">
        <f t="shared" si="277"/>
        <v>0</v>
      </c>
      <c r="BH487" s="30">
        <f t="shared" si="301"/>
        <v>0</v>
      </c>
      <c r="BM487" s="2">
        <f t="shared" si="290"/>
        <v>0</v>
      </c>
      <c r="BP487" s="2">
        <f t="shared" si="291"/>
        <v>0</v>
      </c>
    </row>
    <row r="488" spans="1:68" ht="14.45" hidden="1" customHeight="1" x14ac:dyDescent="0.25">
      <c r="A488" s="33" t="s">
        <v>504</v>
      </c>
      <c r="B488" s="23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13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5"/>
      <c r="AD488" s="39">
        <f t="shared" si="285"/>
        <v>0</v>
      </c>
      <c r="AE488" s="26" t="s">
        <v>42</v>
      </c>
      <c r="AF488" s="27"/>
      <c r="AG488" s="17">
        <f t="shared" si="292"/>
        <v>0</v>
      </c>
      <c r="AH488" s="28">
        <f t="shared" si="293"/>
        <v>0</v>
      </c>
      <c r="AI488" s="17">
        <f t="shared" si="294"/>
        <v>0</v>
      </c>
      <c r="AJ488" s="28">
        <f t="shared" si="295"/>
        <v>0</v>
      </c>
      <c r="AK488" s="17">
        <f t="shared" si="303"/>
        <v>0</v>
      </c>
      <c r="AL488" s="28">
        <f t="shared" si="296"/>
        <v>0</v>
      </c>
      <c r="AM488" s="17">
        <f t="shared" si="311"/>
        <v>0</v>
      </c>
      <c r="AN488" s="28">
        <f t="shared" si="278"/>
        <v>0</v>
      </c>
      <c r="AO488" s="17">
        <f t="shared" si="286"/>
        <v>0</v>
      </c>
      <c r="AP488" s="28">
        <f t="shared" si="287"/>
        <v>0</v>
      </c>
      <c r="AQ488" s="17">
        <f t="shared" si="288"/>
        <v>0</v>
      </c>
      <c r="AR488" s="28">
        <f t="shared" si="289"/>
        <v>0</v>
      </c>
      <c r="AS488" s="17">
        <f t="shared" si="307"/>
        <v>0</v>
      </c>
      <c r="AT488" s="28">
        <f t="shared" si="308"/>
        <v>0</v>
      </c>
      <c r="AU488" s="17">
        <f t="shared" si="309"/>
        <v>0</v>
      </c>
      <c r="AV488" s="28">
        <f t="shared" si="310"/>
        <v>0</v>
      </c>
      <c r="AW488" s="17">
        <f t="shared" si="297"/>
        <v>0</v>
      </c>
      <c r="AX488" s="28">
        <f t="shared" si="298"/>
        <v>0</v>
      </c>
      <c r="AY488" s="17">
        <f t="shared" si="299"/>
        <v>0</v>
      </c>
      <c r="AZ488" s="28">
        <f t="shared" si="300"/>
        <v>0</v>
      </c>
      <c r="BA488" s="27">
        <f t="shared" si="276"/>
        <v>0</v>
      </c>
      <c r="BB488" s="27">
        <f t="shared" si="302"/>
        <v>0</v>
      </c>
      <c r="BC488" s="27">
        <f t="shared" si="304"/>
        <v>0</v>
      </c>
      <c r="BD488" s="27">
        <f t="shared" si="305"/>
        <v>0</v>
      </c>
      <c r="BE488" s="27">
        <f t="shared" si="306"/>
        <v>0</v>
      </c>
      <c r="BF488" s="29">
        <f t="shared" si="277"/>
        <v>0</v>
      </c>
      <c r="BH488" s="30">
        <f t="shared" si="301"/>
        <v>0</v>
      </c>
      <c r="BM488" s="2">
        <f t="shared" si="290"/>
        <v>0</v>
      </c>
      <c r="BP488" s="2">
        <f t="shared" si="291"/>
        <v>0</v>
      </c>
    </row>
    <row r="489" spans="1:68" ht="14.45" hidden="1" customHeight="1" x14ac:dyDescent="0.25">
      <c r="A489" s="33" t="s">
        <v>505</v>
      </c>
      <c r="B489" s="23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13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5"/>
      <c r="AD489" s="39">
        <f t="shared" si="285"/>
        <v>0</v>
      </c>
      <c r="AE489" s="26" t="s">
        <v>42</v>
      </c>
      <c r="AF489" s="27"/>
      <c r="AG489" s="17">
        <f t="shared" si="292"/>
        <v>0</v>
      </c>
      <c r="AH489" s="28">
        <f t="shared" si="293"/>
        <v>0</v>
      </c>
      <c r="AI489" s="17">
        <f t="shared" si="294"/>
        <v>0</v>
      </c>
      <c r="AJ489" s="28">
        <f t="shared" si="295"/>
        <v>0</v>
      </c>
      <c r="AK489" s="17">
        <f t="shared" si="303"/>
        <v>0</v>
      </c>
      <c r="AL489" s="28">
        <f t="shared" si="296"/>
        <v>0</v>
      </c>
      <c r="AM489" s="17">
        <f t="shared" si="311"/>
        <v>0</v>
      </c>
      <c r="AN489" s="28">
        <f t="shared" si="278"/>
        <v>0</v>
      </c>
      <c r="AO489" s="17">
        <f t="shared" si="286"/>
        <v>0</v>
      </c>
      <c r="AP489" s="28">
        <f t="shared" si="287"/>
        <v>0</v>
      </c>
      <c r="AQ489" s="17">
        <f t="shared" si="288"/>
        <v>0</v>
      </c>
      <c r="AR489" s="28">
        <f t="shared" si="289"/>
        <v>0</v>
      </c>
      <c r="AS489" s="17">
        <f t="shared" si="307"/>
        <v>0</v>
      </c>
      <c r="AT489" s="28">
        <f t="shared" si="308"/>
        <v>0</v>
      </c>
      <c r="AU489" s="17">
        <f t="shared" si="309"/>
        <v>0</v>
      </c>
      <c r="AV489" s="28">
        <f t="shared" si="310"/>
        <v>0</v>
      </c>
      <c r="AW489" s="17">
        <f t="shared" si="297"/>
        <v>0</v>
      </c>
      <c r="AX489" s="28">
        <f t="shared" si="298"/>
        <v>0</v>
      </c>
      <c r="AY489" s="17">
        <f t="shared" si="299"/>
        <v>0</v>
      </c>
      <c r="AZ489" s="28">
        <f t="shared" si="300"/>
        <v>0</v>
      </c>
      <c r="BA489" s="27">
        <f t="shared" si="276"/>
        <v>0</v>
      </c>
      <c r="BB489" s="27">
        <f t="shared" si="302"/>
        <v>0</v>
      </c>
      <c r="BC489" s="27">
        <f t="shared" si="304"/>
        <v>0</v>
      </c>
      <c r="BD489" s="27">
        <f t="shared" si="305"/>
        <v>0</v>
      </c>
      <c r="BE489" s="27">
        <f t="shared" si="306"/>
        <v>0</v>
      </c>
      <c r="BF489" s="29">
        <f t="shared" si="277"/>
        <v>0</v>
      </c>
      <c r="BH489" s="30">
        <f t="shared" si="301"/>
        <v>0</v>
      </c>
      <c r="BM489" s="2">
        <f t="shared" si="290"/>
        <v>0</v>
      </c>
      <c r="BP489" s="2">
        <f t="shared" si="291"/>
        <v>0</v>
      </c>
    </row>
    <row r="490" spans="1:68" ht="14.45" hidden="1" customHeight="1" x14ac:dyDescent="0.25">
      <c r="A490" s="33" t="s">
        <v>506</v>
      </c>
      <c r="B490" s="23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13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5"/>
      <c r="AD490" s="39">
        <f t="shared" si="285"/>
        <v>0</v>
      </c>
      <c r="AE490" s="26" t="s">
        <v>42</v>
      </c>
      <c r="AF490" s="27"/>
      <c r="AG490" s="17">
        <f t="shared" si="292"/>
        <v>0</v>
      </c>
      <c r="AH490" s="28">
        <f t="shared" si="293"/>
        <v>0</v>
      </c>
      <c r="AI490" s="17">
        <f t="shared" si="294"/>
        <v>0</v>
      </c>
      <c r="AJ490" s="28">
        <f t="shared" si="295"/>
        <v>0</v>
      </c>
      <c r="AK490" s="17">
        <f t="shared" si="303"/>
        <v>0</v>
      </c>
      <c r="AL490" s="28">
        <f t="shared" si="296"/>
        <v>0</v>
      </c>
      <c r="AM490" s="17">
        <f t="shared" si="311"/>
        <v>0</v>
      </c>
      <c r="AN490" s="28">
        <f t="shared" si="278"/>
        <v>0</v>
      </c>
      <c r="AO490" s="17">
        <f t="shared" si="286"/>
        <v>0</v>
      </c>
      <c r="AP490" s="28">
        <f t="shared" si="287"/>
        <v>0</v>
      </c>
      <c r="AQ490" s="17">
        <f t="shared" si="288"/>
        <v>0</v>
      </c>
      <c r="AR490" s="28">
        <f t="shared" si="289"/>
        <v>0</v>
      </c>
      <c r="AS490" s="17">
        <f t="shared" si="307"/>
        <v>0</v>
      </c>
      <c r="AT490" s="28">
        <f t="shared" si="308"/>
        <v>0</v>
      </c>
      <c r="AU490" s="17">
        <f t="shared" si="309"/>
        <v>0</v>
      </c>
      <c r="AV490" s="28">
        <f t="shared" si="310"/>
        <v>0</v>
      </c>
      <c r="AW490" s="17">
        <f t="shared" si="297"/>
        <v>0</v>
      </c>
      <c r="AX490" s="28">
        <f t="shared" si="298"/>
        <v>0</v>
      </c>
      <c r="AY490" s="17">
        <f t="shared" si="299"/>
        <v>0</v>
      </c>
      <c r="AZ490" s="28">
        <f t="shared" si="300"/>
        <v>0</v>
      </c>
      <c r="BA490" s="27">
        <f t="shared" si="276"/>
        <v>0</v>
      </c>
      <c r="BB490" s="27">
        <f t="shared" si="302"/>
        <v>0</v>
      </c>
      <c r="BC490" s="27">
        <f t="shared" si="304"/>
        <v>0</v>
      </c>
      <c r="BD490" s="27">
        <f t="shared" si="305"/>
        <v>0</v>
      </c>
      <c r="BE490" s="27">
        <f t="shared" si="306"/>
        <v>0</v>
      </c>
      <c r="BF490" s="29">
        <f t="shared" si="277"/>
        <v>0</v>
      </c>
      <c r="BH490" s="30">
        <f t="shared" si="301"/>
        <v>0</v>
      </c>
      <c r="BM490" s="2">
        <f t="shared" si="290"/>
        <v>0</v>
      </c>
      <c r="BP490" s="2">
        <f t="shared" si="291"/>
        <v>0</v>
      </c>
    </row>
    <row r="491" spans="1:68" ht="14.45" hidden="1" customHeight="1" x14ac:dyDescent="0.25">
      <c r="A491" s="33" t="s">
        <v>507</v>
      </c>
      <c r="B491" s="23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13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5"/>
      <c r="AD491" s="39">
        <f t="shared" si="285"/>
        <v>0</v>
      </c>
      <c r="AE491" s="26" t="s">
        <v>42</v>
      </c>
      <c r="AF491" s="27"/>
      <c r="AG491" s="17">
        <f t="shared" si="292"/>
        <v>0</v>
      </c>
      <c r="AH491" s="28">
        <f t="shared" si="293"/>
        <v>0</v>
      </c>
      <c r="AI491" s="17">
        <f t="shared" si="294"/>
        <v>0</v>
      </c>
      <c r="AJ491" s="28">
        <f t="shared" si="295"/>
        <v>0</v>
      </c>
      <c r="AK491" s="17">
        <f t="shared" si="303"/>
        <v>0</v>
      </c>
      <c r="AL491" s="28">
        <f t="shared" si="296"/>
        <v>0</v>
      </c>
      <c r="AM491" s="17">
        <f t="shared" si="311"/>
        <v>0</v>
      </c>
      <c r="AN491" s="28">
        <f t="shared" si="278"/>
        <v>0</v>
      </c>
      <c r="AO491" s="17">
        <f t="shared" si="286"/>
        <v>0</v>
      </c>
      <c r="AP491" s="28">
        <f t="shared" si="287"/>
        <v>0</v>
      </c>
      <c r="AQ491" s="17">
        <f t="shared" si="288"/>
        <v>0</v>
      </c>
      <c r="AR491" s="28">
        <f t="shared" si="289"/>
        <v>0</v>
      </c>
      <c r="AS491" s="17">
        <f t="shared" si="307"/>
        <v>0</v>
      </c>
      <c r="AT491" s="28">
        <f t="shared" si="308"/>
        <v>0</v>
      </c>
      <c r="AU491" s="17">
        <f t="shared" si="309"/>
        <v>0</v>
      </c>
      <c r="AV491" s="28">
        <f t="shared" si="310"/>
        <v>0</v>
      </c>
      <c r="AW491" s="17">
        <f t="shared" si="297"/>
        <v>0</v>
      </c>
      <c r="AX491" s="28">
        <f t="shared" si="298"/>
        <v>0</v>
      </c>
      <c r="AY491" s="17">
        <f t="shared" si="299"/>
        <v>0</v>
      </c>
      <c r="AZ491" s="28">
        <f t="shared" si="300"/>
        <v>0</v>
      </c>
      <c r="BA491" s="27">
        <f t="shared" si="276"/>
        <v>0</v>
      </c>
      <c r="BB491" s="27">
        <f t="shared" si="302"/>
        <v>0</v>
      </c>
      <c r="BC491" s="27">
        <f t="shared" si="304"/>
        <v>0</v>
      </c>
      <c r="BD491" s="27">
        <f t="shared" si="305"/>
        <v>0</v>
      </c>
      <c r="BE491" s="27">
        <f t="shared" si="306"/>
        <v>0</v>
      </c>
      <c r="BF491" s="29">
        <f t="shared" si="277"/>
        <v>0</v>
      </c>
      <c r="BH491" s="30">
        <f t="shared" si="301"/>
        <v>0</v>
      </c>
      <c r="BM491" s="2">
        <f t="shared" si="290"/>
        <v>0</v>
      </c>
      <c r="BP491" s="2">
        <f t="shared" si="291"/>
        <v>0</v>
      </c>
    </row>
    <row r="492" spans="1:68" ht="14.45" hidden="1" customHeight="1" x14ac:dyDescent="0.25">
      <c r="A492" s="33" t="s">
        <v>508</v>
      </c>
      <c r="B492" s="23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13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5"/>
      <c r="AD492" s="39">
        <f t="shared" si="285"/>
        <v>0</v>
      </c>
      <c r="AE492" s="26" t="s">
        <v>42</v>
      </c>
      <c r="AF492" s="49"/>
      <c r="AG492" s="17">
        <f t="shared" si="292"/>
        <v>0</v>
      </c>
      <c r="AH492" s="28">
        <f t="shared" si="293"/>
        <v>0</v>
      </c>
      <c r="AI492" s="17">
        <f t="shared" si="294"/>
        <v>0</v>
      </c>
      <c r="AJ492" s="28">
        <f t="shared" si="295"/>
        <v>0</v>
      </c>
      <c r="AK492" s="17">
        <f t="shared" si="303"/>
        <v>0</v>
      </c>
      <c r="AL492" s="28">
        <f t="shared" si="296"/>
        <v>0</v>
      </c>
      <c r="AM492" s="17">
        <f t="shared" si="311"/>
        <v>0</v>
      </c>
      <c r="AN492" s="28">
        <f t="shared" si="278"/>
        <v>0</v>
      </c>
      <c r="AO492" s="17">
        <f t="shared" si="286"/>
        <v>0</v>
      </c>
      <c r="AP492" s="28">
        <f t="shared" si="287"/>
        <v>0</v>
      </c>
      <c r="AQ492" s="17">
        <f t="shared" si="288"/>
        <v>0</v>
      </c>
      <c r="AR492" s="28">
        <f t="shared" si="289"/>
        <v>0</v>
      </c>
      <c r="AS492" s="17">
        <f t="shared" si="307"/>
        <v>0</v>
      </c>
      <c r="AT492" s="28">
        <f t="shared" si="308"/>
        <v>0</v>
      </c>
      <c r="AU492" s="17">
        <f t="shared" si="309"/>
        <v>0</v>
      </c>
      <c r="AV492" s="28">
        <f t="shared" si="310"/>
        <v>0</v>
      </c>
      <c r="AW492" s="17">
        <f t="shared" si="297"/>
        <v>0</v>
      </c>
      <c r="AX492" s="28">
        <f t="shared" si="298"/>
        <v>0</v>
      </c>
      <c r="AY492" s="17">
        <f t="shared" si="299"/>
        <v>0</v>
      </c>
      <c r="AZ492" s="28">
        <f t="shared" si="300"/>
        <v>0</v>
      </c>
      <c r="BA492" s="27">
        <f t="shared" si="276"/>
        <v>0</v>
      </c>
      <c r="BB492" s="27">
        <f t="shared" si="302"/>
        <v>0</v>
      </c>
      <c r="BC492" s="27">
        <f t="shared" si="304"/>
        <v>0</v>
      </c>
      <c r="BD492" s="27">
        <f t="shared" si="305"/>
        <v>0</v>
      </c>
      <c r="BE492" s="27">
        <f t="shared" si="306"/>
        <v>0</v>
      </c>
      <c r="BF492" s="29">
        <f t="shared" si="277"/>
        <v>0</v>
      </c>
      <c r="BH492" s="30">
        <f t="shared" si="301"/>
        <v>0</v>
      </c>
      <c r="BM492" s="2">
        <f t="shared" si="290"/>
        <v>0</v>
      </c>
      <c r="BP492" s="2">
        <f t="shared" si="291"/>
        <v>0</v>
      </c>
    </row>
    <row r="493" spans="1:68" ht="14.45" hidden="1" customHeight="1" x14ac:dyDescent="0.25">
      <c r="A493" s="33" t="s">
        <v>509</v>
      </c>
      <c r="B493" s="23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13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5"/>
      <c r="AD493" s="39">
        <f t="shared" si="285"/>
        <v>0</v>
      </c>
      <c r="AE493" s="26" t="s">
        <v>42</v>
      </c>
      <c r="AF493" s="27"/>
      <c r="AG493" s="17">
        <f t="shared" si="292"/>
        <v>0</v>
      </c>
      <c r="AH493" s="28">
        <f t="shared" si="293"/>
        <v>0</v>
      </c>
      <c r="AI493" s="17">
        <f t="shared" si="294"/>
        <v>0</v>
      </c>
      <c r="AJ493" s="28">
        <f t="shared" si="295"/>
        <v>0</v>
      </c>
      <c r="AK493" s="17">
        <f t="shared" si="303"/>
        <v>0</v>
      </c>
      <c r="AL493" s="28">
        <f t="shared" si="296"/>
        <v>0</v>
      </c>
      <c r="AM493" s="17">
        <f t="shared" si="311"/>
        <v>0</v>
      </c>
      <c r="AN493" s="28">
        <f t="shared" si="278"/>
        <v>0</v>
      </c>
      <c r="AO493" s="17">
        <f t="shared" si="286"/>
        <v>0</v>
      </c>
      <c r="AP493" s="28">
        <f t="shared" si="287"/>
        <v>0</v>
      </c>
      <c r="AQ493" s="17">
        <f t="shared" si="288"/>
        <v>0</v>
      </c>
      <c r="AR493" s="28">
        <f t="shared" si="289"/>
        <v>0</v>
      </c>
      <c r="AS493" s="17">
        <f t="shared" si="307"/>
        <v>0</v>
      </c>
      <c r="AT493" s="28">
        <f t="shared" si="308"/>
        <v>0</v>
      </c>
      <c r="AU493" s="17">
        <f t="shared" si="309"/>
        <v>0</v>
      </c>
      <c r="AV493" s="28">
        <f t="shared" si="310"/>
        <v>0</v>
      </c>
      <c r="AW493" s="17">
        <f t="shared" si="297"/>
        <v>0</v>
      </c>
      <c r="AX493" s="28">
        <f t="shared" si="298"/>
        <v>0</v>
      </c>
      <c r="AY493" s="17">
        <f t="shared" si="299"/>
        <v>0</v>
      </c>
      <c r="AZ493" s="28">
        <f t="shared" si="300"/>
        <v>0</v>
      </c>
      <c r="BA493" s="27">
        <f t="shared" si="276"/>
        <v>0</v>
      </c>
      <c r="BB493" s="27">
        <f t="shared" si="302"/>
        <v>0</v>
      </c>
      <c r="BC493" s="27">
        <f t="shared" si="304"/>
        <v>0</v>
      </c>
      <c r="BD493" s="27">
        <f t="shared" si="305"/>
        <v>0</v>
      </c>
      <c r="BE493" s="27">
        <f t="shared" si="306"/>
        <v>0</v>
      </c>
      <c r="BF493" s="29">
        <f t="shared" si="277"/>
        <v>0</v>
      </c>
      <c r="BH493" s="30">
        <f t="shared" si="301"/>
        <v>0</v>
      </c>
      <c r="BM493" s="2">
        <f t="shared" si="290"/>
        <v>0</v>
      </c>
      <c r="BP493" s="2">
        <f t="shared" si="291"/>
        <v>0</v>
      </c>
    </row>
    <row r="494" spans="1:68" ht="14.45" hidden="1" customHeight="1" x14ac:dyDescent="0.25">
      <c r="A494" s="33" t="s">
        <v>510</v>
      </c>
      <c r="B494" s="23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13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5"/>
      <c r="AD494" s="39">
        <f t="shared" si="285"/>
        <v>0</v>
      </c>
      <c r="AE494" s="26" t="s">
        <v>42</v>
      </c>
      <c r="AF494" s="27"/>
      <c r="AG494" s="17">
        <f t="shared" si="292"/>
        <v>0</v>
      </c>
      <c r="AH494" s="28">
        <f t="shared" si="293"/>
        <v>0</v>
      </c>
      <c r="AI494" s="17">
        <f t="shared" si="294"/>
        <v>0</v>
      </c>
      <c r="AJ494" s="28">
        <f t="shared" si="295"/>
        <v>0</v>
      </c>
      <c r="AK494" s="17">
        <f t="shared" si="303"/>
        <v>0</v>
      </c>
      <c r="AL494" s="28">
        <f t="shared" si="296"/>
        <v>0</v>
      </c>
      <c r="AM494" s="17">
        <f t="shared" si="311"/>
        <v>0</v>
      </c>
      <c r="AN494" s="28">
        <f t="shared" si="278"/>
        <v>0</v>
      </c>
      <c r="AO494" s="17">
        <f t="shared" si="286"/>
        <v>0</v>
      </c>
      <c r="AP494" s="28">
        <f t="shared" si="287"/>
        <v>0</v>
      </c>
      <c r="AQ494" s="17">
        <f t="shared" si="288"/>
        <v>0</v>
      </c>
      <c r="AR494" s="28">
        <f t="shared" si="289"/>
        <v>0</v>
      </c>
      <c r="AS494" s="17">
        <f t="shared" si="307"/>
        <v>0</v>
      </c>
      <c r="AT494" s="28">
        <f t="shared" si="308"/>
        <v>0</v>
      </c>
      <c r="AU494" s="17">
        <f t="shared" si="309"/>
        <v>0</v>
      </c>
      <c r="AV494" s="28">
        <f t="shared" si="310"/>
        <v>0</v>
      </c>
      <c r="AW494" s="17">
        <f t="shared" si="297"/>
        <v>0</v>
      </c>
      <c r="AX494" s="28">
        <f t="shared" si="298"/>
        <v>0</v>
      </c>
      <c r="AY494" s="17">
        <f t="shared" si="299"/>
        <v>0</v>
      </c>
      <c r="AZ494" s="28">
        <f t="shared" si="300"/>
        <v>0</v>
      </c>
      <c r="BA494" s="27">
        <f t="shared" si="276"/>
        <v>0</v>
      </c>
      <c r="BB494" s="27">
        <f t="shared" si="302"/>
        <v>0</v>
      </c>
      <c r="BC494" s="27">
        <f t="shared" si="304"/>
        <v>0</v>
      </c>
      <c r="BD494" s="27">
        <f t="shared" si="305"/>
        <v>0</v>
      </c>
      <c r="BE494" s="27">
        <f t="shared" si="306"/>
        <v>0</v>
      </c>
      <c r="BF494" s="29">
        <f t="shared" si="277"/>
        <v>0</v>
      </c>
      <c r="BH494" s="30">
        <f t="shared" si="301"/>
        <v>0</v>
      </c>
      <c r="BM494" s="2">
        <f t="shared" si="290"/>
        <v>0</v>
      </c>
      <c r="BP494" s="2">
        <f t="shared" si="291"/>
        <v>0</v>
      </c>
    </row>
    <row r="495" spans="1:68" ht="14.45" hidden="1" customHeight="1" x14ac:dyDescent="0.25">
      <c r="A495" s="33" t="s">
        <v>511</v>
      </c>
      <c r="B495" s="23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13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5"/>
      <c r="AD495" s="39">
        <f t="shared" si="285"/>
        <v>0</v>
      </c>
      <c r="AE495" s="26" t="s">
        <v>42</v>
      </c>
      <c r="AF495" s="27"/>
      <c r="AG495" s="17">
        <f t="shared" si="292"/>
        <v>0</v>
      </c>
      <c r="AH495" s="28">
        <f t="shared" si="293"/>
        <v>0</v>
      </c>
      <c r="AI495" s="17">
        <f t="shared" si="294"/>
        <v>0</v>
      </c>
      <c r="AJ495" s="28">
        <f t="shared" si="295"/>
        <v>0</v>
      </c>
      <c r="AK495" s="17">
        <f t="shared" si="303"/>
        <v>0</v>
      </c>
      <c r="AL495" s="28">
        <f t="shared" si="296"/>
        <v>0</v>
      </c>
      <c r="AM495" s="17">
        <f t="shared" si="311"/>
        <v>0</v>
      </c>
      <c r="AN495" s="28">
        <f t="shared" si="278"/>
        <v>0</v>
      </c>
      <c r="AO495" s="17">
        <f t="shared" si="286"/>
        <v>0</v>
      </c>
      <c r="AP495" s="28">
        <f t="shared" si="287"/>
        <v>0</v>
      </c>
      <c r="AQ495" s="17">
        <f t="shared" si="288"/>
        <v>0</v>
      </c>
      <c r="AR495" s="28">
        <f t="shared" si="289"/>
        <v>0</v>
      </c>
      <c r="AS495" s="17">
        <f t="shared" si="307"/>
        <v>0</v>
      </c>
      <c r="AT495" s="28">
        <f t="shared" si="308"/>
        <v>0</v>
      </c>
      <c r="AU495" s="17">
        <f t="shared" si="309"/>
        <v>0</v>
      </c>
      <c r="AV495" s="28">
        <f t="shared" si="310"/>
        <v>0</v>
      </c>
      <c r="AW495" s="17">
        <f t="shared" si="297"/>
        <v>0</v>
      </c>
      <c r="AX495" s="28">
        <f t="shared" si="298"/>
        <v>0</v>
      </c>
      <c r="AY495" s="17">
        <f t="shared" si="299"/>
        <v>0</v>
      </c>
      <c r="AZ495" s="28">
        <f t="shared" si="300"/>
        <v>0</v>
      </c>
      <c r="BA495" s="27">
        <f t="shared" si="276"/>
        <v>0</v>
      </c>
      <c r="BB495" s="27">
        <f t="shared" si="302"/>
        <v>0</v>
      </c>
      <c r="BC495" s="27">
        <f t="shared" si="304"/>
        <v>0</v>
      </c>
      <c r="BD495" s="27">
        <f t="shared" si="305"/>
        <v>0</v>
      </c>
      <c r="BE495" s="27">
        <f t="shared" si="306"/>
        <v>0</v>
      </c>
      <c r="BF495" s="29">
        <f t="shared" si="277"/>
        <v>0</v>
      </c>
      <c r="BH495" s="30">
        <f t="shared" si="301"/>
        <v>0</v>
      </c>
      <c r="BM495" s="2">
        <f t="shared" si="290"/>
        <v>0</v>
      </c>
      <c r="BP495" s="2">
        <f t="shared" si="291"/>
        <v>0</v>
      </c>
    </row>
    <row r="496" spans="1:68" ht="14.45" hidden="1" customHeight="1" x14ac:dyDescent="0.25">
      <c r="A496" s="33" t="s">
        <v>512</v>
      </c>
      <c r="B496" s="23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13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5"/>
      <c r="AD496" s="39">
        <f t="shared" si="285"/>
        <v>0</v>
      </c>
      <c r="AE496" s="26" t="s">
        <v>42</v>
      </c>
      <c r="AF496" s="27"/>
      <c r="AG496" s="17">
        <f t="shared" si="292"/>
        <v>0</v>
      </c>
      <c r="AH496" s="28">
        <f t="shared" si="293"/>
        <v>0</v>
      </c>
      <c r="AI496" s="17">
        <f t="shared" si="294"/>
        <v>0</v>
      </c>
      <c r="AJ496" s="28">
        <f t="shared" si="295"/>
        <v>0</v>
      </c>
      <c r="AK496" s="17">
        <f t="shared" si="303"/>
        <v>0</v>
      </c>
      <c r="AL496" s="28">
        <f t="shared" si="296"/>
        <v>0</v>
      </c>
      <c r="AM496" s="17">
        <f t="shared" si="311"/>
        <v>0</v>
      </c>
      <c r="AN496" s="28">
        <f t="shared" si="278"/>
        <v>0</v>
      </c>
      <c r="AO496" s="17">
        <f t="shared" si="286"/>
        <v>0</v>
      </c>
      <c r="AP496" s="28">
        <f t="shared" si="287"/>
        <v>0</v>
      </c>
      <c r="AQ496" s="17">
        <f t="shared" si="288"/>
        <v>0</v>
      </c>
      <c r="AR496" s="28">
        <f t="shared" si="289"/>
        <v>0</v>
      </c>
      <c r="AS496" s="17">
        <f t="shared" si="307"/>
        <v>0</v>
      </c>
      <c r="AT496" s="28">
        <f t="shared" si="308"/>
        <v>0</v>
      </c>
      <c r="AU496" s="17">
        <f t="shared" si="309"/>
        <v>0</v>
      </c>
      <c r="AV496" s="28">
        <f t="shared" si="310"/>
        <v>0</v>
      </c>
      <c r="AW496" s="17">
        <f t="shared" si="297"/>
        <v>0</v>
      </c>
      <c r="AX496" s="28">
        <f t="shared" si="298"/>
        <v>0</v>
      </c>
      <c r="AY496" s="17">
        <f t="shared" si="299"/>
        <v>0</v>
      </c>
      <c r="AZ496" s="28">
        <f t="shared" si="300"/>
        <v>0</v>
      </c>
      <c r="BA496" s="27">
        <f t="shared" si="276"/>
        <v>0</v>
      </c>
      <c r="BB496" s="27">
        <f t="shared" si="302"/>
        <v>0</v>
      </c>
      <c r="BC496" s="27">
        <f t="shared" si="304"/>
        <v>0</v>
      </c>
      <c r="BD496" s="27">
        <f t="shared" si="305"/>
        <v>0</v>
      </c>
      <c r="BE496" s="27">
        <f t="shared" si="306"/>
        <v>0</v>
      </c>
      <c r="BF496" s="29">
        <f t="shared" si="277"/>
        <v>0</v>
      </c>
      <c r="BH496" s="30">
        <f t="shared" si="301"/>
        <v>0</v>
      </c>
      <c r="BM496" s="2">
        <f t="shared" si="290"/>
        <v>0</v>
      </c>
      <c r="BP496" s="2">
        <f t="shared" si="291"/>
        <v>0</v>
      </c>
    </row>
    <row r="497" spans="1:68" ht="14.45" hidden="1" customHeight="1" x14ac:dyDescent="0.25">
      <c r="A497" s="33" t="s">
        <v>513</v>
      </c>
      <c r="B497" s="23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13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5"/>
      <c r="AD497" s="39">
        <f t="shared" si="285"/>
        <v>0</v>
      </c>
      <c r="AE497" s="26" t="s">
        <v>42</v>
      </c>
      <c r="AF497" s="27"/>
      <c r="AG497" s="17">
        <f t="shared" si="292"/>
        <v>0</v>
      </c>
      <c r="AH497" s="28">
        <f t="shared" si="293"/>
        <v>0</v>
      </c>
      <c r="AI497" s="17">
        <f t="shared" si="294"/>
        <v>0</v>
      </c>
      <c r="AJ497" s="28">
        <f t="shared" si="295"/>
        <v>0</v>
      </c>
      <c r="AK497" s="17">
        <f t="shared" si="303"/>
        <v>0</v>
      </c>
      <c r="AL497" s="28">
        <f t="shared" si="296"/>
        <v>0</v>
      </c>
      <c r="AM497" s="17">
        <f t="shared" si="311"/>
        <v>0</v>
      </c>
      <c r="AN497" s="28">
        <f t="shared" ref="AN497:AN560" si="312">+AM497*AF497</f>
        <v>0</v>
      </c>
      <c r="AO497" s="17">
        <f t="shared" si="286"/>
        <v>0</v>
      </c>
      <c r="AP497" s="28">
        <f t="shared" si="287"/>
        <v>0</v>
      </c>
      <c r="AQ497" s="17">
        <f t="shared" si="288"/>
        <v>0</v>
      </c>
      <c r="AR497" s="28">
        <f t="shared" si="289"/>
        <v>0</v>
      </c>
      <c r="AS497" s="17">
        <f t="shared" si="307"/>
        <v>0</v>
      </c>
      <c r="AT497" s="28">
        <f t="shared" si="308"/>
        <v>0</v>
      </c>
      <c r="AU497" s="17">
        <f t="shared" si="309"/>
        <v>0</v>
      </c>
      <c r="AV497" s="28">
        <f t="shared" si="310"/>
        <v>0</v>
      </c>
      <c r="AW497" s="17">
        <f t="shared" si="297"/>
        <v>0</v>
      </c>
      <c r="AX497" s="28">
        <f t="shared" si="298"/>
        <v>0</v>
      </c>
      <c r="AY497" s="17">
        <f t="shared" si="299"/>
        <v>0</v>
      </c>
      <c r="AZ497" s="28">
        <f t="shared" si="300"/>
        <v>0</v>
      </c>
      <c r="BA497" s="27">
        <f t="shared" si="276"/>
        <v>0</v>
      </c>
      <c r="BB497" s="27">
        <f t="shared" si="302"/>
        <v>0</v>
      </c>
      <c r="BC497" s="27">
        <f t="shared" si="304"/>
        <v>0</v>
      </c>
      <c r="BD497" s="27">
        <f t="shared" si="305"/>
        <v>0</v>
      </c>
      <c r="BE497" s="27">
        <f t="shared" si="306"/>
        <v>0</v>
      </c>
      <c r="BF497" s="29">
        <f t="shared" si="277"/>
        <v>0</v>
      </c>
      <c r="BH497" s="30">
        <f t="shared" si="301"/>
        <v>0</v>
      </c>
      <c r="BM497" s="2">
        <f t="shared" si="290"/>
        <v>0</v>
      </c>
      <c r="BP497" s="2">
        <f t="shared" si="291"/>
        <v>0</v>
      </c>
    </row>
    <row r="498" spans="1:68" ht="14.45" hidden="1" customHeight="1" x14ac:dyDescent="0.25">
      <c r="A498" s="33" t="s">
        <v>514</v>
      </c>
      <c r="B498" s="23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13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5"/>
      <c r="AD498" s="39">
        <f t="shared" si="285"/>
        <v>0</v>
      </c>
      <c r="AE498" s="26" t="s">
        <v>42</v>
      </c>
      <c r="AF498" s="27"/>
      <c r="AG498" s="17">
        <f t="shared" si="292"/>
        <v>0</v>
      </c>
      <c r="AH498" s="28">
        <f t="shared" si="293"/>
        <v>0</v>
      </c>
      <c r="AI498" s="17">
        <f t="shared" si="294"/>
        <v>0</v>
      </c>
      <c r="AJ498" s="28">
        <f t="shared" si="295"/>
        <v>0</v>
      </c>
      <c r="AK498" s="17">
        <f t="shared" si="303"/>
        <v>0</v>
      </c>
      <c r="AL498" s="28">
        <f t="shared" si="296"/>
        <v>0</v>
      </c>
      <c r="AM498" s="17">
        <f t="shared" si="311"/>
        <v>0</v>
      </c>
      <c r="AN498" s="28">
        <f t="shared" si="312"/>
        <v>0</v>
      </c>
      <c r="AO498" s="17">
        <f t="shared" si="286"/>
        <v>0</v>
      </c>
      <c r="AP498" s="28">
        <f t="shared" si="287"/>
        <v>0</v>
      </c>
      <c r="AQ498" s="17">
        <f t="shared" si="288"/>
        <v>0</v>
      </c>
      <c r="AR498" s="28">
        <f t="shared" si="289"/>
        <v>0</v>
      </c>
      <c r="AS498" s="17">
        <f t="shared" si="307"/>
        <v>0</v>
      </c>
      <c r="AT498" s="28">
        <f t="shared" si="308"/>
        <v>0</v>
      </c>
      <c r="AU498" s="17">
        <f t="shared" si="309"/>
        <v>0</v>
      </c>
      <c r="AV498" s="28">
        <f t="shared" si="310"/>
        <v>0</v>
      </c>
      <c r="AW498" s="17">
        <f t="shared" si="297"/>
        <v>0</v>
      </c>
      <c r="AX498" s="28">
        <f t="shared" si="298"/>
        <v>0</v>
      </c>
      <c r="AY498" s="17">
        <f t="shared" si="299"/>
        <v>0</v>
      </c>
      <c r="AZ498" s="28">
        <f t="shared" si="300"/>
        <v>0</v>
      </c>
      <c r="BA498" s="27">
        <f t="shared" si="276"/>
        <v>0</v>
      </c>
      <c r="BB498" s="27">
        <f t="shared" si="302"/>
        <v>0</v>
      </c>
      <c r="BC498" s="27">
        <f t="shared" si="304"/>
        <v>0</v>
      </c>
      <c r="BD498" s="27">
        <f t="shared" si="305"/>
        <v>0</v>
      </c>
      <c r="BE498" s="27">
        <f t="shared" si="306"/>
        <v>0</v>
      </c>
      <c r="BF498" s="29">
        <f t="shared" si="277"/>
        <v>0</v>
      </c>
      <c r="BH498" s="30">
        <f t="shared" si="301"/>
        <v>0</v>
      </c>
      <c r="BM498" s="2">
        <f t="shared" si="290"/>
        <v>0</v>
      </c>
      <c r="BP498" s="2">
        <f t="shared" si="291"/>
        <v>0</v>
      </c>
    </row>
    <row r="499" spans="1:68" ht="14.45" hidden="1" customHeight="1" x14ac:dyDescent="0.25">
      <c r="A499" s="33" t="s">
        <v>515</v>
      </c>
      <c r="B499" s="23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13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5"/>
      <c r="AD499" s="39">
        <f t="shared" si="285"/>
        <v>0</v>
      </c>
      <c r="AE499" s="26" t="s">
        <v>42</v>
      </c>
      <c r="AF499" s="27"/>
      <c r="AG499" s="17">
        <f t="shared" si="292"/>
        <v>0</v>
      </c>
      <c r="AH499" s="28">
        <f t="shared" si="293"/>
        <v>0</v>
      </c>
      <c r="AI499" s="17">
        <f t="shared" si="294"/>
        <v>0</v>
      </c>
      <c r="AJ499" s="28">
        <f t="shared" si="295"/>
        <v>0</v>
      </c>
      <c r="AK499" s="17">
        <f t="shared" si="303"/>
        <v>0</v>
      </c>
      <c r="AL499" s="28">
        <f t="shared" si="296"/>
        <v>0</v>
      </c>
      <c r="AM499" s="17">
        <f t="shared" si="311"/>
        <v>0</v>
      </c>
      <c r="AN499" s="28">
        <f t="shared" si="312"/>
        <v>0</v>
      </c>
      <c r="AO499" s="17">
        <f t="shared" si="286"/>
        <v>0</v>
      </c>
      <c r="AP499" s="28">
        <f t="shared" si="287"/>
        <v>0</v>
      </c>
      <c r="AQ499" s="17">
        <f t="shared" si="288"/>
        <v>0</v>
      </c>
      <c r="AR499" s="28">
        <f t="shared" si="289"/>
        <v>0</v>
      </c>
      <c r="AS499" s="17">
        <f t="shared" si="307"/>
        <v>0</v>
      </c>
      <c r="AT499" s="28">
        <f t="shared" si="308"/>
        <v>0</v>
      </c>
      <c r="AU499" s="17">
        <f t="shared" si="309"/>
        <v>0</v>
      </c>
      <c r="AV499" s="28">
        <f t="shared" si="310"/>
        <v>0</v>
      </c>
      <c r="AW499" s="17">
        <f t="shared" si="297"/>
        <v>0</v>
      </c>
      <c r="AX499" s="28">
        <f t="shared" si="298"/>
        <v>0</v>
      </c>
      <c r="AY499" s="17">
        <f t="shared" si="299"/>
        <v>0</v>
      </c>
      <c r="AZ499" s="28">
        <f t="shared" si="300"/>
        <v>0</v>
      </c>
      <c r="BA499" s="27">
        <f t="shared" ref="BA499:BA570" si="313">+AH499+AJ499</f>
        <v>0</v>
      </c>
      <c r="BB499" s="27">
        <f t="shared" si="302"/>
        <v>0</v>
      </c>
      <c r="BC499" s="27">
        <f t="shared" si="304"/>
        <v>0</v>
      </c>
      <c r="BD499" s="27">
        <f t="shared" si="305"/>
        <v>0</v>
      </c>
      <c r="BE499" s="27">
        <f t="shared" si="306"/>
        <v>0</v>
      </c>
      <c r="BF499" s="29">
        <f t="shared" si="277"/>
        <v>0</v>
      </c>
      <c r="BH499" s="30">
        <f t="shared" si="301"/>
        <v>0</v>
      </c>
      <c r="BM499" s="2">
        <f t="shared" si="290"/>
        <v>0</v>
      </c>
      <c r="BP499" s="2">
        <f t="shared" si="291"/>
        <v>0</v>
      </c>
    </row>
    <row r="500" spans="1:68" ht="14.45" hidden="1" customHeight="1" x14ac:dyDescent="0.25">
      <c r="A500" s="33" t="s">
        <v>516</v>
      </c>
      <c r="B500" s="23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13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5"/>
      <c r="AD500" s="39">
        <f t="shared" si="285"/>
        <v>0</v>
      </c>
      <c r="AE500" s="26" t="s">
        <v>42</v>
      </c>
      <c r="AF500" s="27"/>
      <c r="AG500" s="17">
        <f t="shared" si="292"/>
        <v>0</v>
      </c>
      <c r="AH500" s="28">
        <f t="shared" si="293"/>
        <v>0</v>
      </c>
      <c r="AI500" s="17">
        <f t="shared" si="294"/>
        <v>0</v>
      </c>
      <c r="AJ500" s="28">
        <f t="shared" si="295"/>
        <v>0</v>
      </c>
      <c r="AK500" s="17">
        <f t="shared" si="303"/>
        <v>0</v>
      </c>
      <c r="AL500" s="28">
        <f t="shared" si="296"/>
        <v>0</v>
      </c>
      <c r="AM500" s="17">
        <f t="shared" si="311"/>
        <v>0</v>
      </c>
      <c r="AN500" s="28">
        <f t="shared" si="312"/>
        <v>0</v>
      </c>
      <c r="AO500" s="17">
        <f t="shared" si="286"/>
        <v>0</v>
      </c>
      <c r="AP500" s="28">
        <f t="shared" si="287"/>
        <v>0</v>
      </c>
      <c r="AQ500" s="17">
        <f t="shared" si="288"/>
        <v>0</v>
      </c>
      <c r="AR500" s="28">
        <f t="shared" si="289"/>
        <v>0</v>
      </c>
      <c r="AS500" s="17">
        <f t="shared" si="307"/>
        <v>0</v>
      </c>
      <c r="AT500" s="28">
        <f t="shared" si="308"/>
        <v>0</v>
      </c>
      <c r="AU500" s="17">
        <f t="shared" si="309"/>
        <v>0</v>
      </c>
      <c r="AV500" s="28">
        <f t="shared" si="310"/>
        <v>0</v>
      </c>
      <c r="AW500" s="17">
        <f t="shared" si="297"/>
        <v>0</v>
      </c>
      <c r="AX500" s="28">
        <f t="shared" si="298"/>
        <v>0</v>
      </c>
      <c r="AY500" s="17">
        <f t="shared" si="299"/>
        <v>0</v>
      </c>
      <c r="AZ500" s="28">
        <f t="shared" si="300"/>
        <v>0</v>
      </c>
      <c r="BA500" s="27">
        <f t="shared" si="313"/>
        <v>0</v>
      </c>
      <c r="BB500" s="27">
        <f t="shared" si="302"/>
        <v>0</v>
      </c>
      <c r="BC500" s="27">
        <f t="shared" si="304"/>
        <v>0</v>
      </c>
      <c r="BD500" s="27">
        <f t="shared" si="305"/>
        <v>0</v>
      </c>
      <c r="BE500" s="27">
        <f t="shared" si="306"/>
        <v>0</v>
      </c>
      <c r="BF500" s="29">
        <f t="shared" ref="BF500:BF563" si="314">+BB500+BA500*5%+BD500*30%</f>
        <v>0</v>
      </c>
      <c r="BH500" s="30">
        <f t="shared" si="301"/>
        <v>0</v>
      </c>
      <c r="BM500" s="2">
        <f t="shared" si="290"/>
        <v>0</v>
      </c>
      <c r="BP500" s="2">
        <f t="shared" si="291"/>
        <v>0</v>
      </c>
    </row>
    <row r="501" spans="1:68" ht="14.45" hidden="1" customHeight="1" x14ac:dyDescent="0.25">
      <c r="A501" s="33" t="s">
        <v>517</v>
      </c>
      <c r="B501" s="23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13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5"/>
      <c r="AD501" s="39">
        <f t="shared" si="285"/>
        <v>0</v>
      </c>
      <c r="AE501" s="26" t="s">
        <v>42</v>
      </c>
      <c r="AF501" s="27"/>
      <c r="AG501" s="17">
        <f t="shared" si="292"/>
        <v>0</v>
      </c>
      <c r="AH501" s="28">
        <f t="shared" si="293"/>
        <v>0</v>
      </c>
      <c r="AI501" s="17">
        <f t="shared" si="294"/>
        <v>0</v>
      </c>
      <c r="AJ501" s="28">
        <f t="shared" si="295"/>
        <v>0</v>
      </c>
      <c r="AK501" s="17">
        <f t="shared" si="303"/>
        <v>0</v>
      </c>
      <c r="AL501" s="28">
        <f t="shared" si="296"/>
        <v>0</v>
      </c>
      <c r="AM501" s="17">
        <f t="shared" si="311"/>
        <v>0</v>
      </c>
      <c r="AN501" s="28">
        <f t="shared" si="312"/>
        <v>0</v>
      </c>
      <c r="AO501" s="17">
        <f t="shared" si="286"/>
        <v>0</v>
      </c>
      <c r="AP501" s="28">
        <f t="shared" si="287"/>
        <v>0</v>
      </c>
      <c r="AQ501" s="17">
        <f t="shared" si="288"/>
        <v>0</v>
      </c>
      <c r="AR501" s="28">
        <f t="shared" si="289"/>
        <v>0</v>
      </c>
      <c r="AS501" s="17">
        <f t="shared" si="307"/>
        <v>0</v>
      </c>
      <c r="AT501" s="28">
        <f t="shared" si="308"/>
        <v>0</v>
      </c>
      <c r="AU501" s="17">
        <f t="shared" si="309"/>
        <v>0</v>
      </c>
      <c r="AV501" s="28">
        <f t="shared" si="310"/>
        <v>0</v>
      </c>
      <c r="AW501" s="17">
        <f t="shared" si="297"/>
        <v>0</v>
      </c>
      <c r="AX501" s="28">
        <f t="shared" si="298"/>
        <v>0</v>
      </c>
      <c r="AY501" s="17">
        <f t="shared" si="299"/>
        <v>0</v>
      </c>
      <c r="AZ501" s="28">
        <f t="shared" si="300"/>
        <v>0</v>
      </c>
      <c r="BA501" s="27">
        <f t="shared" si="313"/>
        <v>0</v>
      </c>
      <c r="BB501" s="27">
        <f t="shared" si="302"/>
        <v>0</v>
      </c>
      <c r="BC501" s="27">
        <f t="shared" si="304"/>
        <v>0</v>
      </c>
      <c r="BD501" s="27">
        <f t="shared" si="305"/>
        <v>0</v>
      </c>
      <c r="BE501" s="27">
        <f t="shared" si="306"/>
        <v>0</v>
      </c>
      <c r="BF501" s="29">
        <f t="shared" si="314"/>
        <v>0</v>
      </c>
      <c r="BH501" s="30">
        <f t="shared" si="301"/>
        <v>0</v>
      </c>
      <c r="BM501" s="2">
        <f t="shared" si="290"/>
        <v>0</v>
      </c>
      <c r="BP501" s="2">
        <f t="shared" si="291"/>
        <v>0</v>
      </c>
    </row>
    <row r="502" spans="1:68" ht="14.45" hidden="1" customHeight="1" x14ac:dyDescent="0.25">
      <c r="A502" s="33" t="s">
        <v>518</v>
      </c>
      <c r="B502" s="23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13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5"/>
      <c r="AD502" s="39">
        <f t="shared" si="285"/>
        <v>0</v>
      </c>
      <c r="AE502" s="26" t="s">
        <v>42</v>
      </c>
      <c r="AF502" s="27"/>
      <c r="AG502" s="17">
        <f t="shared" si="292"/>
        <v>0</v>
      </c>
      <c r="AH502" s="28">
        <f t="shared" si="293"/>
        <v>0</v>
      </c>
      <c r="AI502" s="17">
        <f t="shared" si="294"/>
        <v>0</v>
      </c>
      <c r="AJ502" s="28">
        <f t="shared" si="295"/>
        <v>0</v>
      </c>
      <c r="AK502" s="17">
        <f t="shared" si="303"/>
        <v>0</v>
      </c>
      <c r="AL502" s="28">
        <f t="shared" si="296"/>
        <v>0</v>
      </c>
      <c r="AM502" s="17">
        <f t="shared" si="311"/>
        <v>0</v>
      </c>
      <c r="AN502" s="28">
        <f t="shared" si="312"/>
        <v>0</v>
      </c>
      <c r="AO502" s="17">
        <f t="shared" si="286"/>
        <v>0</v>
      </c>
      <c r="AP502" s="28">
        <f t="shared" si="287"/>
        <v>0</v>
      </c>
      <c r="AQ502" s="17">
        <f t="shared" si="288"/>
        <v>0</v>
      </c>
      <c r="AR502" s="28">
        <f t="shared" si="289"/>
        <v>0</v>
      </c>
      <c r="AS502" s="17">
        <f t="shared" si="307"/>
        <v>0</v>
      </c>
      <c r="AT502" s="28">
        <f t="shared" si="308"/>
        <v>0</v>
      </c>
      <c r="AU502" s="17">
        <f t="shared" si="309"/>
        <v>0</v>
      </c>
      <c r="AV502" s="28">
        <f t="shared" si="310"/>
        <v>0</v>
      </c>
      <c r="AW502" s="17">
        <f t="shared" si="297"/>
        <v>0</v>
      </c>
      <c r="AX502" s="28">
        <f t="shared" si="298"/>
        <v>0</v>
      </c>
      <c r="AY502" s="17">
        <f t="shared" si="299"/>
        <v>0</v>
      </c>
      <c r="AZ502" s="28">
        <f t="shared" si="300"/>
        <v>0</v>
      </c>
      <c r="BA502" s="27">
        <f t="shared" si="313"/>
        <v>0</v>
      </c>
      <c r="BB502" s="27">
        <f t="shared" si="302"/>
        <v>0</v>
      </c>
      <c r="BC502" s="27">
        <f t="shared" si="304"/>
        <v>0</v>
      </c>
      <c r="BD502" s="27">
        <f t="shared" si="305"/>
        <v>0</v>
      </c>
      <c r="BE502" s="27">
        <f t="shared" si="306"/>
        <v>0</v>
      </c>
      <c r="BF502" s="29">
        <f t="shared" si="314"/>
        <v>0</v>
      </c>
      <c r="BH502" s="30">
        <f t="shared" si="301"/>
        <v>0</v>
      </c>
      <c r="BM502" s="2">
        <f t="shared" si="290"/>
        <v>0</v>
      </c>
      <c r="BP502" s="2">
        <f t="shared" si="291"/>
        <v>0</v>
      </c>
    </row>
    <row r="503" spans="1:68" ht="14.45" hidden="1" customHeight="1" x14ac:dyDescent="0.25">
      <c r="A503" s="33" t="s">
        <v>519</v>
      </c>
      <c r="B503" s="23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13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5"/>
      <c r="AD503" s="39">
        <f t="shared" si="285"/>
        <v>0</v>
      </c>
      <c r="AE503" s="26" t="s">
        <v>42</v>
      </c>
      <c r="AF503" s="27"/>
      <c r="AG503" s="17">
        <f t="shared" si="292"/>
        <v>0</v>
      </c>
      <c r="AH503" s="28">
        <f t="shared" si="293"/>
        <v>0</v>
      </c>
      <c r="AI503" s="17">
        <f t="shared" si="294"/>
        <v>0</v>
      </c>
      <c r="AJ503" s="28">
        <f t="shared" si="295"/>
        <v>0</v>
      </c>
      <c r="AK503" s="17">
        <f t="shared" si="303"/>
        <v>0</v>
      </c>
      <c r="AL503" s="28">
        <f t="shared" si="296"/>
        <v>0</v>
      </c>
      <c r="AM503" s="17">
        <f t="shared" si="311"/>
        <v>0</v>
      </c>
      <c r="AN503" s="28">
        <f t="shared" si="312"/>
        <v>0</v>
      </c>
      <c r="AO503" s="17">
        <f t="shared" si="286"/>
        <v>0</v>
      </c>
      <c r="AP503" s="28">
        <f t="shared" si="287"/>
        <v>0</v>
      </c>
      <c r="AQ503" s="17">
        <f t="shared" si="288"/>
        <v>0</v>
      </c>
      <c r="AR503" s="28">
        <f t="shared" si="289"/>
        <v>0</v>
      </c>
      <c r="AS503" s="17">
        <f t="shared" si="307"/>
        <v>0</v>
      </c>
      <c r="AT503" s="28">
        <f t="shared" si="308"/>
        <v>0</v>
      </c>
      <c r="AU503" s="17">
        <f t="shared" si="309"/>
        <v>0</v>
      </c>
      <c r="AV503" s="28">
        <f t="shared" si="310"/>
        <v>0</v>
      </c>
      <c r="AW503" s="17">
        <f t="shared" si="297"/>
        <v>0</v>
      </c>
      <c r="AX503" s="28">
        <f t="shared" si="298"/>
        <v>0</v>
      </c>
      <c r="AY503" s="17">
        <f t="shared" si="299"/>
        <v>0</v>
      </c>
      <c r="AZ503" s="28">
        <f t="shared" si="300"/>
        <v>0</v>
      </c>
      <c r="BA503" s="27">
        <f t="shared" si="313"/>
        <v>0</v>
      </c>
      <c r="BB503" s="27">
        <f t="shared" si="302"/>
        <v>0</v>
      </c>
      <c r="BC503" s="27">
        <f t="shared" si="304"/>
        <v>0</v>
      </c>
      <c r="BD503" s="27">
        <f t="shared" si="305"/>
        <v>0</v>
      </c>
      <c r="BE503" s="27">
        <f t="shared" si="306"/>
        <v>0</v>
      </c>
      <c r="BF503" s="29">
        <f t="shared" si="314"/>
        <v>0</v>
      </c>
      <c r="BH503" s="30">
        <f t="shared" si="301"/>
        <v>0</v>
      </c>
      <c r="BM503" s="2">
        <f t="shared" si="290"/>
        <v>0</v>
      </c>
      <c r="BP503" s="2">
        <f t="shared" si="291"/>
        <v>0</v>
      </c>
    </row>
    <row r="504" spans="1:68" ht="14.45" hidden="1" customHeight="1" x14ac:dyDescent="0.25">
      <c r="A504" s="33" t="s">
        <v>520</v>
      </c>
      <c r="B504" s="23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13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5"/>
      <c r="AD504" s="39">
        <f t="shared" si="285"/>
        <v>0</v>
      </c>
      <c r="AE504" s="26" t="s">
        <v>42</v>
      </c>
      <c r="AF504" s="27"/>
      <c r="AG504" s="17">
        <f t="shared" si="292"/>
        <v>0</v>
      </c>
      <c r="AH504" s="28">
        <f t="shared" si="293"/>
        <v>0</v>
      </c>
      <c r="AI504" s="17">
        <f t="shared" si="294"/>
        <v>0</v>
      </c>
      <c r="AJ504" s="28">
        <f t="shared" si="295"/>
        <v>0</v>
      </c>
      <c r="AK504" s="17">
        <f t="shared" si="303"/>
        <v>0</v>
      </c>
      <c r="AL504" s="28">
        <f t="shared" si="296"/>
        <v>0</v>
      </c>
      <c r="AM504" s="17">
        <f t="shared" si="311"/>
        <v>0</v>
      </c>
      <c r="AN504" s="28">
        <f t="shared" si="312"/>
        <v>0</v>
      </c>
      <c r="AO504" s="17">
        <f t="shared" si="286"/>
        <v>0</v>
      </c>
      <c r="AP504" s="28">
        <f t="shared" si="287"/>
        <v>0</v>
      </c>
      <c r="AQ504" s="17">
        <f t="shared" si="288"/>
        <v>0</v>
      </c>
      <c r="AR504" s="28">
        <f t="shared" si="289"/>
        <v>0</v>
      </c>
      <c r="AS504" s="17">
        <f t="shared" si="307"/>
        <v>0</v>
      </c>
      <c r="AT504" s="28">
        <f t="shared" si="308"/>
        <v>0</v>
      </c>
      <c r="AU504" s="17">
        <f t="shared" si="309"/>
        <v>0</v>
      </c>
      <c r="AV504" s="28">
        <f t="shared" si="310"/>
        <v>0</v>
      </c>
      <c r="AW504" s="17">
        <f t="shared" si="297"/>
        <v>0</v>
      </c>
      <c r="AX504" s="28">
        <f t="shared" si="298"/>
        <v>0</v>
      </c>
      <c r="AY504" s="17">
        <f t="shared" si="299"/>
        <v>0</v>
      </c>
      <c r="AZ504" s="28">
        <f t="shared" si="300"/>
        <v>0</v>
      </c>
      <c r="BA504" s="27">
        <f t="shared" si="313"/>
        <v>0</v>
      </c>
      <c r="BB504" s="27">
        <f t="shared" si="302"/>
        <v>0</v>
      </c>
      <c r="BC504" s="27">
        <f t="shared" si="304"/>
        <v>0</v>
      </c>
      <c r="BD504" s="27">
        <f t="shared" si="305"/>
        <v>0</v>
      </c>
      <c r="BE504" s="27">
        <f t="shared" si="306"/>
        <v>0</v>
      </c>
      <c r="BF504" s="29">
        <f t="shared" si="314"/>
        <v>0</v>
      </c>
      <c r="BH504" s="30">
        <f t="shared" si="301"/>
        <v>0</v>
      </c>
      <c r="BM504" s="2">
        <f t="shared" si="290"/>
        <v>0</v>
      </c>
      <c r="BP504" s="2">
        <f t="shared" si="291"/>
        <v>0</v>
      </c>
    </row>
    <row r="505" spans="1:68" ht="14.45" hidden="1" customHeight="1" x14ac:dyDescent="0.25">
      <c r="A505" s="33" t="s">
        <v>521</v>
      </c>
      <c r="B505" s="23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13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5"/>
      <c r="AD505" s="39">
        <f t="shared" si="285"/>
        <v>0</v>
      </c>
      <c r="AE505" s="26" t="s">
        <v>42</v>
      </c>
      <c r="AF505" s="27"/>
      <c r="AG505" s="17">
        <f t="shared" si="292"/>
        <v>0</v>
      </c>
      <c r="AH505" s="28">
        <f t="shared" si="293"/>
        <v>0</v>
      </c>
      <c r="AI505" s="17">
        <f t="shared" si="294"/>
        <v>0</v>
      </c>
      <c r="AJ505" s="28">
        <f t="shared" si="295"/>
        <v>0</v>
      </c>
      <c r="AK505" s="17">
        <f t="shared" si="303"/>
        <v>0</v>
      </c>
      <c r="AL505" s="28">
        <f t="shared" si="296"/>
        <v>0</v>
      </c>
      <c r="AM505" s="17">
        <f t="shared" si="311"/>
        <v>0</v>
      </c>
      <c r="AN505" s="28">
        <f t="shared" si="312"/>
        <v>0</v>
      </c>
      <c r="AO505" s="17">
        <f t="shared" si="286"/>
        <v>0</v>
      </c>
      <c r="AP505" s="28">
        <f t="shared" si="287"/>
        <v>0</v>
      </c>
      <c r="AQ505" s="17">
        <f t="shared" si="288"/>
        <v>0</v>
      </c>
      <c r="AR505" s="28">
        <f t="shared" si="289"/>
        <v>0</v>
      </c>
      <c r="AS505" s="17">
        <f t="shared" si="307"/>
        <v>0</v>
      </c>
      <c r="AT505" s="28">
        <f t="shared" si="308"/>
        <v>0</v>
      </c>
      <c r="AU505" s="17">
        <f t="shared" si="309"/>
        <v>0</v>
      </c>
      <c r="AV505" s="28">
        <f t="shared" si="310"/>
        <v>0</v>
      </c>
      <c r="AW505" s="17">
        <f t="shared" si="297"/>
        <v>0</v>
      </c>
      <c r="AX505" s="28">
        <f t="shared" si="298"/>
        <v>0</v>
      </c>
      <c r="AY505" s="17">
        <f t="shared" si="299"/>
        <v>0</v>
      </c>
      <c r="AZ505" s="28">
        <f t="shared" si="300"/>
        <v>0</v>
      </c>
      <c r="BA505" s="27">
        <f t="shared" si="313"/>
        <v>0</v>
      </c>
      <c r="BB505" s="27">
        <f t="shared" si="302"/>
        <v>0</v>
      </c>
      <c r="BC505" s="27">
        <f t="shared" si="304"/>
        <v>0</v>
      </c>
      <c r="BD505" s="27">
        <f t="shared" si="305"/>
        <v>0</v>
      </c>
      <c r="BE505" s="27">
        <f t="shared" si="306"/>
        <v>0</v>
      </c>
      <c r="BF505" s="29">
        <f t="shared" si="314"/>
        <v>0</v>
      </c>
      <c r="BH505" s="30">
        <f t="shared" si="301"/>
        <v>0</v>
      </c>
      <c r="BM505" s="2">
        <f t="shared" si="290"/>
        <v>0</v>
      </c>
      <c r="BP505" s="2">
        <f t="shared" si="291"/>
        <v>0</v>
      </c>
    </row>
    <row r="506" spans="1:68" ht="14.45" hidden="1" customHeight="1" x14ac:dyDescent="0.25">
      <c r="A506" s="33" t="s">
        <v>522</v>
      </c>
      <c r="B506" s="23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13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5"/>
      <c r="AD506" s="39">
        <f t="shared" si="285"/>
        <v>0</v>
      </c>
      <c r="AE506" s="26" t="s">
        <v>42</v>
      </c>
      <c r="AF506" s="27"/>
      <c r="AG506" s="17">
        <f t="shared" si="292"/>
        <v>0</v>
      </c>
      <c r="AH506" s="28">
        <f t="shared" si="293"/>
        <v>0</v>
      </c>
      <c r="AI506" s="17">
        <f t="shared" si="294"/>
        <v>0</v>
      </c>
      <c r="AJ506" s="28">
        <f t="shared" si="295"/>
        <v>0</v>
      </c>
      <c r="AK506" s="17">
        <f t="shared" si="303"/>
        <v>0</v>
      </c>
      <c r="AL506" s="28">
        <f t="shared" si="296"/>
        <v>0</v>
      </c>
      <c r="AM506" s="17">
        <f t="shared" si="311"/>
        <v>0</v>
      </c>
      <c r="AN506" s="28">
        <f t="shared" si="312"/>
        <v>0</v>
      </c>
      <c r="AO506" s="17">
        <f t="shared" si="286"/>
        <v>0</v>
      </c>
      <c r="AP506" s="28">
        <f t="shared" si="287"/>
        <v>0</v>
      </c>
      <c r="AQ506" s="17">
        <f t="shared" si="288"/>
        <v>0</v>
      </c>
      <c r="AR506" s="28">
        <f t="shared" si="289"/>
        <v>0</v>
      </c>
      <c r="AS506" s="17">
        <f t="shared" si="307"/>
        <v>0</v>
      </c>
      <c r="AT506" s="28">
        <f t="shared" si="308"/>
        <v>0</v>
      </c>
      <c r="AU506" s="17">
        <f t="shared" si="309"/>
        <v>0</v>
      </c>
      <c r="AV506" s="28">
        <f t="shared" si="310"/>
        <v>0</v>
      </c>
      <c r="AW506" s="17">
        <f t="shared" si="297"/>
        <v>0</v>
      </c>
      <c r="AX506" s="28">
        <f t="shared" si="298"/>
        <v>0</v>
      </c>
      <c r="AY506" s="17">
        <f t="shared" si="299"/>
        <v>0</v>
      </c>
      <c r="AZ506" s="28">
        <f t="shared" si="300"/>
        <v>0</v>
      </c>
      <c r="BA506" s="27">
        <f t="shared" si="313"/>
        <v>0</v>
      </c>
      <c r="BB506" s="27">
        <f t="shared" si="302"/>
        <v>0</v>
      </c>
      <c r="BC506" s="27">
        <f t="shared" si="304"/>
        <v>0</v>
      </c>
      <c r="BD506" s="27">
        <f t="shared" si="305"/>
        <v>0</v>
      </c>
      <c r="BE506" s="27">
        <f t="shared" si="306"/>
        <v>0</v>
      </c>
      <c r="BF506" s="29">
        <f t="shared" si="314"/>
        <v>0</v>
      </c>
      <c r="BH506" s="30">
        <f t="shared" si="301"/>
        <v>0</v>
      </c>
      <c r="BM506" s="2">
        <f t="shared" si="290"/>
        <v>0</v>
      </c>
      <c r="BP506" s="2">
        <f t="shared" si="291"/>
        <v>0</v>
      </c>
    </row>
    <row r="507" spans="1:68" ht="14.45" hidden="1" customHeight="1" x14ac:dyDescent="0.25">
      <c r="A507" s="33" t="s">
        <v>523</v>
      </c>
      <c r="B507" s="23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13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5"/>
      <c r="AD507" s="39">
        <f t="shared" si="285"/>
        <v>0</v>
      </c>
      <c r="AE507" s="26" t="s">
        <v>42</v>
      </c>
      <c r="AF507" s="27"/>
      <c r="AG507" s="17">
        <f t="shared" si="292"/>
        <v>0</v>
      </c>
      <c r="AH507" s="28">
        <f t="shared" si="293"/>
        <v>0</v>
      </c>
      <c r="AI507" s="17">
        <f t="shared" si="294"/>
        <v>0</v>
      </c>
      <c r="AJ507" s="28">
        <f t="shared" si="295"/>
        <v>0</v>
      </c>
      <c r="AK507" s="17">
        <f t="shared" si="303"/>
        <v>0</v>
      </c>
      <c r="AL507" s="28">
        <f t="shared" si="296"/>
        <v>0</v>
      </c>
      <c r="AM507" s="17">
        <f t="shared" si="311"/>
        <v>0</v>
      </c>
      <c r="AN507" s="28">
        <f t="shared" si="312"/>
        <v>0</v>
      </c>
      <c r="AO507" s="17">
        <f t="shared" si="286"/>
        <v>0</v>
      </c>
      <c r="AP507" s="28">
        <f t="shared" si="287"/>
        <v>0</v>
      </c>
      <c r="AQ507" s="17">
        <f t="shared" si="288"/>
        <v>0</v>
      </c>
      <c r="AR507" s="28">
        <f t="shared" si="289"/>
        <v>0</v>
      </c>
      <c r="AS507" s="17">
        <f t="shared" si="307"/>
        <v>0</v>
      </c>
      <c r="AT507" s="28">
        <f t="shared" si="308"/>
        <v>0</v>
      </c>
      <c r="AU507" s="17">
        <f t="shared" si="309"/>
        <v>0</v>
      </c>
      <c r="AV507" s="28">
        <f t="shared" si="310"/>
        <v>0</v>
      </c>
      <c r="AW507" s="17">
        <f t="shared" si="297"/>
        <v>0</v>
      </c>
      <c r="AX507" s="28">
        <f t="shared" si="298"/>
        <v>0</v>
      </c>
      <c r="AY507" s="17">
        <f t="shared" si="299"/>
        <v>0</v>
      </c>
      <c r="AZ507" s="28">
        <f t="shared" si="300"/>
        <v>0</v>
      </c>
      <c r="BA507" s="27">
        <f t="shared" si="313"/>
        <v>0</v>
      </c>
      <c r="BB507" s="27">
        <f t="shared" si="302"/>
        <v>0</v>
      </c>
      <c r="BC507" s="27">
        <f t="shared" si="304"/>
        <v>0</v>
      </c>
      <c r="BD507" s="27">
        <f t="shared" si="305"/>
        <v>0</v>
      </c>
      <c r="BE507" s="27">
        <f t="shared" si="306"/>
        <v>0</v>
      </c>
      <c r="BF507" s="29">
        <f t="shared" si="314"/>
        <v>0</v>
      </c>
      <c r="BH507" s="30">
        <f t="shared" si="301"/>
        <v>0</v>
      </c>
      <c r="BM507" s="2">
        <f t="shared" si="290"/>
        <v>0</v>
      </c>
      <c r="BP507" s="2">
        <f t="shared" si="291"/>
        <v>0</v>
      </c>
    </row>
    <row r="508" spans="1:68" ht="14.45" hidden="1" customHeight="1" x14ac:dyDescent="0.25">
      <c r="A508" s="33" t="s">
        <v>524</v>
      </c>
      <c r="B508" s="23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13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5"/>
      <c r="AD508" s="39">
        <f t="shared" ref="AD508:AD521" si="315">SUM(B508:AB508)</f>
        <v>0</v>
      </c>
      <c r="AE508" s="26" t="s">
        <v>42</v>
      </c>
      <c r="AF508" s="27"/>
      <c r="AG508" s="17">
        <f t="shared" si="292"/>
        <v>0</v>
      </c>
      <c r="AH508" s="28">
        <f t="shared" si="293"/>
        <v>0</v>
      </c>
      <c r="AI508" s="17">
        <f t="shared" si="294"/>
        <v>0</v>
      </c>
      <c r="AJ508" s="28">
        <f t="shared" si="295"/>
        <v>0</v>
      </c>
      <c r="AK508" s="17">
        <f t="shared" si="303"/>
        <v>0</v>
      </c>
      <c r="AL508" s="28">
        <f t="shared" si="296"/>
        <v>0</v>
      </c>
      <c r="AM508" s="17">
        <f t="shared" si="311"/>
        <v>0</v>
      </c>
      <c r="AN508" s="28">
        <f t="shared" si="312"/>
        <v>0</v>
      </c>
      <c r="AO508" s="17">
        <f t="shared" si="286"/>
        <v>0</v>
      </c>
      <c r="AP508" s="28">
        <f t="shared" si="287"/>
        <v>0</v>
      </c>
      <c r="AQ508" s="17">
        <f t="shared" si="288"/>
        <v>0</v>
      </c>
      <c r="AR508" s="28">
        <f t="shared" si="289"/>
        <v>0</v>
      </c>
      <c r="AS508" s="17">
        <f t="shared" si="307"/>
        <v>0</v>
      </c>
      <c r="AT508" s="28">
        <f t="shared" si="308"/>
        <v>0</v>
      </c>
      <c r="AU508" s="17">
        <f t="shared" si="309"/>
        <v>0</v>
      </c>
      <c r="AV508" s="28">
        <f t="shared" si="310"/>
        <v>0</v>
      </c>
      <c r="AW508" s="17">
        <f t="shared" si="297"/>
        <v>0</v>
      </c>
      <c r="AX508" s="28">
        <f t="shared" si="298"/>
        <v>0</v>
      </c>
      <c r="AY508" s="17">
        <f t="shared" si="299"/>
        <v>0</v>
      </c>
      <c r="AZ508" s="28">
        <f t="shared" si="300"/>
        <v>0</v>
      </c>
      <c r="BA508" s="27">
        <f t="shared" si="313"/>
        <v>0</v>
      </c>
      <c r="BB508" s="27">
        <f t="shared" si="302"/>
        <v>0</v>
      </c>
      <c r="BC508" s="27">
        <f t="shared" si="304"/>
        <v>0</v>
      </c>
      <c r="BD508" s="27">
        <f t="shared" si="305"/>
        <v>0</v>
      </c>
      <c r="BE508" s="27">
        <f t="shared" si="306"/>
        <v>0</v>
      </c>
      <c r="BF508" s="29">
        <f t="shared" si="314"/>
        <v>0</v>
      </c>
      <c r="BH508" s="30">
        <f t="shared" si="301"/>
        <v>0</v>
      </c>
      <c r="BM508" s="2">
        <f t="shared" si="290"/>
        <v>0</v>
      </c>
      <c r="BP508" s="2">
        <f t="shared" si="291"/>
        <v>0</v>
      </c>
    </row>
    <row r="509" spans="1:68" ht="14.45" hidden="1" customHeight="1" x14ac:dyDescent="0.25">
      <c r="A509" s="33" t="s">
        <v>525</v>
      </c>
      <c r="B509" s="23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13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5"/>
      <c r="AD509" s="39">
        <f t="shared" si="315"/>
        <v>0</v>
      </c>
      <c r="AE509" s="26" t="s">
        <v>42</v>
      </c>
      <c r="AF509" s="27"/>
      <c r="AG509" s="17">
        <f t="shared" si="292"/>
        <v>0</v>
      </c>
      <c r="AH509" s="28">
        <f t="shared" si="293"/>
        <v>0</v>
      </c>
      <c r="AI509" s="17">
        <f t="shared" si="294"/>
        <v>0</v>
      </c>
      <c r="AJ509" s="28">
        <f t="shared" si="295"/>
        <v>0</v>
      </c>
      <c r="AK509" s="17">
        <f t="shared" si="303"/>
        <v>0</v>
      </c>
      <c r="AL509" s="28">
        <f t="shared" si="296"/>
        <v>0</v>
      </c>
      <c r="AM509" s="17">
        <f t="shared" si="311"/>
        <v>0</v>
      </c>
      <c r="AN509" s="28">
        <f t="shared" si="312"/>
        <v>0</v>
      </c>
      <c r="AO509" s="17">
        <f t="shared" si="286"/>
        <v>0</v>
      </c>
      <c r="AP509" s="28">
        <f t="shared" si="287"/>
        <v>0</v>
      </c>
      <c r="AQ509" s="17">
        <f t="shared" si="288"/>
        <v>0</v>
      </c>
      <c r="AR509" s="28">
        <f t="shared" si="289"/>
        <v>0</v>
      </c>
      <c r="AS509" s="17">
        <f t="shared" si="307"/>
        <v>0</v>
      </c>
      <c r="AT509" s="28">
        <f t="shared" si="308"/>
        <v>0</v>
      </c>
      <c r="AU509" s="17">
        <f t="shared" si="309"/>
        <v>0</v>
      </c>
      <c r="AV509" s="28">
        <f t="shared" si="310"/>
        <v>0</v>
      </c>
      <c r="AW509" s="17">
        <f t="shared" si="297"/>
        <v>0</v>
      </c>
      <c r="AX509" s="28">
        <f t="shared" si="298"/>
        <v>0</v>
      </c>
      <c r="AY509" s="17">
        <f t="shared" si="299"/>
        <v>0</v>
      </c>
      <c r="AZ509" s="28">
        <f t="shared" si="300"/>
        <v>0</v>
      </c>
      <c r="BA509" s="27">
        <f t="shared" si="313"/>
        <v>0</v>
      </c>
      <c r="BB509" s="27">
        <f t="shared" si="302"/>
        <v>0</v>
      </c>
      <c r="BC509" s="27">
        <f t="shared" si="304"/>
        <v>0</v>
      </c>
      <c r="BD509" s="27">
        <f t="shared" si="305"/>
        <v>0</v>
      </c>
      <c r="BE509" s="27">
        <f t="shared" si="306"/>
        <v>0</v>
      </c>
      <c r="BF509" s="29">
        <f t="shared" si="314"/>
        <v>0</v>
      </c>
      <c r="BH509" s="30">
        <f t="shared" si="301"/>
        <v>0</v>
      </c>
      <c r="BM509" s="2">
        <f t="shared" si="290"/>
        <v>0</v>
      </c>
      <c r="BP509" s="2">
        <f t="shared" si="291"/>
        <v>0</v>
      </c>
    </row>
    <row r="510" spans="1:68" ht="14.45" hidden="1" customHeight="1" x14ac:dyDescent="0.25">
      <c r="A510" s="33" t="s">
        <v>526</v>
      </c>
      <c r="B510" s="23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13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5"/>
      <c r="AD510" s="39">
        <f t="shared" si="315"/>
        <v>0</v>
      </c>
      <c r="AE510" s="26" t="s">
        <v>42</v>
      </c>
      <c r="AF510" s="27"/>
      <c r="AG510" s="17">
        <f t="shared" si="292"/>
        <v>0</v>
      </c>
      <c r="AH510" s="28">
        <f t="shared" si="293"/>
        <v>0</v>
      </c>
      <c r="AI510" s="17">
        <f t="shared" si="294"/>
        <v>0</v>
      </c>
      <c r="AJ510" s="28">
        <f t="shared" si="295"/>
        <v>0</v>
      </c>
      <c r="AK510" s="17">
        <f t="shared" si="303"/>
        <v>0</v>
      </c>
      <c r="AL510" s="28">
        <f t="shared" si="296"/>
        <v>0</v>
      </c>
      <c r="AM510" s="17">
        <f t="shared" si="311"/>
        <v>0</v>
      </c>
      <c r="AN510" s="28">
        <f t="shared" si="312"/>
        <v>0</v>
      </c>
      <c r="AO510" s="17">
        <f t="shared" si="286"/>
        <v>0</v>
      </c>
      <c r="AP510" s="28">
        <f t="shared" si="287"/>
        <v>0</v>
      </c>
      <c r="AQ510" s="17">
        <f t="shared" si="288"/>
        <v>0</v>
      </c>
      <c r="AR510" s="28">
        <f t="shared" si="289"/>
        <v>0</v>
      </c>
      <c r="AS510" s="17">
        <f t="shared" si="307"/>
        <v>0</v>
      </c>
      <c r="AT510" s="28">
        <f t="shared" si="308"/>
        <v>0</v>
      </c>
      <c r="AU510" s="17">
        <f t="shared" si="309"/>
        <v>0</v>
      </c>
      <c r="AV510" s="28">
        <f t="shared" si="310"/>
        <v>0</v>
      </c>
      <c r="AW510" s="17">
        <f t="shared" si="297"/>
        <v>0</v>
      </c>
      <c r="AX510" s="28">
        <f t="shared" si="298"/>
        <v>0</v>
      </c>
      <c r="AY510" s="17">
        <f t="shared" si="299"/>
        <v>0</v>
      </c>
      <c r="AZ510" s="28">
        <f t="shared" si="300"/>
        <v>0</v>
      </c>
      <c r="BA510" s="27">
        <f t="shared" si="313"/>
        <v>0</v>
      </c>
      <c r="BB510" s="27">
        <f t="shared" si="302"/>
        <v>0</v>
      </c>
      <c r="BC510" s="27">
        <f t="shared" si="304"/>
        <v>0</v>
      </c>
      <c r="BD510" s="27">
        <f t="shared" si="305"/>
        <v>0</v>
      </c>
      <c r="BE510" s="27">
        <f t="shared" si="306"/>
        <v>0</v>
      </c>
      <c r="BF510" s="29">
        <f t="shared" si="314"/>
        <v>0</v>
      </c>
      <c r="BH510" s="30">
        <f t="shared" si="301"/>
        <v>0</v>
      </c>
      <c r="BM510" s="2">
        <f t="shared" si="290"/>
        <v>0</v>
      </c>
      <c r="BP510" s="2">
        <f t="shared" si="291"/>
        <v>0</v>
      </c>
    </row>
    <row r="511" spans="1:68" ht="14.45" hidden="1" customHeight="1" x14ac:dyDescent="0.25">
      <c r="A511" s="33" t="s">
        <v>527</v>
      </c>
      <c r="B511" s="23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13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5"/>
      <c r="AD511" s="39">
        <f t="shared" si="315"/>
        <v>0</v>
      </c>
      <c r="AE511" s="26" t="s">
        <v>42</v>
      </c>
      <c r="AF511" s="27"/>
      <c r="AG511" s="17">
        <f t="shared" si="292"/>
        <v>0</v>
      </c>
      <c r="AH511" s="28">
        <f t="shared" si="293"/>
        <v>0</v>
      </c>
      <c r="AI511" s="17">
        <f t="shared" si="294"/>
        <v>0</v>
      </c>
      <c r="AJ511" s="28">
        <f t="shared" si="295"/>
        <v>0</v>
      </c>
      <c r="AK511" s="17">
        <f t="shared" si="303"/>
        <v>0</v>
      </c>
      <c r="AL511" s="28">
        <f t="shared" si="296"/>
        <v>0</v>
      </c>
      <c r="AM511" s="17">
        <f t="shared" si="311"/>
        <v>0</v>
      </c>
      <c r="AN511" s="28">
        <f t="shared" si="312"/>
        <v>0</v>
      </c>
      <c r="AO511" s="17">
        <f t="shared" si="286"/>
        <v>0</v>
      </c>
      <c r="AP511" s="28">
        <f t="shared" si="287"/>
        <v>0</v>
      </c>
      <c r="AQ511" s="17">
        <f t="shared" si="288"/>
        <v>0</v>
      </c>
      <c r="AR511" s="28">
        <f t="shared" si="289"/>
        <v>0</v>
      </c>
      <c r="AS511" s="17">
        <f t="shared" si="307"/>
        <v>0</v>
      </c>
      <c r="AT511" s="28">
        <f t="shared" si="308"/>
        <v>0</v>
      </c>
      <c r="AU511" s="17">
        <f t="shared" si="309"/>
        <v>0</v>
      </c>
      <c r="AV511" s="28">
        <f t="shared" si="310"/>
        <v>0</v>
      </c>
      <c r="AW511" s="17">
        <f t="shared" si="297"/>
        <v>0</v>
      </c>
      <c r="AX511" s="28">
        <f t="shared" si="298"/>
        <v>0</v>
      </c>
      <c r="AY511" s="17">
        <f t="shared" si="299"/>
        <v>0</v>
      </c>
      <c r="AZ511" s="28">
        <f t="shared" si="300"/>
        <v>0</v>
      </c>
      <c r="BA511" s="27">
        <f t="shared" si="313"/>
        <v>0</v>
      </c>
      <c r="BB511" s="27">
        <f t="shared" si="302"/>
        <v>0</v>
      </c>
      <c r="BC511" s="27">
        <f t="shared" si="304"/>
        <v>0</v>
      </c>
      <c r="BD511" s="27">
        <f t="shared" si="305"/>
        <v>0</v>
      </c>
      <c r="BE511" s="27">
        <f t="shared" si="306"/>
        <v>0</v>
      </c>
      <c r="BF511" s="29">
        <f t="shared" si="314"/>
        <v>0</v>
      </c>
      <c r="BH511" s="30">
        <f t="shared" si="301"/>
        <v>0</v>
      </c>
      <c r="BM511" s="2">
        <f t="shared" si="290"/>
        <v>0</v>
      </c>
      <c r="BP511" s="2">
        <f t="shared" si="291"/>
        <v>0</v>
      </c>
    </row>
    <row r="512" spans="1:68" ht="14.45" hidden="1" customHeight="1" x14ac:dyDescent="0.25">
      <c r="A512" s="33" t="s">
        <v>528</v>
      </c>
      <c r="B512" s="23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13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5"/>
      <c r="AD512" s="39">
        <f t="shared" si="315"/>
        <v>0</v>
      </c>
      <c r="AE512" s="26" t="s">
        <v>42</v>
      </c>
      <c r="AF512" s="27"/>
      <c r="AG512" s="17">
        <f t="shared" si="292"/>
        <v>0</v>
      </c>
      <c r="AH512" s="28">
        <f t="shared" si="293"/>
        <v>0</v>
      </c>
      <c r="AI512" s="17">
        <f t="shared" si="294"/>
        <v>0</v>
      </c>
      <c r="AJ512" s="28">
        <f t="shared" si="295"/>
        <v>0</v>
      </c>
      <c r="AK512" s="17">
        <f t="shared" si="303"/>
        <v>0</v>
      </c>
      <c r="AL512" s="28">
        <f t="shared" si="296"/>
        <v>0</v>
      </c>
      <c r="AM512" s="17">
        <f t="shared" si="311"/>
        <v>0</v>
      </c>
      <c r="AN512" s="28">
        <f t="shared" si="312"/>
        <v>0</v>
      </c>
      <c r="AO512" s="17">
        <f t="shared" si="286"/>
        <v>0</v>
      </c>
      <c r="AP512" s="28">
        <f t="shared" si="287"/>
        <v>0</v>
      </c>
      <c r="AQ512" s="17">
        <f t="shared" si="288"/>
        <v>0</v>
      </c>
      <c r="AR512" s="28">
        <f t="shared" si="289"/>
        <v>0</v>
      </c>
      <c r="AS512" s="17">
        <f t="shared" si="307"/>
        <v>0</v>
      </c>
      <c r="AT512" s="28">
        <f t="shared" si="308"/>
        <v>0</v>
      </c>
      <c r="AU512" s="17">
        <f t="shared" si="309"/>
        <v>0</v>
      </c>
      <c r="AV512" s="28">
        <f t="shared" si="310"/>
        <v>0</v>
      </c>
      <c r="AW512" s="17">
        <f t="shared" si="297"/>
        <v>0</v>
      </c>
      <c r="AX512" s="28">
        <f t="shared" si="298"/>
        <v>0</v>
      </c>
      <c r="AY512" s="17">
        <f t="shared" si="299"/>
        <v>0</v>
      </c>
      <c r="AZ512" s="28">
        <f t="shared" si="300"/>
        <v>0</v>
      </c>
      <c r="BA512" s="27">
        <f t="shared" si="313"/>
        <v>0</v>
      </c>
      <c r="BB512" s="27">
        <f t="shared" si="302"/>
        <v>0</v>
      </c>
      <c r="BC512" s="27">
        <f t="shared" si="304"/>
        <v>0</v>
      </c>
      <c r="BD512" s="27">
        <f t="shared" si="305"/>
        <v>0</v>
      </c>
      <c r="BE512" s="27">
        <f t="shared" si="306"/>
        <v>0</v>
      </c>
      <c r="BF512" s="29">
        <f t="shared" si="314"/>
        <v>0</v>
      </c>
      <c r="BH512" s="30">
        <f t="shared" si="301"/>
        <v>0</v>
      </c>
      <c r="BM512" s="2">
        <f t="shared" si="290"/>
        <v>0</v>
      </c>
      <c r="BP512" s="2">
        <f t="shared" si="291"/>
        <v>0</v>
      </c>
    </row>
    <row r="513" spans="1:68" ht="14.45" hidden="1" customHeight="1" x14ac:dyDescent="0.25">
      <c r="A513" s="33" t="s">
        <v>529</v>
      </c>
      <c r="B513" s="23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13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5"/>
      <c r="AD513" s="39">
        <f t="shared" si="315"/>
        <v>0</v>
      </c>
      <c r="AE513" s="26" t="s">
        <v>42</v>
      </c>
      <c r="AF513" s="27"/>
      <c r="AG513" s="17">
        <f t="shared" si="292"/>
        <v>0</v>
      </c>
      <c r="AH513" s="28">
        <f t="shared" si="293"/>
        <v>0</v>
      </c>
      <c r="AI513" s="17">
        <f t="shared" si="294"/>
        <v>0</v>
      </c>
      <c r="AJ513" s="28">
        <f t="shared" si="295"/>
        <v>0</v>
      </c>
      <c r="AK513" s="17">
        <f t="shared" si="303"/>
        <v>0</v>
      </c>
      <c r="AL513" s="28">
        <f t="shared" si="296"/>
        <v>0</v>
      </c>
      <c r="AM513" s="17">
        <f t="shared" si="311"/>
        <v>0</v>
      </c>
      <c r="AN513" s="28">
        <f t="shared" si="312"/>
        <v>0</v>
      </c>
      <c r="AO513" s="17">
        <f t="shared" si="286"/>
        <v>0</v>
      </c>
      <c r="AP513" s="28">
        <f t="shared" si="287"/>
        <v>0</v>
      </c>
      <c r="AQ513" s="17">
        <f t="shared" si="288"/>
        <v>0</v>
      </c>
      <c r="AR513" s="28">
        <f t="shared" si="289"/>
        <v>0</v>
      </c>
      <c r="AS513" s="17">
        <f t="shared" si="307"/>
        <v>0</v>
      </c>
      <c r="AT513" s="28">
        <f t="shared" si="308"/>
        <v>0</v>
      </c>
      <c r="AU513" s="17">
        <f t="shared" si="309"/>
        <v>0</v>
      </c>
      <c r="AV513" s="28">
        <f t="shared" si="310"/>
        <v>0</v>
      </c>
      <c r="AW513" s="17">
        <f t="shared" si="297"/>
        <v>0</v>
      </c>
      <c r="AX513" s="28">
        <f t="shared" si="298"/>
        <v>0</v>
      </c>
      <c r="AY513" s="17">
        <f t="shared" si="299"/>
        <v>0</v>
      </c>
      <c r="AZ513" s="28">
        <f t="shared" si="300"/>
        <v>0</v>
      </c>
      <c r="BA513" s="27">
        <f t="shared" si="313"/>
        <v>0</v>
      </c>
      <c r="BB513" s="27">
        <f t="shared" si="302"/>
        <v>0</v>
      </c>
      <c r="BC513" s="27">
        <f t="shared" si="304"/>
        <v>0</v>
      </c>
      <c r="BD513" s="27">
        <f t="shared" si="305"/>
        <v>0</v>
      </c>
      <c r="BE513" s="27">
        <f t="shared" si="306"/>
        <v>0</v>
      </c>
      <c r="BF513" s="29">
        <f t="shared" si="314"/>
        <v>0</v>
      </c>
      <c r="BH513" s="30">
        <f t="shared" si="301"/>
        <v>0</v>
      </c>
      <c r="BM513" s="2">
        <f t="shared" si="290"/>
        <v>0</v>
      </c>
      <c r="BP513" s="2">
        <f t="shared" si="291"/>
        <v>0</v>
      </c>
    </row>
    <row r="514" spans="1:68" ht="14.45" hidden="1" customHeight="1" x14ac:dyDescent="0.25">
      <c r="A514" s="33" t="s">
        <v>530</v>
      </c>
      <c r="B514" s="23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13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5"/>
      <c r="AD514" s="39">
        <f t="shared" si="315"/>
        <v>0</v>
      </c>
      <c r="AE514" s="26" t="s">
        <v>42</v>
      </c>
      <c r="AF514" s="27"/>
      <c r="AG514" s="17">
        <f t="shared" si="292"/>
        <v>0</v>
      </c>
      <c r="AH514" s="28">
        <f t="shared" si="293"/>
        <v>0</v>
      </c>
      <c r="AI514" s="17">
        <f t="shared" si="294"/>
        <v>0</v>
      </c>
      <c r="AJ514" s="28">
        <f t="shared" si="295"/>
        <v>0</v>
      </c>
      <c r="AK514" s="17">
        <f t="shared" si="303"/>
        <v>0</v>
      </c>
      <c r="AL514" s="28">
        <f t="shared" si="296"/>
        <v>0</v>
      </c>
      <c r="AM514" s="17">
        <f t="shared" si="311"/>
        <v>0</v>
      </c>
      <c r="AN514" s="28">
        <f t="shared" si="312"/>
        <v>0</v>
      </c>
      <c r="AO514" s="17">
        <f t="shared" ref="AO514:AO516" si="316">+B514</f>
        <v>0</v>
      </c>
      <c r="AP514" s="28">
        <f t="shared" ref="AP514:AP516" si="317">+AO514*AF514</f>
        <v>0</v>
      </c>
      <c r="AQ514" s="17">
        <f t="shared" ref="AQ514:AQ516" si="318">+P514</f>
        <v>0</v>
      </c>
      <c r="AR514" s="28">
        <f t="shared" ref="AR514:AR516" si="319">+AQ514*AF514</f>
        <v>0</v>
      </c>
      <c r="AS514" s="17">
        <f t="shared" si="307"/>
        <v>0</v>
      </c>
      <c r="AT514" s="28">
        <f t="shared" si="308"/>
        <v>0</v>
      </c>
      <c r="AU514" s="17">
        <f t="shared" si="309"/>
        <v>0</v>
      </c>
      <c r="AV514" s="28">
        <f t="shared" si="310"/>
        <v>0</v>
      </c>
      <c r="AW514" s="17">
        <f t="shared" si="297"/>
        <v>0</v>
      </c>
      <c r="AX514" s="28">
        <f t="shared" si="298"/>
        <v>0</v>
      </c>
      <c r="AY514" s="17">
        <f t="shared" si="299"/>
        <v>0</v>
      </c>
      <c r="AZ514" s="28">
        <f t="shared" si="300"/>
        <v>0</v>
      </c>
      <c r="BA514" s="27">
        <f t="shared" si="313"/>
        <v>0</v>
      </c>
      <c r="BB514" s="27">
        <f t="shared" si="302"/>
        <v>0</v>
      </c>
      <c r="BC514" s="27">
        <f t="shared" si="304"/>
        <v>0</v>
      </c>
      <c r="BD514" s="27">
        <f t="shared" si="305"/>
        <v>0</v>
      </c>
      <c r="BE514" s="27">
        <f t="shared" si="306"/>
        <v>0</v>
      </c>
      <c r="BF514" s="29">
        <f t="shared" si="314"/>
        <v>0</v>
      </c>
      <c r="BH514" s="30">
        <f t="shared" si="301"/>
        <v>0</v>
      </c>
      <c r="BM514" s="2">
        <f t="shared" ref="BM514:BM516" si="320">SUM(B514:S514)</f>
        <v>0</v>
      </c>
      <c r="BP514" s="2">
        <f t="shared" ref="BP514:BP516" si="321">SUM(B514:S514)</f>
        <v>0</v>
      </c>
    </row>
    <row r="515" spans="1:68" ht="14.45" hidden="1" customHeight="1" x14ac:dyDescent="0.25">
      <c r="A515" s="33" t="s">
        <v>531</v>
      </c>
      <c r="B515" s="23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13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5"/>
      <c r="AD515" s="39">
        <f t="shared" si="315"/>
        <v>0</v>
      </c>
      <c r="AE515" s="26" t="s">
        <v>42</v>
      </c>
      <c r="AF515" s="27"/>
      <c r="AG515" s="17">
        <f t="shared" si="292"/>
        <v>0</v>
      </c>
      <c r="AH515" s="28">
        <f t="shared" si="293"/>
        <v>0</v>
      </c>
      <c r="AI515" s="17">
        <f t="shared" si="294"/>
        <v>0</v>
      </c>
      <c r="AJ515" s="28">
        <f t="shared" si="295"/>
        <v>0</v>
      </c>
      <c r="AK515" s="17">
        <f t="shared" si="303"/>
        <v>0</v>
      </c>
      <c r="AL515" s="28">
        <f t="shared" si="296"/>
        <v>0</v>
      </c>
      <c r="AM515" s="17">
        <f t="shared" si="311"/>
        <v>0</v>
      </c>
      <c r="AN515" s="28">
        <f t="shared" si="312"/>
        <v>0</v>
      </c>
      <c r="AO515" s="17">
        <f t="shared" si="316"/>
        <v>0</v>
      </c>
      <c r="AP515" s="28">
        <f t="shared" si="317"/>
        <v>0</v>
      </c>
      <c r="AQ515" s="17">
        <f t="shared" si="318"/>
        <v>0</v>
      </c>
      <c r="AR515" s="28">
        <f t="shared" si="319"/>
        <v>0</v>
      </c>
      <c r="AS515" s="17">
        <f t="shared" si="307"/>
        <v>0</v>
      </c>
      <c r="AT515" s="28">
        <f t="shared" si="308"/>
        <v>0</v>
      </c>
      <c r="AU515" s="17">
        <f t="shared" si="309"/>
        <v>0</v>
      </c>
      <c r="AV515" s="28">
        <f t="shared" si="310"/>
        <v>0</v>
      </c>
      <c r="AW515" s="17">
        <f t="shared" si="297"/>
        <v>0</v>
      </c>
      <c r="AX515" s="28">
        <f t="shared" si="298"/>
        <v>0</v>
      </c>
      <c r="AY515" s="17">
        <f t="shared" si="299"/>
        <v>0</v>
      </c>
      <c r="AZ515" s="28">
        <f t="shared" si="300"/>
        <v>0</v>
      </c>
      <c r="BA515" s="27">
        <f t="shared" si="313"/>
        <v>0</v>
      </c>
      <c r="BB515" s="27">
        <f t="shared" si="302"/>
        <v>0</v>
      </c>
      <c r="BC515" s="27">
        <f t="shared" si="304"/>
        <v>0</v>
      </c>
      <c r="BD515" s="27">
        <f t="shared" si="305"/>
        <v>0</v>
      </c>
      <c r="BE515" s="27">
        <f t="shared" si="306"/>
        <v>0</v>
      </c>
      <c r="BF515" s="29">
        <f t="shared" si="314"/>
        <v>0</v>
      </c>
      <c r="BH515" s="30">
        <f t="shared" si="301"/>
        <v>0</v>
      </c>
      <c r="BM515" s="2">
        <f t="shared" si="320"/>
        <v>0</v>
      </c>
      <c r="BP515" s="2">
        <f t="shared" si="321"/>
        <v>0</v>
      </c>
    </row>
    <row r="516" spans="1:68" ht="14.45" hidden="1" customHeight="1" x14ac:dyDescent="0.25">
      <c r="A516" s="33" t="s">
        <v>532</v>
      </c>
      <c r="B516" s="23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13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5"/>
      <c r="AD516" s="39">
        <f t="shared" si="315"/>
        <v>0</v>
      </c>
      <c r="AE516" s="26" t="s">
        <v>42</v>
      </c>
      <c r="AF516" s="27"/>
      <c r="AG516" s="17">
        <f t="shared" si="292"/>
        <v>0</v>
      </c>
      <c r="AH516" s="28">
        <f t="shared" si="293"/>
        <v>0</v>
      </c>
      <c r="AI516" s="17">
        <f t="shared" si="294"/>
        <v>0</v>
      </c>
      <c r="AJ516" s="28">
        <f t="shared" si="295"/>
        <v>0</v>
      </c>
      <c r="AK516" s="17">
        <f t="shared" si="303"/>
        <v>0</v>
      </c>
      <c r="AL516" s="28">
        <f t="shared" si="296"/>
        <v>0</v>
      </c>
      <c r="AM516" s="17">
        <f t="shared" si="311"/>
        <v>0</v>
      </c>
      <c r="AN516" s="28">
        <f t="shared" si="312"/>
        <v>0</v>
      </c>
      <c r="AO516" s="17">
        <f t="shared" si="316"/>
        <v>0</v>
      </c>
      <c r="AP516" s="28">
        <f t="shared" si="317"/>
        <v>0</v>
      </c>
      <c r="AQ516" s="17">
        <f t="shared" si="318"/>
        <v>0</v>
      </c>
      <c r="AR516" s="28">
        <f t="shared" si="319"/>
        <v>0</v>
      </c>
      <c r="AS516" s="17">
        <f t="shared" si="307"/>
        <v>0</v>
      </c>
      <c r="AT516" s="28">
        <f t="shared" si="308"/>
        <v>0</v>
      </c>
      <c r="AU516" s="17">
        <f t="shared" si="309"/>
        <v>0</v>
      </c>
      <c r="AV516" s="28">
        <f t="shared" si="310"/>
        <v>0</v>
      </c>
      <c r="AW516" s="17">
        <f t="shared" si="297"/>
        <v>0</v>
      </c>
      <c r="AX516" s="28">
        <f t="shared" si="298"/>
        <v>0</v>
      </c>
      <c r="AY516" s="17">
        <f t="shared" si="299"/>
        <v>0</v>
      </c>
      <c r="AZ516" s="28">
        <f t="shared" si="300"/>
        <v>0</v>
      </c>
      <c r="BA516" s="27">
        <f t="shared" si="313"/>
        <v>0</v>
      </c>
      <c r="BB516" s="27">
        <f t="shared" si="302"/>
        <v>0</v>
      </c>
      <c r="BC516" s="27">
        <f t="shared" si="304"/>
        <v>0</v>
      </c>
      <c r="BD516" s="27">
        <f t="shared" si="305"/>
        <v>0</v>
      </c>
      <c r="BE516" s="27">
        <f t="shared" si="306"/>
        <v>0</v>
      </c>
      <c r="BF516" s="29">
        <f t="shared" si="314"/>
        <v>0</v>
      </c>
      <c r="BH516" s="30">
        <f t="shared" si="301"/>
        <v>0</v>
      </c>
      <c r="BM516" s="2">
        <f t="shared" si="320"/>
        <v>0</v>
      </c>
      <c r="BP516" s="2">
        <f t="shared" si="321"/>
        <v>0</v>
      </c>
    </row>
    <row r="517" spans="1:68" ht="14.45" customHeight="1" x14ac:dyDescent="0.25">
      <c r="A517" s="33" t="s">
        <v>533</v>
      </c>
      <c r="B517" s="23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13">
        <v>207</v>
      </c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5"/>
      <c r="AD517" s="39">
        <f t="shared" si="315"/>
        <v>207</v>
      </c>
      <c r="AE517" s="26" t="s">
        <v>42</v>
      </c>
      <c r="AF517" s="27">
        <v>25000</v>
      </c>
      <c r="AG517" s="17">
        <f t="shared" si="292"/>
        <v>0</v>
      </c>
      <c r="AH517" s="28">
        <f t="shared" si="293"/>
        <v>0</v>
      </c>
      <c r="AI517" s="17">
        <f t="shared" si="294"/>
        <v>0</v>
      </c>
      <c r="AJ517" s="28">
        <f t="shared" si="295"/>
        <v>0</v>
      </c>
      <c r="AK517" s="17">
        <f t="shared" si="303"/>
        <v>207</v>
      </c>
      <c r="AL517" s="28">
        <f t="shared" si="296"/>
        <v>5175000</v>
      </c>
      <c r="AM517" s="17">
        <f t="shared" si="311"/>
        <v>0</v>
      </c>
      <c r="AN517" s="28">
        <f t="shared" si="312"/>
        <v>0</v>
      </c>
      <c r="AO517" s="17"/>
      <c r="AP517" s="28"/>
      <c r="AQ517" s="17"/>
      <c r="AR517" s="28"/>
      <c r="AS517" s="17">
        <f t="shared" si="307"/>
        <v>0</v>
      </c>
      <c r="AT517" s="28">
        <f t="shared" si="308"/>
        <v>0</v>
      </c>
      <c r="AU517" s="17">
        <f t="shared" si="309"/>
        <v>0</v>
      </c>
      <c r="AV517" s="28">
        <f t="shared" si="310"/>
        <v>0</v>
      </c>
      <c r="AW517" s="17">
        <f t="shared" si="297"/>
        <v>0</v>
      </c>
      <c r="AX517" s="28">
        <f t="shared" si="298"/>
        <v>0</v>
      </c>
      <c r="AY517" s="17">
        <f t="shared" si="299"/>
        <v>0</v>
      </c>
      <c r="AZ517" s="28">
        <f t="shared" si="300"/>
        <v>0</v>
      </c>
      <c r="BA517" s="27"/>
      <c r="BB517" s="27">
        <f t="shared" si="302"/>
        <v>5175000</v>
      </c>
      <c r="BC517" s="27">
        <f t="shared" si="304"/>
        <v>0</v>
      </c>
      <c r="BD517" s="27">
        <f t="shared" si="305"/>
        <v>0</v>
      </c>
      <c r="BE517" s="27">
        <f t="shared" si="306"/>
        <v>0</v>
      </c>
      <c r="BF517" s="29">
        <f t="shared" si="314"/>
        <v>5175000</v>
      </c>
      <c r="BH517" s="30">
        <f t="shared" si="301"/>
        <v>207</v>
      </c>
    </row>
    <row r="518" spans="1:68" ht="14.45" customHeight="1" x14ac:dyDescent="0.25">
      <c r="A518" s="33" t="s">
        <v>534</v>
      </c>
      <c r="B518" s="23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13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>
        <v>8</v>
      </c>
      <c r="AC518" s="25"/>
      <c r="AD518" s="39">
        <f t="shared" si="315"/>
        <v>8</v>
      </c>
      <c r="AE518" s="26" t="s">
        <v>42</v>
      </c>
      <c r="AF518" s="27">
        <v>78000</v>
      </c>
      <c r="AG518" s="17">
        <f t="shared" si="292"/>
        <v>0</v>
      </c>
      <c r="AH518" s="28">
        <f t="shared" si="293"/>
        <v>0</v>
      </c>
      <c r="AI518" s="17">
        <f t="shared" si="294"/>
        <v>0</v>
      </c>
      <c r="AJ518" s="28">
        <f t="shared" si="295"/>
        <v>0</v>
      </c>
      <c r="AK518" s="17">
        <f t="shared" si="303"/>
        <v>0</v>
      </c>
      <c r="AL518" s="28">
        <f t="shared" si="296"/>
        <v>0</v>
      </c>
      <c r="AM518" s="17">
        <f t="shared" si="311"/>
        <v>8</v>
      </c>
      <c r="AN518" s="28">
        <f t="shared" si="312"/>
        <v>624000</v>
      </c>
      <c r="AO518" s="17"/>
      <c r="AP518" s="28"/>
      <c r="AQ518" s="17"/>
      <c r="AR518" s="28"/>
      <c r="AS518" s="17">
        <f t="shared" si="307"/>
        <v>0</v>
      </c>
      <c r="AT518" s="28">
        <f t="shared" si="308"/>
        <v>0</v>
      </c>
      <c r="AU518" s="17">
        <f t="shared" si="309"/>
        <v>0</v>
      </c>
      <c r="AV518" s="28">
        <f t="shared" si="310"/>
        <v>0</v>
      </c>
      <c r="AW518" s="17">
        <f t="shared" si="297"/>
        <v>0</v>
      </c>
      <c r="AX518" s="28">
        <f t="shared" si="298"/>
        <v>0</v>
      </c>
      <c r="AY518" s="17">
        <f t="shared" si="299"/>
        <v>0</v>
      </c>
      <c r="AZ518" s="28">
        <f t="shared" si="300"/>
        <v>0</v>
      </c>
      <c r="BA518" s="27"/>
      <c r="BB518" s="27">
        <f t="shared" si="302"/>
        <v>624000</v>
      </c>
      <c r="BC518" s="27">
        <f t="shared" si="304"/>
        <v>0</v>
      </c>
      <c r="BD518" s="27">
        <f t="shared" si="305"/>
        <v>0</v>
      </c>
      <c r="BE518" s="27">
        <f t="shared" si="306"/>
        <v>0</v>
      </c>
      <c r="BF518" s="29">
        <f t="shared" si="314"/>
        <v>624000</v>
      </c>
      <c r="BH518" s="30">
        <f t="shared" si="301"/>
        <v>8</v>
      </c>
    </row>
    <row r="519" spans="1:68" ht="14.45" customHeight="1" x14ac:dyDescent="0.25">
      <c r="A519" s="33" t="s">
        <v>535</v>
      </c>
      <c r="B519" s="23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13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>
        <v>5</v>
      </c>
      <c r="AC519" s="25"/>
      <c r="AD519" s="39">
        <f t="shared" si="315"/>
        <v>5</v>
      </c>
      <c r="AE519" s="26" t="s">
        <v>42</v>
      </c>
      <c r="AF519" s="27">
        <v>78000</v>
      </c>
      <c r="AG519" s="17">
        <f t="shared" ref="AG519:AG582" si="322">SUM(F519:L519)-G519</f>
        <v>0</v>
      </c>
      <c r="AH519" s="28">
        <f t="shared" ref="AH519:AH582" si="323">+AG519*AF519</f>
        <v>0</v>
      </c>
      <c r="AI519" s="17">
        <f t="shared" ref="AI519:AI582" si="324">SUM(T519:Y519)-U519</f>
        <v>0</v>
      </c>
      <c r="AJ519" s="28">
        <f t="shared" ref="AJ519:AJ582" si="325">+AI519*AF519</f>
        <v>0</v>
      </c>
      <c r="AK519" s="17">
        <f t="shared" si="303"/>
        <v>0</v>
      </c>
      <c r="AL519" s="28">
        <f t="shared" ref="AL519:AL582" si="326">+AK519*AF519</f>
        <v>0</v>
      </c>
      <c r="AM519" s="17">
        <f t="shared" si="311"/>
        <v>5</v>
      </c>
      <c r="AN519" s="28">
        <f t="shared" si="312"/>
        <v>390000</v>
      </c>
      <c r="AO519" s="17"/>
      <c r="AP519" s="28"/>
      <c r="AQ519" s="17"/>
      <c r="AR519" s="28"/>
      <c r="AS519" s="17">
        <f t="shared" si="307"/>
        <v>0</v>
      </c>
      <c r="AT519" s="28">
        <f t="shared" si="308"/>
        <v>0</v>
      </c>
      <c r="AU519" s="17">
        <f t="shared" si="309"/>
        <v>0</v>
      </c>
      <c r="AV519" s="28">
        <f t="shared" si="310"/>
        <v>0</v>
      </c>
      <c r="AW519" s="17">
        <f t="shared" ref="AW519:AW582" si="327">+D519</f>
        <v>0</v>
      </c>
      <c r="AX519" s="28">
        <f t="shared" ref="AX519:AX582" si="328">+AW519*AF519</f>
        <v>0</v>
      </c>
      <c r="AY519" s="17">
        <f t="shared" ref="AY519:AY582" si="329">+R519</f>
        <v>0</v>
      </c>
      <c r="AZ519" s="28">
        <f t="shared" ref="AZ519:AZ582" si="330">+AY519*AF519</f>
        <v>0</v>
      </c>
      <c r="BA519" s="27"/>
      <c r="BB519" s="27">
        <f t="shared" si="302"/>
        <v>390000</v>
      </c>
      <c r="BC519" s="27">
        <f t="shared" si="304"/>
        <v>0</v>
      </c>
      <c r="BD519" s="27">
        <f t="shared" si="305"/>
        <v>0</v>
      </c>
      <c r="BE519" s="27">
        <f t="shared" si="306"/>
        <v>0</v>
      </c>
      <c r="BF519" s="29">
        <f t="shared" si="314"/>
        <v>390000</v>
      </c>
      <c r="BH519" s="30">
        <f t="shared" ref="BH519:BH582" si="331">+B519+C519+E519+G519+M519+N519+O519+(P519+Q519+S519+U519+Z519+AA519+AB519)</f>
        <v>5</v>
      </c>
    </row>
    <row r="520" spans="1:68" ht="14.45" customHeight="1" x14ac:dyDescent="0.25">
      <c r="A520" s="33" t="s">
        <v>536</v>
      </c>
      <c r="B520" s="23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13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>
        <v>1</v>
      </c>
      <c r="AC520" s="25"/>
      <c r="AD520" s="39">
        <f t="shared" si="315"/>
        <v>1</v>
      </c>
      <c r="AE520" s="26" t="s">
        <v>42</v>
      </c>
      <c r="AF520" s="27">
        <v>78000</v>
      </c>
      <c r="AG520" s="17">
        <f t="shared" si="322"/>
        <v>0</v>
      </c>
      <c r="AH520" s="28">
        <f t="shared" si="323"/>
        <v>0</v>
      </c>
      <c r="AI520" s="17">
        <f t="shared" si="324"/>
        <v>0</v>
      </c>
      <c r="AJ520" s="28">
        <f t="shared" si="325"/>
        <v>0</v>
      </c>
      <c r="AK520" s="17">
        <f t="shared" si="303"/>
        <v>0</v>
      </c>
      <c r="AL520" s="28">
        <f t="shared" si="326"/>
        <v>0</v>
      </c>
      <c r="AM520" s="17">
        <f t="shared" si="311"/>
        <v>1</v>
      </c>
      <c r="AN520" s="28">
        <f t="shared" si="312"/>
        <v>78000</v>
      </c>
      <c r="AO520" s="17"/>
      <c r="AP520" s="28"/>
      <c r="AQ520" s="17"/>
      <c r="AR520" s="28"/>
      <c r="AS520" s="17">
        <f t="shared" si="307"/>
        <v>0</v>
      </c>
      <c r="AT520" s="28">
        <f t="shared" si="308"/>
        <v>0</v>
      </c>
      <c r="AU520" s="17">
        <f t="shared" si="309"/>
        <v>0</v>
      </c>
      <c r="AV520" s="28">
        <f t="shared" si="310"/>
        <v>0</v>
      </c>
      <c r="AW520" s="17">
        <f t="shared" si="327"/>
        <v>0</v>
      </c>
      <c r="AX520" s="28">
        <f t="shared" si="328"/>
        <v>0</v>
      </c>
      <c r="AY520" s="17">
        <f t="shared" si="329"/>
        <v>0</v>
      </c>
      <c r="AZ520" s="28">
        <f t="shared" si="330"/>
        <v>0</v>
      </c>
      <c r="BA520" s="27"/>
      <c r="BB520" s="27">
        <f t="shared" ref="BB520:BB583" si="332">+AL520+AN520</f>
        <v>78000</v>
      </c>
      <c r="BC520" s="27">
        <f t="shared" si="304"/>
        <v>0</v>
      </c>
      <c r="BD520" s="27">
        <f t="shared" si="305"/>
        <v>0</v>
      </c>
      <c r="BE520" s="27">
        <f t="shared" si="306"/>
        <v>0</v>
      </c>
      <c r="BF520" s="29">
        <f t="shared" si="314"/>
        <v>78000</v>
      </c>
      <c r="BH520" s="30">
        <f t="shared" si="331"/>
        <v>1</v>
      </c>
    </row>
    <row r="521" spans="1:68" ht="14.45" customHeight="1" x14ac:dyDescent="0.25">
      <c r="A521" s="33" t="s">
        <v>537</v>
      </c>
      <c r="B521" s="23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13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>
        <v>3</v>
      </c>
      <c r="AC521" s="39">
        <f>SUM(A521:AA521)</f>
        <v>0</v>
      </c>
      <c r="AD521" s="39">
        <f t="shared" si="315"/>
        <v>3</v>
      </c>
      <c r="AE521" s="26" t="s">
        <v>42</v>
      </c>
      <c r="AF521" s="27">
        <v>78000</v>
      </c>
      <c r="AG521" s="17">
        <f t="shared" si="322"/>
        <v>0</v>
      </c>
      <c r="AH521" s="28">
        <f t="shared" si="323"/>
        <v>0</v>
      </c>
      <c r="AI521" s="17">
        <f t="shared" si="324"/>
        <v>0</v>
      </c>
      <c r="AJ521" s="28">
        <f t="shared" si="325"/>
        <v>0</v>
      </c>
      <c r="AK521" s="17">
        <f t="shared" ref="AK521:AK584" si="333">+N521+O521+G521</f>
        <v>0</v>
      </c>
      <c r="AL521" s="28">
        <f t="shared" si="326"/>
        <v>0</v>
      </c>
      <c r="AM521" s="17">
        <f t="shared" si="311"/>
        <v>3</v>
      </c>
      <c r="AN521" s="28">
        <f t="shared" si="312"/>
        <v>234000</v>
      </c>
      <c r="AO521" s="17"/>
      <c r="AP521" s="28"/>
      <c r="AQ521" s="17"/>
      <c r="AR521" s="28"/>
      <c r="AS521" s="17">
        <f t="shared" si="307"/>
        <v>0</v>
      </c>
      <c r="AT521" s="28">
        <f t="shared" si="308"/>
        <v>0</v>
      </c>
      <c r="AU521" s="17">
        <f t="shared" si="309"/>
        <v>0</v>
      </c>
      <c r="AV521" s="28">
        <f t="shared" si="310"/>
        <v>0</v>
      </c>
      <c r="AW521" s="17">
        <f t="shared" si="327"/>
        <v>0</v>
      </c>
      <c r="AX521" s="28">
        <f t="shared" si="328"/>
        <v>0</v>
      </c>
      <c r="AY521" s="17">
        <f t="shared" si="329"/>
        <v>0</v>
      </c>
      <c r="AZ521" s="28">
        <f t="shared" si="330"/>
        <v>0</v>
      </c>
      <c r="BA521" s="27"/>
      <c r="BB521" s="27">
        <f t="shared" si="332"/>
        <v>234000</v>
      </c>
      <c r="BC521" s="27">
        <f t="shared" ref="BC521:BC584" si="334">+AP521+AR521</f>
        <v>0</v>
      </c>
      <c r="BD521" s="27">
        <f t="shared" ref="BD521:BD584" si="335">+AT521+AV521</f>
        <v>0</v>
      </c>
      <c r="BE521" s="27">
        <f t="shared" ref="BE521:BE584" si="336">+AX521+AZ521</f>
        <v>0</v>
      </c>
      <c r="BF521" s="29">
        <f t="shared" si="314"/>
        <v>234000</v>
      </c>
      <c r="BH521" s="30">
        <f t="shared" si="331"/>
        <v>3</v>
      </c>
    </row>
    <row r="522" spans="1:68" ht="14.45" customHeight="1" x14ac:dyDescent="0.25">
      <c r="A522" s="33" t="s">
        <v>538</v>
      </c>
      <c r="B522" s="23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13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5"/>
      <c r="AD522" s="25"/>
      <c r="AE522" s="26"/>
      <c r="AF522" s="27"/>
      <c r="AG522" s="17">
        <f t="shared" si="322"/>
        <v>0</v>
      </c>
      <c r="AH522" s="28">
        <f t="shared" si="323"/>
        <v>0</v>
      </c>
      <c r="AI522" s="17">
        <f t="shared" si="324"/>
        <v>0</v>
      </c>
      <c r="AJ522" s="28">
        <f t="shared" si="325"/>
        <v>0</v>
      </c>
      <c r="AK522" s="17">
        <f t="shared" si="333"/>
        <v>0</v>
      </c>
      <c r="AL522" s="28">
        <f t="shared" si="326"/>
        <v>0</v>
      </c>
      <c r="AM522" s="17">
        <f t="shared" si="311"/>
        <v>0</v>
      </c>
      <c r="AN522" s="28">
        <f t="shared" si="312"/>
        <v>0</v>
      </c>
      <c r="AO522" s="17"/>
      <c r="AP522" s="28"/>
      <c r="AQ522" s="17"/>
      <c r="AR522" s="28"/>
      <c r="AS522" s="17">
        <f t="shared" ref="AS522:AS585" si="337">+C522</f>
        <v>0</v>
      </c>
      <c r="AT522" s="28">
        <f t="shared" ref="AT522:AT585" si="338">+AS522*AF522</f>
        <v>0</v>
      </c>
      <c r="AU522" s="17">
        <f t="shared" ref="AU522:AU585" si="339">+Q522</f>
        <v>0</v>
      </c>
      <c r="AV522" s="28">
        <f t="shared" ref="AV522:AV585" si="340">+AU522*AF522</f>
        <v>0</v>
      </c>
      <c r="AW522" s="17">
        <f t="shared" si="327"/>
        <v>0</v>
      </c>
      <c r="AX522" s="28">
        <f t="shared" si="328"/>
        <v>0</v>
      </c>
      <c r="AY522" s="17">
        <f t="shared" si="329"/>
        <v>0</v>
      </c>
      <c r="AZ522" s="28">
        <f t="shared" si="330"/>
        <v>0</v>
      </c>
      <c r="BA522" s="27"/>
      <c r="BB522" s="27">
        <f t="shared" si="332"/>
        <v>0</v>
      </c>
      <c r="BC522" s="27">
        <f t="shared" si="334"/>
        <v>0</v>
      </c>
      <c r="BD522" s="27">
        <f t="shared" si="335"/>
        <v>0</v>
      </c>
      <c r="BE522" s="27">
        <f t="shared" si="336"/>
        <v>0</v>
      </c>
      <c r="BF522" s="29">
        <f t="shared" si="314"/>
        <v>0</v>
      </c>
      <c r="BH522" s="30">
        <f t="shared" si="331"/>
        <v>0</v>
      </c>
    </row>
    <row r="523" spans="1:68" ht="14.45" customHeight="1" x14ac:dyDescent="0.25">
      <c r="A523" s="33" t="s">
        <v>443</v>
      </c>
      <c r="B523" s="23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13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5"/>
      <c r="AD523" s="25"/>
      <c r="AE523" s="26"/>
      <c r="AF523" s="27"/>
      <c r="AG523" s="17">
        <f t="shared" si="322"/>
        <v>0</v>
      </c>
      <c r="AH523" s="28">
        <f t="shared" si="323"/>
        <v>0</v>
      </c>
      <c r="AI523" s="17">
        <f t="shared" si="324"/>
        <v>0</v>
      </c>
      <c r="AJ523" s="28">
        <f t="shared" si="325"/>
        <v>0</v>
      </c>
      <c r="AK523" s="17">
        <f t="shared" si="333"/>
        <v>0</v>
      </c>
      <c r="AL523" s="28">
        <f t="shared" si="326"/>
        <v>0</v>
      </c>
      <c r="AM523" s="17">
        <f t="shared" ref="AM523:AM586" si="341">+AA523+AB523+U523</f>
        <v>0</v>
      </c>
      <c r="AN523" s="28">
        <f t="shared" si="312"/>
        <v>0</v>
      </c>
      <c r="AO523" s="17"/>
      <c r="AP523" s="28"/>
      <c r="AQ523" s="17"/>
      <c r="AR523" s="28"/>
      <c r="AS523" s="17">
        <f t="shared" si="337"/>
        <v>0</v>
      </c>
      <c r="AT523" s="28">
        <f t="shared" si="338"/>
        <v>0</v>
      </c>
      <c r="AU523" s="17">
        <f t="shared" si="339"/>
        <v>0</v>
      </c>
      <c r="AV523" s="28">
        <f t="shared" si="340"/>
        <v>0</v>
      </c>
      <c r="AW523" s="17">
        <f t="shared" si="327"/>
        <v>0</v>
      </c>
      <c r="AX523" s="28">
        <f t="shared" si="328"/>
        <v>0</v>
      </c>
      <c r="AY523" s="17">
        <f t="shared" si="329"/>
        <v>0</v>
      </c>
      <c r="AZ523" s="28">
        <f t="shared" si="330"/>
        <v>0</v>
      </c>
      <c r="BA523" s="27"/>
      <c r="BB523" s="27">
        <f t="shared" si="332"/>
        <v>0</v>
      </c>
      <c r="BC523" s="27">
        <f t="shared" si="334"/>
        <v>0</v>
      </c>
      <c r="BD523" s="27">
        <f t="shared" si="335"/>
        <v>0</v>
      </c>
      <c r="BE523" s="27">
        <f t="shared" si="336"/>
        <v>0</v>
      </c>
      <c r="BF523" s="29">
        <f t="shared" si="314"/>
        <v>0</v>
      </c>
      <c r="BH523" s="30">
        <f t="shared" si="331"/>
        <v>0</v>
      </c>
    </row>
    <row r="524" spans="1:68" x14ac:dyDescent="0.25">
      <c r="A524" s="33" t="s">
        <v>539</v>
      </c>
      <c r="B524" s="23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13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5"/>
      <c r="AD524" s="25">
        <f t="shared" ref="AD524:AD525" si="342">SUM(B524:S524)</f>
        <v>0</v>
      </c>
      <c r="AE524" s="26" t="s">
        <v>42</v>
      </c>
      <c r="AF524" s="27">
        <v>63195</v>
      </c>
      <c r="AG524" s="17">
        <f t="shared" si="322"/>
        <v>0</v>
      </c>
      <c r="AH524" s="28">
        <f t="shared" si="323"/>
        <v>0</v>
      </c>
      <c r="AI524" s="17">
        <f t="shared" si="324"/>
        <v>0</v>
      </c>
      <c r="AJ524" s="28">
        <f t="shared" si="325"/>
        <v>0</v>
      </c>
      <c r="AK524" s="17">
        <f t="shared" si="333"/>
        <v>0</v>
      </c>
      <c r="AL524" s="28">
        <f t="shared" si="326"/>
        <v>0</v>
      </c>
      <c r="AM524" s="17">
        <f t="shared" si="341"/>
        <v>0</v>
      </c>
      <c r="AN524" s="28">
        <f t="shared" si="312"/>
        <v>0</v>
      </c>
      <c r="AO524" s="17">
        <f t="shared" ref="AO524:AO553" si="343">+B524</f>
        <v>0</v>
      </c>
      <c r="AP524" s="28">
        <f t="shared" ref="AP524:AP552" si="344">+AO524*AF524</f>
        <v>0</v>
      </c>
      <c r="AQ524" s="17">
        <f t="shared" ref="AQ524:AQ553" si="345">+P524</f>
        <v>0</v>
      </c>
      <c r="AR524" s="28">
        <f t="shared" ref="AR524:AR552" si="346">+AQ524*AF524</f>
        <v>0</v>
      </c>
      <c r="AS524" s="17">
        <f t="shared" si="337"/>
        <v>0</v>
      </c>
      <c r="AT524" s="28">
        <f t="shared" si="338"/>
        <v>0</v>
      </c>
      <c r="AU524" s="17">
        <f t="shared" si="339"/>
        <v>0</v>
      </c>
      <c r="AV524" s="28">
        <f t="shared" si="340"/>
        <v>0</v>
      </c>
      <c r="AW524" s="17">
        <f t="shared" si="327"/>
        <v>0</v>
      </c>
      <c r="AX524" s="28">
        <f t="shared" si="328"/>
        <v>0</v>
      </c>
      <c r="AY524" s="17">
        <f t="shared" si="329"/>
        <v>0</v>
      </c>
      <c r="AZ524" s="28">
        <f t="shared" si="330"/>
        <v>0</v>
      </c>
      <c r="BA524" s="27">
        <f t="shared" si="313"/>
        <v>0</v>
      </c>
      <c r="BB524" s="27">
        <f t="shared" si="332"/>
        <v>0</v>
      </c>
      <c r="BC524" s="27">
        <f t="shared" si="334"/>
        <v>0</v>
      </c>
      <c r="BD524" s="27">
        <f t="shared" si="335"/>
        <v>0</v>
      </c>
      <c r="BE524" s="27">
        <f t="shared" si="336"/>
        <v>0</v>
      </c>
      <c r="BF524" s="29">
        <f t="shared" si="314"/>
        <v>0</v>
      </c>
      <c r="BH524" s="30">
        <f t="shared" si="331"/>
        <v>0</v>
      </c>
      <c r="BM524" s="2">
        <f t="shared" ref="BM524:BM552" si="347">SUM(B524:S524)</f>
        <v>0</v>
      </c>
      <c r="BP524" s="2">
        <f t="shared" ref="BP524:BP552" si="348">SUM(B524:S524)</f>
        <v>0</v>
      </c>
    </row>
    <row r="525" spans="1:68" ht="14.45" hidden="1" customHeight="1" x14ac:dyDescent="0.25">
      <c r="A525" s="33" t="s">
        <v>540</v>
      </c>
      <c r="B525" s="23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13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5"/>
      <c r="AD525" s="25">
        <f t="shared" si="342"/>
        <v>0</v>
      </c>
      <c r="AE525" s="26" t="s">
        <v>42</v>
      </c>
      <c r="AF525" s="27"/>
      <c r="AG525" s="17">
        <f t="shared" si="322"/>
        <v>0</v>
      </c>
      <c r="AH525" s="28">
        <f t="shared" si="323"/>
        <v>0</v>
      </c>
      <c r="AI525" s="17">
        <f t="shared" si="324"/>
        <v>0</v>
      </c>
      <c r="AJ525" s="28">
        <f t="shared" si="325"/>
        <v>0</v>
      </c>
      <c r="AK525" s="17">
        <f t="shared" si="333"/>
        <v>0</v>
      </c>
      <c r="AL525" s="28">
        <f t="shared" si="326"/>
        <v>0</v>
      </c>
      <c r="AM525" s="17">
        <f t="shared" si="341"/>
        <v>0</v>
      </c>
      <c r="AN525" s="28">
        <f t="shared" si="312"/>
        <v>0</v>
      </c>
      <c r="AO525" s="17">
        <f t="shared" si="343"/>
        <v>0</v>
      </c>
      <c r="AP525" s="28">
        <f t="shared" si="344"/>
        <v>0</v>
      </c>
      <c r="AQ525" s="17">
        <f t="shared" si="345"/>
        <v>0</v>
      </c>
      <c r="AR525" s="28">
        <f t="shared" si="346"/>
        <v>0</v>
      </c>
      <c r="AS525" s="17">
        <f t="shared" si="337"/>
        <v>0</v>
      </c>
      <c r="AT525" s="28">
        <f t="shared" si="338"/>
        <v>0</v>
      </c>
      <c r="AU525" s="17">
        <f t="shared" si="339"/>
        <v>0</v>
      </c>
      <c r="AV525" s="28">
        <f t="shared" si="340"/>
        <v>0</v>
      </c>
      <c r="AW525" s="17">
        <f t="shared" si="327"/>
        <v>0</v>
      </c>
      <c r="AX525" s="28">
        <f t="shared" si="328"/>
        <v>0</v>
      </c>
      <c r="AY525" s="17">
        <f t="shared" si="329"/>
        <v>0</v>
      </c>
      <c r="AZ525" s="28">
        <f t="shared" si="330"/>
        <v>0</v>
      </c>
      <c r="BA525" s="27">
        <f t="shared" si="313"/>
        <v>0</v>
      </c>
      <c r="BB525" s="27">
        <f t="shared" si="332"/>
        <v>0</v>
      </c>
      <c r="BC525" s="27">
        <f t="shared" si="334"/>
        <v>0</v>
      </c>
      <c r="BD525" s="27">
        <f t="shared" si="335"/>
        <v>0</v>
      </c>
      <c r="BE525" s="27">
        <f t="shared" si="336"/>
        <v>0</v>
      </c>
      <c r="BF525" s="29">
        <f t="shared" si="314"/>
        <v>0</v>
      </c>
      <c r="BH525" s="30">
        <f t="shared" si="331"/>
        <v>0</v>
      </c>
      <c r="BM525" s="2">
        <f t="shared" si="347"/>
        <v>0</v>
      </c>
      <c r="BP525" s="2">
        <f t="shared" si="348"/>
        <v>0</v>
      </c>
    </row>
    <row r="526" spans="1:68" x14ac:dyDescent="0.25">
      <c r="A526" s="33" t="s">
        <v>541</v>
      </c>
      <c r="B526" s="23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13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5"/>
      <c r="AD526" s="39">
        <f t="shared" ref="AD526:AD554" si="349">SUM(B526:AB526)</f>
        <v>0</v>
      </c>
      <c r="AE526" s="26" t="s">
        <v>42</v>
      </c>
      <c r="AF526" s="27">
        <v>27000</v>
      </c>
      <c r="AG526" s="17">
        <f t="shared" si="322"/>
        <v>0</v>
      </c>
      <c r="AH526" s="28">
        <f t="shared" si="323"/>
        <v>0</v>
      </c>
      <c r="AI526" s="17">
        <f t="shared" si="324"/>
        <v>0</v>
      </c>
      <c r="AJ526" s="28">
        <f t="shared" si="325"/>
        <v>0</v>
      </c>
      <c r="AK526" s="17">
        <f t="shared" si="333"/>
        <v>0</v>
      </c>
      <c r="AL526" s="28">
        <f t="shared" si="326"/>
        <v>0</v>
      </c>
      <c r="AM526" s="17">
        <f t="shared" si="341"/>
        <v>0</v>
      </c>
      <c r="AN526" s="28">
        <f t="shared" si="312"/>
        <v>0</v>
      </c>
      <c r="AO526" s="17">
        <f t="shared" si="343"/>
        <v>0</v>
      </c>
      <c r="AP526" s="28">
        <f t="shared" si="344"/>
        <v>0</v>
      </c>
      <c r="AQ526" s="17">
        <f t="shared" si="345"/>
        <v>0</v>
      </c>
      <c r="AR526" s="28">
        <f t="shared" si="346"/>
        <v>0</v>
      </c>
      <c r="AS526" s="17">
        <f t="shared" si="337"/>
        <v>0</v>
      </c>
      <c r="AT526" s="28">
        <f t="shared" si="338"/>
        <v>0</v>
      </c>
      <c r="AU526" s="17">
        <f t="shared" si="339"/>
        <v>0</v>
      </c>
      <c r="AV526" s="28">
        <f t="shared" si="340"/>
        <v>0</v>
      </c>
      <c r="AW526" s="17">
        <f t="shared" si="327"/>
        <v>0</v>
      </c>
      <c r="AX526" s="28">
        <f t="shared" si="328"/>
        <v>0</v>
      </c>
      <c r="AY526" s="17">
        <f t="shared" si="329"/>
        <v>0</v>
      </c>
      <c r="AZ526" s="28">
        <f t="shared" si="330"/>
        <v>0</v>
      </c>
      <c r="BA526" s="27">
        <f t="shared" si="313"/>
        <v>0</v>
      </c>
      <c r="BB526" s="27">
        <f t="shared" si="332"/>
        <v>0</v>
      </c>
      <c r="BC526" s="27">
        <f t="shared" si="334"/>
        <v>0</v>
      </c>
      <c r="BD526" s="27">
        <f t="shared" si="335"/>
        <v>0</v>
      </c>
      <c r="BE526" s="27">
        <f t="shared" si="336"/>
        <v>0</v>
      </c>
      <c r="BF526" s="29">
        <f t="shared" si="314"/>
        <v>0</v>
      </c>
      <c r="BH526" s="30">
        <f t="shared" si="331"/>
        <v>0</v>
      </c>
      <c r="BM526" s="2">
        <f t="shared" si="347"/>
        <v>0</v>
      </c>
      <c r="BP526" s="2">
        <f t="shared" si="348"/>
        <v>0</v>
      </c>
    </row>
    <row r="527" spans="1:68" ht="14.45" hidden="1" customHeight="1" x14ac:dyDescent="0.25">
      <c r="A527" s="33" t="s">
        <v>542</v>
      </c>
      <c r="B527" s="23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13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5"/>
      <c r="AD527" s="39">
        <f t="shared" si="349"/>
        <v>0</v>
      </c>
      <c r="AE527" s="26" t="s">
        <v>42</v>
      </c>
      <c r="AF527" s="27"/>
      <c r="AG527" s="17">
        <f t="shared" si="322"/>
        <v>0</v>
      </c>
      <c r="AH527" s="28">
        <f t="shared" si="323"/>
        <v>0</v>
      </c>
      <c r="AI527" s="17">
        <f t="shared" si="324"/>
        <v>0</v>
      </c>
      <c r="AJ527" s="28">
        <f t="shared" si="325"/>
        <v>0</v>
      </c>
      <c r="AK527" s="17">
        <f t="shared" si="333"/>
        <v>0</v>
      </c>
      <c r="AL527" s="28">
        <f t="shared" si="326"/>
        <v>0</v>
      </c>
      <c r="AM527" s="17">
        <f t="shared" si="341"/>
        <v>0</v>
      </c>
      <c r="AN527" s="28">
        <f t="shared" si="312"/>
        <v>0</v>
      </c>
      <c r="AO527" s="17">
        <f t="shared" si="343"/>
        <v>0</v>
      </c>
      <c r="AP527" s="28">
        <f t="shared" si="344"/>
        <v>0</v>
      </c>
      <c r="AQ527" s="17">
        <f t="shared" si="345"/>
        <v>0</v>
      </c>
      <c r="AR527" s="28">
        <f t="shared" si="346"/>
        <v>0</v>
      </c>
      <c r="AS527" s="17">
        <f t="shared" si="337"/>
        <v>0</v>
      </c>
      <c r="AT527" s="28">
        <f t="shared" si="338"/>
        <v>0</v>
      </c>
      <c r="AU527" s="17">
        <f t="shared" si="339"/>
        <v>0</v>
      </c>
      <c r="AV527" s="28">
        <f t="shared" si="340"/>
        <v>0</v>
      </c>
      <c r="AW527" s="17">
        <f t="shared" si="327"/>
        <v>0</v>
      </c>
      <c r="AX527" s="28">
        <f t="shared" si="328"/>
        <v>0</v>
      </c>
      <c r="AY527" s="17">
        <f t="shared" si="329"/>
        <v>0</v>
      </c>
      <c r="AZ527" s="28">
        <f t="shared" si="330"/>
        <v>0</v>
      </c>
      <c r="BA527" s="27">
        <f t="shared" si="313"/>
        <v>0</v>
      </c>
      <c r="BB527" s="27">
        <f t="shared" si="332"/>
        <v>0</v>
      </c>
      <c r="BC527" s="27">
        <f t="shared" si="334"/>
        <v>0</v>
      </c>
      <c r="BD527" s="27">
        <f t="shared" si="335"/>
        <v>0</v>
      </c>
      <c r="BE527" s="27">
        <f t="shared" si="336"/>
        <v>0</v>
      </c>
      <c r="BF527" s="29">
        <f t="shared" si="314"/>
        <v>0</v>
      </c>
      <c r="BH527" s="30">
        <f t="shared" si="331"/>
        <v>0</v>
      </c>
      <c r="BM527" s="2">
        <f t="shared" si="347"/>
        <v>0</v>
      </c>
      <c r="BP527" s="2">
        <f t="shared" si="348"/>
        <v>0</v>
      </c>
    </row>
    <row r="528" spans="1:68" ht="14.45" hidden="1" customHeight="1" x14ac:dyDescent="0.25">
      <c r="A528" s="33" t="s">
        <v>543</v>
      </c>
      <c r="B528" s="23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13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5"/>
      <c r="AD528" s="39">
        <f t="shared" si="349"/>
        <v>0</v>
      </c>
      <c r="AE528" s="26"/>
      <c r="AF528" s="27"/>
      <c r="AG528" s="17">
        <f t="shared" si="322"/>
        <v>0</v>
      </c>
      <c r="AH528" s="28">
        <f t="shared" si="323"/>
        <v>0</v>
      </c>
      <c r="AI528" s="17">
        <f t="shared" si="324"/>
        <v>0</v>
      </c>
      <c r="AJ528" s="28">
        <f t="shared" si="325"/>
        <v>0</v>
      </c>
      <c r="AK528" s="17">
        <f t="shared" si="333"/>
        <v>0</v>
      </c>
      <c r="AL528" s="28">
        <f t="shared" si="326"/>
        <v>0</v>
      </c>
      <c r="AM528" s="17">
        <f t="shared" si="341"/>
        <v>0</v>
      </c>
      <c r="AN528" s="28">
        <f t="shared" si="312"/>
        <v>0</v>
      </c>
      <c r="AO528" s="17">
        <f t="shared" si="343"/>
        <v>0</v>
      </c>
      <c r="AP528" s="28">
        <f t="shared" si="344"/>
        <v>0</v>
      </c>
      <c r="AQ528" s="17">
        <f t="shared" si="345"/>
        <v>0</v>
      </c>
      <c r="AR528" s="28">
        <f t="shared" si="346"/>
        <v>0</v>
      </c>
      <c r="AS528" s="17">
        <f t="shared" si="337"/>
        <v>0</v>
      </c>
      <c r="AT528" s="28">
        <f t="shared" si="338"/>
        <v>0</v>
      </c>
      <c r="AU528" s="17">
        <f t="shared" si="339"/>
        <v>0</v>
      </c>
      <c r="AV528" s="28">
        <f t="shared" si="340"/>
        <v>0</v>
      </c>
      <c r="AW528" s="17">
        <f t="shared" si="327"/>
        <v>0</v>
      </c>
      <c r="AX528" s="28">
        <f t="shared" si="328"/>
        <v>0</v>
      </c>
      <c r="AY528" s="17">
        <f t="shared" si="329"/>
        <v>0</v>
      </c>
      <c r="AZ528" s="28">
        <f t="shared" si="330"/>
        <v>0</v>
      </c>
      <c r="BA528" s="27">
        <f t="shared" si="313"/>
        <v>0</v>
      </c>
      <c r="BB528" s="27">
        <f t="shared" si="332"/>
        <v>0</v>
      </c>
      <c r="BC528" s="27">
        <f t="shared" si="334"/>
        <v>0</v>
      </c>
      <c r="BD528" s="27">
        <f t="shared" si="335"/>
        <v>0</v>
      </c>
      <c r="BE528" s="27">
        <f t="shared" si="336"/>
        <v>0</v>
      </c>
      <c r="BF528" s="29">
        <f t="shared" si="314"/>
        <v>0</v>
      </c>
      <c r="BH528" s="30">
        <f t="shared" si="331"/>
        <v>0</v>
      </c>
      <c r="BM528" s="2">
        <f t="shared" si="347"/>
        <v>0</v>
      </c>
      <c r="BP528" s="2">
        <f t="shared" si="348"/>
        <v>0</v>
      </c>
    </row>
    <row r="529" spans="1:68" ht="14.45" hidden="1" customHeight="1" x14ac:dyDescent="0.25">
      <c r="A529" s="33" t="s">
        <v>544</v>
      </c>
      <c r="B529" s="23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13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5"/>
      <c r="AD529" s="39">
        <f t="shared" si="349"/>
        <v>0</v>
      </c>
      <c r="AE529" s="26" t="s">
        <v>42</v>
      </c>
      <c r="AF529" s="27"/>
      <c r="AG529" s="17">
        <f t="shared" si="322"/>
        <v>0</v>
      </c>
      <c r="AH529" s="28">
        <f t="shared" si="323"/>
        <v>0</v>
      </c>
      <c r="AI529" s="17">
        <f t="shared" si="324"/>
        <v>0</v>
      </c>
      <c r="AJ529" s="28">
        <f t="shared" si="325"/>
        <v>0</v>
      </c>
      <c r="AK529" s="17">
        <f t="shared" si="333"/>
        <v>0</v>
      </c>
      <c r="AL529" s="28">
        <f t="shared" si="326"/>
        <v>0</v>
      </c>
      <c r="AM529" s="17">
        <f t="shared" si="341"/>
        <v>0</v>
      </c>
      <c r="AN529" s="28">
        <f t="shared" si="312"/>
        <v>0</v>
      </c>
      <c r="AO529" s="17">
        <f t="shared" si="343"/>
        <v>0</v>
      </c>
      <c r="AP529" s="28">
        <f t="shared" si="344"/>
        <v>0</v>
      </c>
      <c r="AQ529" s="17">
        <f t="shared" si="345"/>
        <v>0</v>
      </c>
      <c r="AR529" s="28">
        <f t="shared" si="346"/>
        <v>0</v>
      </c>
      <c r="AS529" s="17">
        <f t="shared" si="337"/>
        <v>0</v>
      </c>
      <c r="AT529" s="28">
        <f t="shared" si="338"/>
        <v>0</v>
      </c>
      <c r="AU529" s="17">
        <f t="shared" si="339"/>
        <v>0</v>
      </c>
      <c r="AV529" s="28">
        <f t="shared" si="340"/>
        <v>0</v>
      </c>
      <c r="AW529" s="17">
        <f t="shared" si="327"/>
        <v>0</v>
      </c>
      <c r="AX529" s="28">
        <f t="shared" si="328"/>
        <v>0</v>
      </c>
      <c r="AY529" s="17">
        <f t="shared" si="329"/>
        <v>0</v>
      </c>
      <c r="AZ529" s="28">
        <f t="shared" si="330"/>
        <v>0</v>
      </c>
      <c r="BA529" s="27">
        <f t="shared" si="313"/>
        <v>0</v>
      </c>
      <c r="BB529" s="27">
        <f t="shared" si="332"/>
        <v>0</v>
      </c>
      <c r="BC529" s="27">
        <f t="shared" si="334"/>
        <v>0</v>
      </c>
      <c r="BD529" s="27">
        <f t="shared" si="335"/>
        <v>0</v>
      </c>
      <c r="BE529" s="27">
        <f t="shared" si="336"/>
        <v>0</v>
      </c>
      <c r="BF529" s="29">
        <f t="shared" si="314"/>
        <v>0</v>
      </c>
      <c r="BH529" s="30">
        <f t="shared" si="331"/>
        <v>0</v>
      </c>
      <c r="BM529" s="2">
        <f t="shared" si="347"/>
        <v>0</v>
      </c>
      <c r="BP529" s="2">
        <f t="shared" si="348"/>
        <v>0</v>
      </c>
    </row>
    <row r="530" spans="1:68" ht="14.45" hidden="1" customHeight="1" x14ac:dyDescent="0.25">
      <c r="A530" s="33" t="s">
        <v>545</v>
      </c>
      <c r="B530" s="23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13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5"/>
      <c r="AD530" s="39">
        <f t="shared" si="349"/>
        <v>0</v>
      </c>
      <c r="AE530" s="26" t="s">
        <v>42</v>
      </c>
      <c r="AF530" s="27"/>
      <c r="AG530" s="17">
        <f t="shared" si="322"/>
        <v>0</v>
      </c>
      <c r="AH530" s="28">
        <f t="shared" si="323"/>
        <v>0</v>
      </c>
      <c r="AI530" s="17">
        <f t="shared" si="324"/>
        <v>0</v>
      </c>
      <c r="AJ530" s="28">
        <f t="shared" si="325"/>
        <v>0</v>
      </c>
      <c r="AK530" s="17">
        <f t="shared" si="333"/>
        <v>0</v>
      </c>
      <c r="AL530" s="28">
        <f t="shared" si="326"/>
        <v>0</v>
      </c>
      <c r="AM530" s="17">
        <f t="shared" si="341"/>
        <v>0</v>
      </c>
      <c r="AN530" s="28">
        <f t="shared" si="312"/>
        <v>0</v>
      </c>
      <c r="AO530" s="17">
        <f t="shared" si="343"/>
        <v>0</v>
      </c>
      <c r="AP530" s="28">
        <f t="shared" si="344"/>
        <v>0</v>
      </c>
      <c r="AQ530" s="17">
        <f t="shared" si="345"/>
        <v>0</v>
      </c>
      <c r="AR530" s="28">
        <f t="shared" si="346"/>
        <v>0</v>
      </c>
      <c r="AS530" s="17">
        <f t="shared" si="337"/>
        <v>0</v>
      </c>
      <c r="AT530" s="28">
        <f t="shared" si="338"/>
        <v>0</v>
      </c>
      <c r="AU530" s="17">
        <f t="shared" si="339"/>
        <v>0</v>
      </c>
      <c r="AV530" s="28">
        <f t="shared" si="340"/>
        <v>0</v>
      </c>
      <c r="AW530" s="17">
        <f t="shared" si="327"/>
        <v>0</v>
      </c>
      <c r="AX530" s="28">
        <f t="shared" si="328"/>
        <v>0</v>
      </c>
      <c r="AY530" s="17">
        <f t="shared" si="329"/>
        <v>0</v>
      </c>
      <c r="AZ530" s="28">
        <f t="shared" si="330"/>
        <v>0</v>
      </c>
      <c r="BA530" s="27">
        <f t="shared" si="313"/>
        <v>0</v>
      </c>
      <c r="BB530" s="27">
        <f t="shared" si="332"/>
        <v>0</v>
      </c>
      <c r="BC530" s="27">
        <f t="shared" si="334"/>
        <v>0</v>
      </c>
      <c r="BD530" s="27">
        <f t="shared" si="335"/>
        <v>0</v>
      </c>
      <c r="BE530" s="27">
        <f t="shared" si="336"/>
        <v>0</v>
      </c>
      <c r="BF530" s="29">
        <f t="shared" si="314"/>
        <v>0</v>
      </c>
      <c r="BH530" s="30">
        <f t="shared" si="331"/>
        <v>0</v>
      </c>
      <c r="BM530" s="2">
        <f t="shared" si="347"/>
        <v>0</v>
      </c>
      <c r="BP530" s="2">
        <f t="shared" si="348"/>
        <v>0</v>
      </c>
    </row>
    <row r="531" spans="1:68" ht="14.45" hidden="1" customHeight="1" x14ac:dyDescent="0.25">
      <c r="A531" s="33" t="s">
        <v>546</v>
      </c>
      <c r="B531" s="23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13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5"/>
      <c r="AD531" s="39">
        <f t="shared" si="349"/>
        <v>0</v>
      </c>
      <c r="AE531" s="26" t="s">
        <v>42</v>
      </c>
      <c r="AF531" s="27"/>
      <c r="AG531" s="17">
        <f t="shared" si="322"/>
        <v>0</v>
      </c>
      <c r="AH531" s="28">
        <f t="shared" si="323"/>
        <v>0</v>
      </c>
      <c r="AI531" s="17">
        <f t="shared" si="324"/>
        <v>0</v>
      </c>
      <c r="AJ531" s="28">
        <f t="shared" si="325"/>
        <v>0</v>
      </c>
      <c r="AK531" s="17">
        <f t="shared" si="333"/>
        <v>0</v>
      </c>
      <c r="AL531" s="28">
        <f t="shared" si="326"/>
        <v>0</v>
      </c>
      <c r="AM531" s="17">
        <f t="shared" si="341"/>
        <v>0</v>
      </c>
      <c r="AN531" s="28">
        <f t="shared" si="312"/>
        <v>0</v>
      </c>
      <c r="AO531" s="17">
        <f t="shared" si="343"/>
        <v>0</v>
      </c>
      <c r="AP531" s="28">
        <f t="shared" si="344"/>
        <v>0</v>
      </c>
      <c r="AQ531" s="17">
        <f t="shared" si="345"/>
        <v>0</v>
      </c>
      <c r="AR531" s="28">
        <f t="shared" si="346"/>
        <v>0</v>
      </c>
      <c r="AS531" s="17">
        <f t="shared" si="337"/>
        <v>0</v>
      </c>
      <c r="AT531" s="28">
        <f t="shared" si="338"/>
        <v>0</v>
      </c>
      <c r="AU531" s="17">
        <f t="shared" si="339"/>
        <v>0</v>
      </c>
      <c r="AV531" s="28">
        <f t="shared" si="340"/>
        <v>0</v>
      </c>
      <c r="AW531" s="17">
        <f t="shared" si="327"/>
        <v>0</v>
      </c>
      <c r="AX531" s="28">
        <f t="shared" si="328"/>
        <v>0</v>
      </c>
      <c r="AY531" s="17">
        <f t="shared" si="329"/>
        <v>0</v>
      </c>
      <c r="AZ531" s="28">
        <f t="shared" si="330"/>
        <v>0</v>
      </c>
      <c r="BA531" s="27">
        <f t="shared" si="313"/>
        <v>0</v>
      </c>
      <c r="BB531" s="27">
        <f t="shared" si="332"/>
        <v>0</v>
      </c>
      <c r="BC531" s="27">
        <f t="shared" si="334"/>
        <v>0</v>
      </c>
      <c r="BD531" s="27">
        <f t="shared" si="335"/>
        <v>0</v>
      </c>
      <c r="BE531" s="27">
        <f t="shared" si="336"/>
        <v>0</v>
      </c>
      <c r="BF531" s="29">
        <f t="shared" si="314"/>
        <v>0</v>
      </c>
      <c r="BH531" s="30">
        <f t="shared" si="331"/>
        <v>0</v>
      </c>
      <c r="BM531" s="2">
        <f t="shared" si="347"/>
        <v>0</v>
      </c>
      <c r="BP531" s="2">
        <f t="shared" si="348"/>
        <v>0</v>
      </c>
    </row>
    <row r="532" spans="1:68" ht="14.45" hidden="1" customHeight="1" x14ac:dyDescent="0.25">
      <c r="A532" s="33" t="s">
        <v>547</v>
      </c>
      <c r="B532" s="23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13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5"/>
      <c r="AD532" s="39">
        <f t="shared" si="349"/>
        <v>0</v>
      </c>
      <c r="AE532" s="26" t="s">
        <v>42</v>
      </c>
      <c r="AF532" s="27"/>
      <c r="AG532" s="17">
        <f t="shared" si="322"/>
        <v>0</v>
      </c>
      <c r="AH532" s="28">
        <f t="shared" si="323"/>
        <v>0</v>
      </c>
      <c r="AI532" s="17">
        <f t="shared" si="324"/>
        <v>0</v>
      </c>
      <c r="AJ532" s="28">
        <f t="shared" si="325"/>
        <v>0</v>
      </c>
      <c r="AK532" s="17">
        <f t="shared" si="333"/>
        <v>0</v>
      </c>
      <c r="AL532" s="28">
        <f t="shared" si="326"/>
        <v>0</v>
      </c>
      <c r="AM532" s="17">
        <f t="shared" si="341"/>
        <v>0</v>
      </c>
      <c r="AN532" s="28">
        <f t="shared" si="312"/>
        <v>0</v>
      </c>
      <c r="AO532" s="17">
        <f t="shared" si="343"/>
        <v>0</v>
      </c>
      <c r="AP532" s="28">
        <f t="shared" si="344"/>
        <v>0</v>
      </c>
      <c r="AQ532" s="17">
        <f t="shared" si="345"/>
        <v>0</v>
      </c>
      <c r="AR532" s="28">
        <f t="shared" si="346"/>
        <v>0</v>
      </c>
      <c r="AS532" s="17">
        <f t="shared" si="337"/>
        <v>0</v>
      </c>
      <c r="AT532" s="28">
        <f t="shared" si="338"/>
        <v>0</v>
      </c>
      <c r="AU532" s="17">
        <f t="shared" si="339"/>
        <v>0</v>
      </c>
      <c r="AV532" s="28">
        <f t="shared" si="340"/>
        <v>0</v>
      </c>
      <c r="AW532" s="17">
        <f t="shared" si="327"/>
        <v>0</v>
      </c>
      <c r="AX532" s="28">
        <f t="shared" si="328"/>
        <v>0</v>
      </c>
      <c r="AY532" s="17">
        <f t="shared" si="329"/>
        <v>0</v>
      </c>
      <c r="AZ532" s="28">
        <f t="shared" si="330"/>
        <v>0</v>
      </c>
      <c r="BA532" s="27">
        <f t="shared" si="313"/>
        <v>0</v>
      </c>
      <c r="BB532" s="27">
        <f t="shared" si="332"/>
        <v>0</v>
      </c>
      <c r="BC532" s="27">
        <f t="shared" si="334"/>
        <v>0</v>
      </c>
      <c r="BD532" s="27">
        <f t="shared" si="335"/>
        <v>0</v>
      </c>
      <c r="BE532" s="27">
        <f t="shared" si="336"/>
        <v>0</v>
      </c>
      <c r="BF532" s="29">
        <f t="shared" si="314"/>
        <v>0</v>
      </c>
      <c r="BH532" s="30">
        <f t="shared" si="331"/>
        <v>0</v>
      </c>
      <c r="BM532" s="2">
        <f t="shared" si="347"/>
        <v>0</v>
      </c>
      <c r="BP532" s="2">
        <f t="shared" si="348"/>
        <v>0</v>
      </c>
    </row>
    <row r="533" spans="1:68" ht="14.45" hidden="1" customHeight="1" x14ac:dyDescent="0.25">
      <c r="A533" s="33" t="s">
        <v>548</v>
      </c>
      <c r="B533" s="23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13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5"/>
      <c r="AD533" s="39">
        <f t="shared" si="349"/>
        <v>0</v>
      </c>
      <c r="AE533" s="26" t="s">
        <v>42</v>
      </c>
      <c r="AF533" s="27"/>
      <c r="AG533" s="17">
        <f t="shared" si="322"/>
        <v>0</v>
      </c>
      <c r="AH533" s="28">
        <f t="shared" si="323"/>
        <v>0</v>
      </c>
      <c r="AI533" s="17">
        <f t="shared" si="324"/>
        <v>0</v>
      </c>
      <c r="AJ533" s="28">
        <f t="shared" si="325"/>
        <v>0</v>
      </c>
      <c r="AK533" s="17">
        <f t="shared" si="333"/>
        <v>0</v>
      </c>
      <c r="AL533" s="28">
        <f t="shared" si="326"/>
        <v>0</v>
      </c>
      <c r="AM533" s="17">
        <f t="shared" si="341"/>
        <v>0</v>
      </c>
      <c r="AN533" s="28">
        <f t="shared" si="312"/>
        <v>0</v>
      </c>
      <c r="AO533" s="17">
        <f t="shared" si="343"/>
        <v>0</v>
      </c>
      <c r="AP533" s="28">
        <f t="shared" si="344"/>
        <v>0</v>
      </c>
      <c r="AQ533" s="17">
        <f t="shared" si="345"/>
        <v>0</v>
      </c>
      <c r="AR533" s="28">
        <f t="shared" si="346"/>
        <v>0</v>
      </c>
      <c r="AS533" s="17">
        <f t="shared" si="337"/>
        <v>0</v>
      </c>
      <c r="AT533" s="28">
        <f t="shared" si="338"/>
        <v>0</v>
      </c>
      <c r="AU533" s="17">
        <f t="shared" si="339"/>
        <v>0</v>
      </c>
      <c r="AV533" s="28">
        <f t="shared" si="340"/>
        <v>0</v>
      </c>
      <c r="AW533" s="17">
        <f t="shared" si="327"/>
        <v>0</v>
      </c>
      <c r="AX533" s="28">
        <f t="shared" si="328"/>
        <v>0</v>
      </c>
      <c r="AY533" s="17">
        <f t="shared" si="329"/>
        <v>0</v>
      </c>
      <c r="AZ533" s="28">
        <f t="shared" si="330"/>
        <v>0</v>
      </c>
      <c r="BA533" s="27">
        <f t="shared" si="313"/>
        <v>0</v>
      </c>
      <c r="BB533" s="27">
        <f t="shared" si="332"/>
        <v>0</v>
      </c>
      <c r="BC533" s="27">
        <f t="shared" si="334"/>
        <v>0</v>
      </c>
      <c r="BD533" s="27">
        <f t="shared" si="335"/>
        <v>0</v>
      </c>
      <c r="BE533" s="27">
        <f t="shared" si="336"/>
        <v>0</v>
      </c>
      <c r="BF533" s="29">
        <f t="shared" si="314"/>
        <v>0</v>
      </c>
      <c r="BH533" s="30">
        <f t="shared" si="331"/>
        <v>0</v>
      </c>
      <c r="BM533" s="2">
        <f t="shared" si="347"/>
        <v>0</v>
      </c>
      <c r="BP533" s="2">
        <f t="shared" si="348"/>
        <v>0</v>
      </c>
    </row>
    <row r="534" spans="1:68" ht="14.45" hidden="1" customHeight="1" x14ac:dyDescent="0.25">
      <c r="A534" s="33" t="s">
        <v>549</v>
      </c>
      <c r="B534" s="23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13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5"/>
      <c r="AD534" s="39">
        <f t="shared" si="349"/>
        <v>0</v>
      </c>
      <c r="AE534" s="26" t="s">
        <v>42</v>
      </c>
      <c r="AF534" s="27"/>
      <c r="AG534" s="17">
        <f t="shared" si="322"/>
        <v>0</v>
      </c>
      <c r="AH534" s="28">
        <f t="shared" si="323"/>
        <v>0</v>
      </c>
      <c r="AI534" s="17">
        <f t="shared" si="324"/>
        <v>0</v>
      </c>
      <c r="AJ534" s="28">
        <f t="shared" si="325"/>
        <v>0</v>
      </c>
      <c r="AK534" s="17">
        <f t="shared" si="333"/>
        <v>0</v>
      </c>
      <c r="AL534" s="28">
        <f t="shared" si="326"/>
        <v>0</v>
      </c>
      <c r="AM534" s="17">
        <f t="shared" si="341"/>
        <v>0</v>
      </c>
      <c r="AN534" s="28">
        <f t="shared" si="312"/>
        <v>0</v>
      </c>
      <c r="AO534" s="17">
        <f t="shared" si="343"/>
        <v>0</v>
      </c>
      <c r="AP534" s="28">
        <f t="shared" si="344"/>
        <v>0</v>
      </c>
      <c r="AQ534" s="17">
        <f t="shared" si="345"/>
        <v>0</v>
      </c>
      <c r="AR534" s="28">
        <f t="shared" si="346"/>
        <v>0</v>
      </c>
      <c r="AS534" s="17">
        <f t="shared" si="337"/>
        <v>0</v>
      </c>
      <c r="AT534" s="28">
        <f t="shared" si="338"/>
        <v>0</v>
      </c>
      <c r="AU534" s="17">
        <f t="shared" si="339"/>
        <v>0</v>
      </c>
      <c r="AV534" s="28">
        <f t="shared" si="340"/>
        <v>0</v>
      </c>
      <c r="AW534" s="17">
        <f t="shared" si="327"/>
        <v>0</v>
      </c>
      <c r="AX534" s="28">
        <f t="shared" si="328"/>
        <v>0</v>
      </c>
      <c r="AY534" s="17">
        <f t="shared" si="329"/>
        <v>0</v>
      </c>
      <c r="AZ534" s="28">
        <f t="shared" si="330"/>
        <v>0</v>
      </c>
      <c r="BA534" s="27">
        <f t="shared" si="313"/>
        <v>0</v>
      </c>
      <c r="BB534" s="27">
        <f t="shared" si="332"/>
        <v>0</v>
      </c>
      <c r="BC534" s="27">
        <f t="shared" si="334"/>
        <v>0</v>
      </c>
      <c r="BD534" s="27">
        <f t="shared" si="335"/>
        <v>0</v>
      </c>
      <c r="BE534" s="27">
        <f t="shared" si="336"/>
        <v>0</v>
      </c>
      <c r="BF534" s="29">
        <f t="shared" si="314"/>
        <v>0</v>
      </c>
      <c r="BH534" s="30">
        <f t="shared" si="331"/>
        <v>0</v>
      </c>
      <c r="BM534" s="2">
        <f t="shared" si="347"/>
        <v>0</v>
      </c>
      <c r="BP534" s="2">
        <f t="shared" si="348"/>
        <v>0</v>
      </c>
    </row>
    <row r="535" spans="1:68" ht="14.45" hidden="1" customHeight="1" x14ac:dyDescent="0.25">
      <c r="A535" s="33" t="s">
        <v>550</v>
      </c>
      <c r="B535" s="23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13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5"/>
      <c r="AD535" s="39">
        <f t="shared" si="349"/>
        <v>0</v>
      </c>
      <c r="AE535" s="26" t="s">
        <v>42</v>
      </c>
      <c r="AF535" s="27"/>
      <c r="AG535" s="17">
        <f t="shared" si="322"/>
        <v>0</v>
      </c>
      <c r="AH535" s="28">
        <f t="shared" si="323"/>
        <v>0</v>
      </c>
      <c r="AI535" s="17">
        <f t="shared" si="324"/>
        <v>0</v>
      </c>
      <c r="AJ535" s="28">
        <f t="shared" si="325"/>
        <v>0</v>
      </c>
      <c r="AK535" s="17">
        <f t="shared" si="333"/>
        <v>0</v>
      </c>
      <c r="AL535" s="28">
        <f t="shared" si="326"/>
        <v>0</v>
      </c>
      <c r="AM535" s="17">
        <f t="shared" si="341"/>
        <v>0</v>
      </c>
      <c r="AN535" s="28">
        <f t="shared" si="312"/>
        <v>0</v>
      </c>
      <c r="AO535" s="17">
        <f t="shared" si="343"/>
        <v>0</v>
      </c>
      <c r="AP535" s="28">
        <f t="shared" si="344"/>
        <v>0</v>
      </c>
      <c r="AQ535" s="17">
        <f t="shared" si="345"/>
        <v>0</v>
      </c>
      <c r="AR535" s="28">
        <f t="shared" si="346"/>
        <v>0</v>
      </c>
      <c r="AS535" s="17">
        <f t="shared" si="337"/>
        <v>0</v>
      </c>
      <c r="AT535" s="28">
        <f t="shared" si="338"/>
        <v>0</v>
      </c>
      <c r="AU535" s="17">
        <f t="shared" si="339"/>
        <v>0</v>
      </c>
      <c r="AV535" s="28">
        <f t="shared" si="340"/>
        <v>0</v>
      </c>
      <c r="AW535" s="17">
        <f t="shared" si="327"/>
        <v>0</v>
      </c>
      <c r="AX535" s="28">
        <f t="shared" si="328"/>
        <v>0</v>
      </c>
      <c r="AY535" s="17">
        <f t="shared" si="329"/>
        <v>0</v>
      </c>
      <c r="AZ535" s="28">
        <f t="shared" si="330"/>
        <v>0</v>
      </c>
      <c r="BA535" s="27">
        <f t="shared" si="313"/>
        <v>0</v>
      </c>
      <c r="BB535" s="27">
        <f t="shared" si="332"/>
        <v>0</v>
      </c>
      <c r="BC535" s="27">
        <f t="shared" si="334"/>
        <v>0</v>
      </c>
      <c r="BD535" s="27">
        <f t="shared" si="335"/>
        <v>0</v>
      </c>
      <c r="BE535" s="27">
        <f t="shared" si="336"/>
        <v>0</v>
      </c>
      <c r="BF535" s="29">
        <f t="shared" si="314"/>
        <v>0</v>
      </c>
      <c r="BH535" s="30">
        <f t="shared" si="331"/>
        <v>0</v>
      </c>
      <c r="BM535" s="2">
        <f t="shared" si="347"/>
        <v>0</v>
      </c>
      <c r="BP535" s="2">
        <f t="shared" si="348"/>
        <v>0</v>
      </c>
    </row>
    <row r="536" spans="1:68" ht="14.45" hidden="1" customHeight="1" x14ac:dyDescent="0.25">
      <c r="A536" s="33" t="s">
        <v>551</v>
      </c>
      <c r="B536" s="23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13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5"/>
      <c r="AD536" s="39">
        <f t="shared" si="349"/>
        <v>0</v>
      </c>
      <c r="AE536" s="26" t="s">
        <v>42</v>
      </c>
      <c r="AF536" s="27"/>
      <c r="AG536" s="17">
        <f t="shared" si="322"/>
        <v>0</v>
      </c>
      <c r="AH536" s="28">
        <f t="shared" si="323"/>
        <v>0</v>
      </c>
      <c r="AI536" s="17">
        <f t="shared" si="324"/>
        <v>0</v>
      </c>
      <c r="AJ536" s="28">
        <f t="shared" si="325"/>
        <v>0</v>
      </c>
      <c r="AK536" s="17">
        <f t="shared" si="333"/>
        <v>0</v>
      </c>
      <c r="AL536" s="28">
        <f t="shared" si="326"/>
        <v>0</v>
      </c>
      <c r="AM536" s="17">
        <f t="shared" si="341"/>
        <v>0</v>
      </c>
      <c r="AN536" s="28">
        <f t="shared" si="312"/>
        <v>0</v>
      </c>
      <c r="AO536" s="17">
        <f t="shared" si="343"/>
        <v>0</v>
      </c>
      <c r="AP536" s="28">
        <f t="shared" si="344"/>
        <v>0</v>
      </c>
      <c r="AQ536" s="17">
        <f t="shared" si="345"/>
        <v>0</v>
      </c>
      <c r="AR536" s="28">
        <f t="shared" si="346"/>
        <v>0</v>
      </c>
      <c r="AS536" s="17">
        <f t="shared" si="337"/>
        <v>0</v>
      </c>
      <c r="AT536" s="28">
        <f t="shared" si="338"/>
        <v>0</v>
      </c>
      <c r="AU536" s="17">
        <f t="shared" si="339"/>
        <v>0</v>
      </c>
      <c r="AV536" s="28">
        <f t="shared" si="340"/>
        <v>0</v>
      </c>
      <c r="AW536" s="17">
        <f t="shared" si="327"/>
        <v>0</v>
      </c>
      <c r="AX536" s="28">
        <f t="shared" si="328"/>
        <v>0</v>
      </c>
      <c r="AY536" s="17">
        <f t="shared" si="329"/>
        <v>0</v>
      </c>
      <c r="AZ536" s="28">
        <f t="shared" si="330"/>
        <v>0</v>
      </c>
      <c r="BA536" s="27">
        <f t="shared" si="313"/>
        <v>0</v>
      </c>
      <c r="BB536" s="27">
        <f t="shared" si="332"/>
        <v>0</v>
      </c>
      <c r="BC536" s="27">
        <f t="shared" si="334"/>
        <v>0</v>
      </c>
      <c r="BD536" s="27">
        <f t="shared" si="335"/>
        <v>0</v>
      </c>
      <c r="BE536" s="27">
        <f t="shared" si="336"/>
        <v>0</v>
      </c>
      <c r="BF536" s="29">
        <f t="shared" si="314"/>
        <v>0</v>
      </c>
      <c r="BH536" s="30">
        <f t="shared" si="331"/>
        <v>0</v>
      </c>
      <c r="BM536" s="2">
        <f t="shared" si="347"/>
        <v>0</v>
      </c>
      <c r="BP536" s="2">
        <f t="shared" si="348"/>
        <v>0</v>
      </c>
    </row>
    <row r="537" spans="1:68" ht="14.45" hidden="1" customHeight="1" x14ac:dyDescent="0.25">
      <c r="A537" s="33" t="s">
        <v>552</v>
      </c>
      <c r="B537" s="23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13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5"/>
      <c r="AD537" s="39">
        <f t="shared" si="349"/>
        <v>0</v>
      </c>
      <c r="AE537" s="26" t="s">
        <v>42</v>
      </c>
      <c r="AF537" s="27"/>
      <c r="AG537" s="17">
        <f t="shared" si="322"/>
        <v>0</v>
      </c>
      <c r="AH537" s="28">
        <f t="shared" si="323"/>
        <v>0</v>
      </c>
      <c r="AI537" s="17">
        <f t="shared" si="324"/>
        <v>0</v>
      </c>
      <c r="AJ537" s="28">
        <f t="shared" si="325"/>
        <v>0</v>
      </c>
      <c r="AK537" s="17">
        <f t="shared" si="333"/>
        <v>0</v>
      </c>
      <c r="AL537" s="28">
        <f t="shared" si="326"/>
        <v>0</v>
      </c>
      <c r="AM537" s="17">
        <f t="shared" si="341"/>
        <v>0</v>
      </c>
      <c r="AN537" s="28">
        <f t="shared" si="312"/>
        <v>0</v>
      </c>
      <c r="AO537" s="17">
        <f t="shared" si="343"/>
        <v>0</v>
      </c>
      <c r="AP537" s="28">
        <f t="shared" si="344"/>
        <v>0</v>
      </c>
      <c r="AQ537" s="17">
        <f t="shared" si="345"/>
        <v>0</v>
      </c>
      <c r="AR537" s="28">
        <f t="shared" si="346"/>
        <v>0</v>
      </c>
      <c r="AS537" s="17">
        <f t="shared" si="337"/>
        <v>0</v>
      </c>
      <c r="AT537" s="28">
        <f t="shared" si="338"/>
        <v>0</v>
      </c>
      <c r="AU537" s="17">
        <f t="shared" si="339"/>
        <v>0</v>
      </c>
      <c r="AV537" s="28">
        <f t="shared" si="340"/>
        <v>0</v>
      </c>
      <c r="AW537" s="17">
        <f t="shared" si="327"/>
        <v>0</v>
      </c>
      <c r="AX537" s="28">
        <f t="shared" si="328"/>
        <v>0</v>
      </c>
      <c r="AY537" s="17">
        <f t="shared" si="329"/>
        <v>0</v>
      </c>
      <c r="AZ537" s="28">
        <f t="shared" si="330"/>
        <v>0</v>
      </c>
      <c r="BA537" s="27">
        <f t="shared" si="313"/>
        <v>0</v>
      </c>
      <c r="BB537" s="27">
        <f t="shared" si="332"/>
        <v>0</v>
      </c>
      <c r="BC537" s="27">
        <f t="shared" si="334"/>
        <v>0</v>
      </c>
      <c r="BD537" s="27">
        <f t="shared" si="335"/>
        <v>0</v>
      </c>
      <c r="BE537" s="27">
        <f t="shared" si="336"/>
        <v>0</v>
      </c>
      <c r="BF537" s="29">
        <f t="shared" si="314"/>
        <v>0</v>
      </c>
      <c r="BH537" s="30">
        <f t="shared" si="331"/>
        <v>0</v>
      </c>
      <c r="BM537" s="2">
        <f t="shared" si="347"/>
        <v>0</v>
      </c>
      <c r="BP537" s="2">
        <f t="shared" si="348"/>
        <v>0</v>
      </c>
    </row>
    <row r="538" spans="1:68" ht="14.45" hidden="1" customHeight="1" x14ac:dyDescent="0.25">
      <c r="A538" s="33" t="s">
        <v>553</v>
      </c>
      <c r="B538" s="23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13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5"/>
      <c r="AD538" s="39">
        <f t="shared" si="349"/>
        <v>0</v>
      </c>
      <c r="AE538" s="26" t="s">
        <v>42</v>
      </c>
      <c r="AF538" s="27"/>
      <c r="AG538" s="17">
        <f t="shared" si="322"/>
        <v>0</v>
      </c>
      <c r="AH538" s="28">
        <f t="shared" si="323"/>
        <v>0</v>
      </c>
      <c r="AI538" s="17">
        <f t="shared" si="324"/>
        <v>0</v>
      </c>
      <c r="AJ538" s="28">
        <f t="shared" si="325"/>
        <v>0</v>
      </c>
      <c r="AK538" s="17">
        <f t="shared" si="333"/>
        <v>0</v>
      </c>
      <c r="AL538" s="28">
        <f t="shared" si="326"/>
        <v>0</v>
      </c>
      <c r="AM538" s="17">
        <f t="shared" si="341"/>
        <v>0</v>
      </c>
      <c r="AN538" s="28">
        <f t="shared" si="312"/>
        <v>0</v>
      </c>
      <c r="AO538" s="17">
        <f t="shared" si="343"/>
        <v>0</v>
      </c>
      <c r="AP538" s="28">
        <f t="shared" si="344"/>
        <v>0</v>
      </c>
      <c r="AQ538" s="17">
        <f t="shared" si="345"/>
        <v>0</v>
      </c>
      <c r="AR538" s="28">
        <f t="shared" si="346"/>
        <v>0</v>
      </c>
      <c r="AS538" s="17">
        <f t="shared" si="337"/>
        <v>0</v>
      </c>
      <c r="AT538" s="28">
        <f t="shared" si="338"/>
        <v>0</v>
      </c>
      <c r="AU538" s="17">
        <f t="shared" si="339"/>
        <v>0</v>
      </c>
      <c r="AV538" s="28">
        <f t="shared" si="340"/>
        <v>0</v>
      </c>
      <c r="AW538" s="17">
        <f t="shared" si="327"/>
        <v>0</v>
      </c>
      <c r="AX538" s="28">
        <f t="shared" si="328"/>
        <v>0</v>
      </c>
      <c r="AY538" s="17">
        <f t="shared" si="329"/>
        <v>0</v>
      </c>
      <c r="AZ538" s="28">
        <f t="shared" si="330"/>
        <v>0</v>
      </c>
      <c r="BA538" s="27">
        <f t="shared" si="313"/>
        <v>0</v>
      </c>
      <c r="BB538" s="27">
        <f t="shared" si="332"/>
        <v>0</v>
      </c>
      <c r="BC538" s="27">
        <f t="shared" si="334"/>
        <v>0</v>
      </c>
      <c r="BD538" s="27">
        <f t="shared" si="335"/>
        <v>0</v>
      </c>
      <c r="BE538" s="27">
        <f t="shared" si="336"/>
        <v>0</v>
      </c>
      <c r="BF538" s="29">
        <f t="shared" si="314"/>
        <v>0</v>
      </c>
      <c r="BH538" s="30">
        <f t="shared" si="331"/>
        <v>0</v>
      </c>
      <c r="BM538" s="2">
        <f t="shared" si="347"/>
        <v>0</v>
      </c>
      <c r="BP538" s="2">
        <f t="shared" si="348"/>
        <v>0</v>
      </c>
    </row>
    <row r="539" spans="1:68" ht="14.45" hidden="1" customHeight="1" x14ac:dyDescent="0.25">
      <c r="A539" s="33" t="s">
        <v>554</v>
      </c>
      <c r="B539" s="23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13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5"/>
      <c r="AD539" s="39">
        <f t="shared" si="349"/>
        <v>0</v>
      </c>
      <c r="AE539" s="26" t="s">
        <v>42</v>
      </c>
      <c r="AF539" s="27"/>
      <c r="AG539" s="17">
        <f t="shared" si="322"/>
        <v>0</v>
      </c>
      <c r="AH539" s="28">
        <f t="shared" si="323"/>
        <v>0</v>
      </c>
      <c r="AI539" s="17">
        <f t="shared" si="324"/>
        <v>0</v>
      </c>
      <c r="AJ539" s="28">
        <f t="shared" si="325"/>
        <v>0</v>
      </c>
      <c r="AK539" s="17">
        <f t="shared" si="333"/>
        <v>0</v>
      </c>
      <c r="AL539" s="28">
        <f t="shared" si="326"/>
        <v>0</v>
      </c>
      <c r="AM539" s="17">
        <f t="shared" si="341"/>
        <v>0</v>
      </c>
      <c r="AN539" s="28">
        <f t="shared" si="312"/>
        <v>0</v>
      </c>
      <c r="AO539" s="17">
        <f t="shared" si="343"/>
        <v>0</v>
      </c>
      <c r="AP539" s="28">
        <f t="shared" si="344"/>
        <v>0</v>
      </c>
      <c r="AQ539" s="17">
        <f t="shared" si="345"/>
        <v>0</v>
      </c>
      <c r="AR539" s="28">
        <f t="shared" si="346"/>
        <v>0</v>
      </c>
      <c r="AS539" s="17">
        <f t="shared" si="337"/>
        <v>0</v>
      </c>
      <c r="AT539" s="28">
        <f t="shared" si="338"/>
        <v>0</v>
      </c>
      <c r="AU539" s="17">
        <f t="shared" si="339"/>
        <v>0</v>
      </c>
      <c r="AV539" s="28">
        <f t="shared" si="340"/>
        <v>0</v>
      </c>
      <c r="AW539" s="17">
        <f t="shared" si="327"/>
        <v>0</v>
      </c>
      <c r="AX539" s="28">
        <f t="shared" si="328"/>
        <v>0</v>
      </c>
      <c r="AY539" s="17">
        <f t="shared" si="329"/>
        <v>0</v>
      </c>
      <c r="AZ539" s="28">
        <f t="shared" si="330"/>
        <v>0</v>
      </c>
      <c r="BA539" s="27">
        <f t="shared" si="313"/>
        <v>0</v>
      </c>
      <c r="BB539" s="27">
        <f t="shared" si="332"/>
        <v>0</v>
      </c>
      <c r="BC539" s="27">
        <f t="shared" si="334"/>
        <v>0</v>
      </c>
      <c r="BD539" s="27">
        <f t="shared" si="335"/>
        <v>0</v>
      </c>
      <c r="BE539" s="27">
        <f t="shared" si="336"/>
        <v>0</v>
      </c>
      <c r="BF539" s="29">
        <f t="shared" si="314"/>
        <v>0</v>
      </c>
      <c r="BH539" s="30">
        <f t="shared" si="331"/>
        <v>0</v>
      </c>
      <c r="BM539" s="2">
        <f t="shared" si="347"/>
        <v>0</v>
      </c>
      <c r="BP539" s="2">
        <f t="shared" si="348"/>
        <v>0</v>
      </c>
    </row>
    <row r="540" spans="1:68" ht="14.45" hidden="1" customHeight="1" x14ac:dyDescent="0.25">
      <c r="A540" s="33" t="s">
        <v>555</v>
      </c>
      <c r="B540" s="23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13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5"/>
      <c r="AD540" s="39">
        <f t="shared" si="349"/>
        <v>0</v>
      </c>
      <c r="AE540" s="26" t="s">
        <v>42</v>
      </c>
      <c r="AF540" s="27"/>
      <c r="AG540" s="17">
        <f t="shared" si="322"/>
        <v>0</v>
      </c>
      <c r="AH540" s="28">
        <f t="shared" si="323"/>
        <v>0</v>
      </c>
      <c r="AI540" s="17">
        <f t="shared" si="324"/>
        <v>0</v>
      </c>
      <c r="AJ540" s="28">
        <f t="shared" si="325"/>
        <v>0</v>
      </c>
      <c r="AK540" s="17">
        <f t="shared" si="333"/>
        <v>0</v>
      </c>
      <c r="AL540" s="28">
        <f t="shared" si="326"/>
        <v>0</v>
      </c>
      <c r="AM540" s="17">
        <f t="shared" si="341"/>
        <v>0</v>
      </c>
      <c r="AN540" s="28">
        <f t="shared" si="312"/>
        <v>0</v>
      </c>
      <c r="AO540" s="17">
        <f t="shared" si="343"/>
        <v>0</v>
      </c>
      <c r="AP540" s="28">
        <f t="shared" si="344"/>
        <v>0</v>
      </c>
      <c r="AQ540" s="17">
        <f t="shared" si="345"/>
        <v>0</v>
      </c>
      <c r="AR540" s="28">
        <f t="shared" si="346"/>
        <v>0</v>
      </c>
      <c r="AS540" s="17">
        <f t="shared" si="337"/>
        <v>0</v>
      </c>
      <c r="AT540" s="28">
        <f t="shared" si="338"/>
        <v>0</v>
      </c>
      <c r="AU540" s="17">
        <f t="shared" si="339"/>
        <v>0</v>
      </c>
      <c r="AV540" s="28">
        <f t="shared" si="340"/>
        <v>0</v>
      </c>
      <c r="AW540" s="17">
        <f t="shared" si="327"/>
        <v>0</v>
      </c>
      <c r="AX540" s="28">
        <f t="shared" si="328"/>
        <v>0</v>
      </c>
      <c r="AY540" s="17">
        <f t="shared" si="329"/>
        <v>0</v>
      </c>
      <c r="AZ540" s="28">
        <f t="shared" si="330"/>
        <v>0</v>
      </c>
      <c r="BA540" s="27">
        <f t="shared" si="313"/>
        <v>0</v>
      </c>
      <c r="BB540" s="27">
        <f t="shared" si="332"/>
        <v>0</v>
      </c>
      <c r="BC540" s="27">
        <f t="shared" si="334"/>
        <v>0</v>
      </c>
      <c r="BD540" s="27">
        <f t="shared" si="335"/>
        <v>0</v>
      </c>
      <c r="BE540" s="27">
        <f t="shared" si="336"/>
        <v>0</v>
      </c>
      <c r="BF540" s="29">
        <f t="shared" si="314"/>
        <v>0</v>
      </c>
      <c r="BH540" s="30">
        <f t="shared" si="331"/>
        <v>0</v>
      </c>
      <c r="BM540" s="2">
        <f t="shared" si="347"/>
        <v>0</v>
      </c>
      <c r="BP540" s="2">
        <f t="shared" si="348"/>
        <v>0</v>
      </c>
    </row>
    <row r="541" spans="1:68" ht="14.45" hidden="1" customHeight="1" x14ac:dyDescent="0.25">
      <c r="A541" s="33" t="s">
        <v>556</v>
      </c>
      <c r="B541" s="23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13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5"/>
      <c r="AD541" s="39">
        <f t="shared" si="349"/>
        <v>0</v>
      </c>
      <c r="AE541" s="26" t="s">
        <v>42</v>
      </c>
      <c r="AF541" s="27"/>
      <c r="AG541" s="17">
        <f t="shared" si="322"/>
        <v>0</v>
      </c>
      <c r="AH541" s="28">
        <f t="shared" si="323"/>
        <v>0</v>
      </c>
      <c r="AI541" s="17">
        <f t="shared" si="324"/>
        <v>0</v>
      </c>
      <c r="AJ541" s="28">
        <f t="shared" si="325"/>
        <v>0</v>
      </c>
      <c r="AK541" s="17">
        <f t="shared" si="333"/>
        <v>0</v>
      </c>
      <c r="AL541" s="28">
        <f t="shared" si="326"/>
        <v>0</v>
      </c>
      <c r="AM541" s="17">
        <f t="shared" si="341"/>
        <v>0</v>
      </c>
      <c r="AN541" s="28">
        <f t="shared" si="312"/>
        <v>0</v>
      </c>
      <c r="AO541" s="17">
        <f t="shared" si="343"/>
        <v>0</v>
      </c>
      <c r="AP541" s="28">
        <f t="shared" si="344"/>
        <v>0</v>
      </c>
      <c r="AQ541" s="17">
        <f t="shared" si="345"/>
        <v>0</v>
      </c>
      <c r="AR541" s="28">
        <f t="shared" si="346"/>
        <v>0</v>
      </c>
      <c r="AS541" s="17">
        <f t="shared" si="337"/>
        <v>0</v>
      </c>
      <c r="AT541" s="28">
        <f t="shared" si="338"/>
        <v>0</v>
      </c>
      <c r="AU541" s="17">
        <f t="shared" si="339"/>
        <v>0</v>
      </c>
      <c r="AV541" s="28">
        <f t="shared" si="340"/>
        <v>0</v>
      </c>
      <c r="AW541" s="17">
        <f t="shared" si="327"/>
        <v>0</v>
      </c>
      <c r="AX541" s="28">
        <f t="shared" si="328"/>
        <v>0</v>
      </c>
      <c r="AY541" s="17">
        <f t="shared" si="329"/>
        <v>0</v>
      </c>
      <c r="AZ541" s="28">
        <f t="shared" si="330"/>
        <v>0</v>
      </c>
      <c r="BA541" s="27">
        <f t="shared" si="313"/>
        <v>0</v>
      </c>
      <c r="BB541" s="27">
        <f t="shared" si="332"/>
        <v>0</v>
      </c>
      <c r="BC541" s="27">
        <f t="shared" si="334"/>
        <v>0</v>
      </c>
      <c r="BD541" s="27">
        <f t="shared" si="335"/>
        <v>0</v>
      </c>
      <c r="BE541" s="27">
        <f t="shared" si="336"/>
        <v>0</v>
      </c>
      <c r="BF541" s="29">
        <f t="shared" si="314"/>
        <v>0</v>
      </c>
      <c r="BH541" s="30">
        <f t="shared" si="331"/>
        <v>0</v>
      </c>
      <c r="BM541" s="2">
        <f t="shared" si="347"/>
        <v>0</v>
      </c>
      <c r="BP541" s="2">
        <f t="shared" si="348"/>
        <v>0</v>
      </c>
    </row>
    <row r="542" spans="1:68" ht="14.45" hidden="1" customHeight="1" x14ac:dyDescent="0.25">
      <c r="A542" s="33" t="s">
        <v>551</v>
      </c>
      <c r="B542" s="23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13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5"/>
      <c r="AD542" s="39">
        <f t="shared" si="349"/>
        <v>0</v>
      </c>
      <c r="AE542" s="26" t="s">
        <v>42</v>
      </c>
      <c r="AF542" s="27"/>
      <c r="AG542" s="17">
        <f t="shared" si="322"/>
        <v>0</v>
      </c>
      <c r="AH542" s="28">
        <f t="shared" si="323"/>
        <v>0</v>
      </c>
      <c r="AI542" s="17">
        <f t="shared" si="324"/>
        <v>0</v>
      </c>
      <c r="AJ542" s="28">
        <f t="shared" si="325"/>
        <v>0</v>
      </c>
      <c r="AK542" s="17">
        <f t="shared" si="333"/>
        <v>0</v>
      </c>
      <c r="AL542" s="28">
        <f t="shared" si="326"/>
        <v>0</v>
      </c>
      <c r="AM542" s="17">
        <f t="shared" si="341"/>
        <v>0</v>
      </c>
      <c r="AN542" s="28">
        <f t="shared" si="312"/>
        <v>0</v>
      </c>
      <c r="AO542" s="17">
        <f t="shared" si="343"/>
        <v>0</v>
      </c>
      <c r="AP542" s="28">
        <f t="shared" si="344"/>
        <v>0</v>
      </c>
      <c r="AQ542" s="17">
        <f t="shared" si="345"/>
        <v>0</v>
      </c>
      <c r="AR542" s="28">
        <f t="shared" si="346"/>
        <v>0</v>
      </c>
      <c r="AS542" s="17">
        <f t="shared" si="337"/>
        <v>0</v>
      </c>
      <c r="AT542" s="28">
        <f t="shared" si="338"/>
        <v>0</v>
      </c>
      <c r="AU542" s="17">
        <f t="shared" si="339"/>
        <v>0</v>
      </c>
      <c r="AV542" s="28">
        <f t="shared" si="340"/>
        <v>0</v>
      </c>
      <c r="AW542" s="17">
        <f t="shared" si="327"/>
        <v>0</v>
      </c>
      <c r="AX542" s="28">
        <f t="shared" si="328"/>
        <v>0</v>
      </c>
      <c r="AY542" s="17">
        <f t="shared" si="329"/>
        <v>0</v>
      </c>
      <c r="AZ542" s="28">
        <f t="shared" si="330"/>
        <v>0</v>
      </c>
      <c r="BA542" s="27">
        <f t="shared" si="313"/>
        <v>0</v>
      </c>
      <c r="BB542" s="27">
        <f t="shared" si="332"/>
        <v>0</v>
      </c>
      <c r="BC542" s="27">
        <f t="shared" si="334"/>
        <v>0</v>
      </c>
      <c r="BD542" s="27">
        <f t="shared" si="335"/>
        <v>0</v>
      </c>
      <c r="BE542" s="27">
        <f t="shared" si="336"/>
        <v>0</v>
      </c>
      <c r="BF542" s="29">
        <f t="shared" si="314"/>
        <v>0</v>
      </c>
      <c r="BH542" s="30">
        <f t="shared" si="331"/>
        <v>0</v>
      </c>
      <c r="BM542" s="2">
        <f t="shared" si="347"/>
        <v>0</v>
      </c>
      <c r="BP542" s="2">
        <f t="shared" si="348"/>
        <v>0</v>
      </c>
    </row>
    <row r="543" spans="1:68" ht="14.45" hidden="1" customHeight="1" x14ac:dyDescent="0.25">
      <c r="A543" s="33" t="s">
        <v>557</v>
      </c>
      <c r="B543" s="23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13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5"/>
      <c r="AD543" s="39">
        <f t="shared" si="349"/>
        <v>0</v>
      </c>
      <c r="AE543" s="26" t="s">
        <v>42</v>
      </c>
      <c r="AF543" s="27"/>
      <c r="AG543" s="17">
        <f t="shared" si="322"/>
        <v>0</v>
      </c>
      <c r="AH543" s="28">
        <f t="shared" si="323"/>
        <v>0</v>
      </c>
      <c r="AI543" s="17">
        <f t="shared" si="324"/>
        <v>0</v>
      </c>
      <c r="AJ543" s="28">
        <f t="shared" si="325"/>
        <v>0</v>
      </c>
      <c r="AK543" s="17">
        <f t="shared" si="333"/>
        <v>0</v>
      </c>
      <c r="AL543" s="28">
        <f t="shared" si="326"/>
        <v>0</v>
      </c>
      <c r="AM543" s="17">
        <f t="shared" si="341"/>
        <v>0</v>
      </c>
      <c r="AN543" s="28">
        <f t="shared" si="312"/>
        <v>0</v>
      </c>
      <c r="AO543" s="17">
        <f t="shared" si="343"/>
        <v>0</v>
      </c>
      <c r="AP543" s="28">
        <f t="shared" si="344"/>
        <v>0</v>
      </c>
      <c r="AQ543" s="17">
        <f t="shared" si="345"/>
        <v>0</v>
      </c>
      <c r="AR543" s="28">
        <f t="shared" si="346"/>
        <v>0</v>
      </c>
      <c r="AS543" s="17">
        <f t="shared" si="337"/>
        <v>0</v>
      </c>
      <c r="AT543" s="28">
        <f t="shared" si="338"/>
        <v>0</v>
      </c>
      <c r="AU543" s="17">
        <f t="shared" si="339"/>
        <v>0</v>
      </c>
      <c r="AV543" s="28">
        <f t="shared" si="340"/>
        <v>0</v>
      </c>
      <c r="AW543" s="17">
        <f t="shared" si="327"/>
        <v>0</v>
      </c>
      <c r="AX543" s="28">
        <f t="shared" si="328"/>
        <v>0</v>
      </c>
      <c r="AY543" s="17">
        <f t="shared" si="329"/>
        <v>0</v>
      </c>
      <c r="AZ543" s="28">
        <f t="shared" si="330"/>
        <v>0</v>
      </c>
      <c r="BA543" s="27">
        <f t="shared" si="313"/>
        <v>0</v>
      </c>
      <c r="BB543" s="27">
        <f t="shared" si="332"/>
        <v>0</v>
      </c>
      <c r="BC543" s="27">
        <f t="shared" si="334"/>
        <v>0</v>
      </c>
      <c r="BD543" s="27">
        <f t="shared" si="335"/>
        <v>0</v>
      </c>
      <c r="BE543" s="27">
        <f t="shared" si="336"/>
        <v>0</v>
      </c>
      <c r="BF543" s="29">
        <f t="shared" si="314"/>
        <v>0</v>
      </c>
      <c r="BH543" s="30">
        <f t="shared" si="331"/>
        <v>0</v>
      </c>
      <c r="BM543" s="2">
        <f t="shared" si="347"/>
        <v>0</v>
      </c>
      <c r="BP543" s="2">
        <f t="shared" si="348"/>
        <v>0</v>
      </c>
    </row>
    <row r="544" spans="1:68" ht="14.45" hidden="1" customHeight="1" x14ac:dyDescent="0.25">
      <c r="A544" s="33" t="s">
        <v>558</v>
      </c>
      <c r="B544" s="23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13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5"/>
      <c r="AD544" s="39">
        <f t="shared" si="349"/>
        <v>0</v>
      </c>
      <c r="AE544" s="26" t="s">
        <v>42</v>
      </c>
      <c r="AF544" s="27"/>
      <c r="AG544" s="17">
        <f t="shared" si="322"/>
        <v>0</v>
      </c>
      <c r="AH544" s="28">
        <f t="shared" si="323"/>
        <v>0</v>
      </c>
      <c r="AI544" s="17">
        <f t="shared" si="324"/>
        <v>0</v>
      </c>
      <c r="AJ544" s="28">
        <f t="shared" si="325"/>
        <v>0</v>
      </c>
      <c r="AK544" s="17">
        <f t="shared" si="333"/>
        <v>0</v>
      </c>
      <c r="AL544" s="28">
        <f t="shared" si="326"/>
        <v>0</v>
      </c>
      <c r="AM544" s="17">
        <f t="shared" si="341"/>
        <v>0</v>
      </c>
      <c r="AN544" s="28">
        <f t="shared" si="312"/>
        <v>0</v>
      </c>
      <c r="AO544" s="17">
        <f t="shared" si="343"/>
        <v>0</v>
      </c>
      <c r="AP544" s="28">
        <f t="shared" si="344"/>
        <v>0</v>
      </c>
      <c r="AQ544" s="17">
        <f t="shared" si="345"/>
        <v>0</v>
      </c>
      <c r="AR544" s="28">
        <f t="shared" si="346"/>
        <v>0</v>
      </c>
      <c r="AS544" s="17">
        <f t="shared" si="337"/>
        <v>0</v>
      </c>
      <c r="AT544" s="28">
        <f t="shared" si="338"/>
        <v>0</v>
      </c>
      <c r="AU544" s="17">
        <f t="shared" si="339"/>
        <v>0</v>
      </c>
      <c r="AV544" s="28">
        <f t="shared" si="340"/>
        <v>0</v>
      </c>
      <c r="AW544" s="17">
        <f t="shared" si="327"/>
        <v>0</v>
      </c>
      <c r="AX544" s="28">
        <f t="shared" si="328"/>
        <v>0</v>
      </c>
      <c r="AY544" s="17">
        <f t="shared" si="329"/>
        <v>0</v>
      </c>
      <c r="AZ544" s="28">
        <f t="shared" si="330"/>
        <v>0</v>
      </c>
      <c r="BA544" s="27">
        <f t="shared" si="313"/>
        <v>0</v>
      </c>
      <c r="BB544" s="27">
        <f t="shared" si="332"/>
        <v>0</v>
      </c>
      <c r="BC544" s="27">
        <f t="shared" si="334"/>
        <v>0</v>
      </c>
      <c r="BD544" s="27">
        <f t="shared" si="335"/>
        <v>0</v>
      </c>
      <c r="BE544" s="27">
        <f t="shared" si="336"/>
        <v>0</v>
      </c>
      <c r="BF544" s="29">
        <f t="shared" si="314"/>
        <v>0</v>
      </c>
      <c r="BH544" s="30">
        <f t="shared" si="331"/>
        <v>0</v>
      </c>
      <c r="BM544" s="2">
        <f t="shared" si="347"/>
        <v>0</v>
      </c>
      <c r="BP544" s="2">
        <f t="shared" si="348"/>
        <v>0</v>
      </c>
    </row>
    <row r="545" spans="1:68" ht="14.45" hidden="1" customHeight="1" x14ac:dyDescent="0.25">
      <c r="A545" s="33" t="s">
        <v>559</v>
      </c>
      <c r="B545" s="23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13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5"/>
      <c r="AD545" s="39">
        <f t="shared" si="349"/>
        <v>0</v>
      </c>
      <c r="AE545" s="26" t="s">
        <v>42</v>
      </c>
      <c r="AF545" s="27"/>
      <c r="AG545" s="17">
        <f t="shared" si="322"/>
        <v>0</v>
      </c>
      <c r="AH545" s="28">
        <f t="shared" si="323"/>
        <v>0</v>
      </c>
      <c r="AI545" s="17">
        <f t="shared" si="324"/>
        <v>0</v>
      </c>
      <c r="AJ545" s="28">
        <f t="shared" si="325"/>
        <v>0</v>
      </c>
      <c r="AK545" s="17">
        <f t="shared" si="333"/>
        <v>0</v>
      </c>
      <c r="AL545" s="28">
        <f t="shared" si="326"/>
        <v>0</v>
      </c>
      <c r="AM545" s="17">
        <f t="shared" si="341"/>
        <v>0</v>
      </c>
      <c r="AN545" s="28">
        <f t="shared" si="312"/>
        <v>0</v>
      </c>
      <c r="AO545" s="17">
        <f t="shared" si="343"/>
        <v>0</v>
      </c>
      <c r="AP545" s="28">
        <f t="shared" si="344"/>
        <v>0</v>
      </c>
      <c r="AQ545" s="17">
        <f t="shared" si="345"/>
        <v>0</v>
      </c>
      <c r="AR545" s="28">
        <f t="shared" si="346"/>
        <v>0</v>
      </c>
      <c r="AS545" s="17">
        <f t="shared" si="337"/>
        <v>0</v>
      </c>
      <c r="AT545" s="28">
        <f t="shared" si="338"/>
        <v>0</v>
      </c>
      <c r="AU545" s="17">
        <f t="shared" si="339"/>
        <v>0</v>
      </c>
      <c r="AV545" s="28">
        <f t="shared" si="340"/>
        <v>0</v>
      </c>
      <c r="AW545" s="17">
        <f t="shared" si="327"/>
        <v>0</v>
      </c>
      <c r="AX545" s="28">
        <f t="shared" si="328"/>
        <v>0</v>
      </c>
      <c r="AY545" s="17">
        <f t="shared" si="329"/>
        <v>0</v>
      </c>
      <c r="AZ545" s="28">
        <f t="shared" si="330"/>
        <v>0</v>
      </c>
      <c r="BA545" s="27">
        <f t="shared" si="313"/>
        <v>0</v>
      </c>
      <c r="BB545" s="27">
        <f t="shared" si="332"/>
        <v>0</v>
      </c>
      <c r="BC545" s="27">
        <f t="shared" si="334"/>
        <v>0</v>
      </c>
      <c r="BD545" s="27">
        <f t="shared" si="335"/>
        <v>0</v>
      </c>
      <c r="BE545" s="27">
        <f t="shared" si="336"/>
        <v>0</v>
      </c>
      <c r="BF545" s="29">
        <f t="shared" si="314"/>
        <v>0</v>
      </c>
      <c r="BH545" s="30">
        <f t="shared" si="331"/>
        <v>0</v>
      </c>
      <c r="BM545" s="2">
        <f t="shared" si="347"/>
        <v>0</v>
      </c>
      <c r="BP545" s="2">
        <f t="shared" si="348"/>
        <v>0</v>
      </c>
    </row>
    <row r="546" spans="1:68" ht="14.45" hidden="1" customHeight="1" x14ac:dyDescent="0.25">
      <c r="A546" s="33" t="s">
        <v>560</v>
      </c>
      <c r="B546" s="23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13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5"/>
      <c r="AD546" s="39">
        <f t="shared" si="349"/>
        <v>0</v>
      </c>
      <c r="AE546" s="26" t="s">
        <v>42</v>
      </c>
      <c r="AF546" s="27"/>
      <c r="AG546" s="17">
        <f t="shared" si="322"/>
        <v>0</v>
      </c>
      <c r="AH546" s="28">
        <f t="shared" si="323"/>
        <v>0</v>
      </c>
      <c r="AI546" s="17">
        <f t="shared" si="324"/>
        <v>0</v>
      </c>
      <c r="AJ546" s="28">
        <f t="shared" si="325"/>
        <v>0</v>
      </c>
      <c r="AK546" s="17">
        <f t="shared" si="333"/>
        <v>0</v>
      </c>
      <c r="AL546" s="28">
        <f t="shared" si="326"/>
        <v>0</v>
      </c>
      <c r="AM546" s="17">
        <f t="shared" si="341"/>
        <v>0</v>
      </c>
      <c r="AN546" s="28">
        <f t="shared" si="312"/>
        <v>0</v>
      </c>
      <c r="AO546" s="17">
        <f t="shared" si="343"/>
        <v>0</v>
      </c>
      <c r="AP546" s="28">
        <f t="shared" si="344"/>
        <v>0</v>
      </c>
      <c r="AQ546" s="17">
        <f t="shared" si="345"/>
        <v>0</v>
      </c>
      <c r="AR546" s="28">
        <f t="shared" si="346"/>
        <v>0</v>
      </c>
      <c r="AS546" s="17">
        <f t="shared" si="337"/>
        <v>0</v>
      </c>
      <c r="AT546" s="28">
        <f t="shared" si="338"/>
        <v>0</v>
      </c>
      <c r="AU546" s="17">
        <f t="shared" si="339"/>
        <v>0</v>
      </c>
      <c r="AV546" s="28">
        <f t="shared" si="340"/>
        <v>0</v>
      </c>
      <c r="AW546" s="17">
        <f t="shared" si="327"/>
        <v>0</v>
      </c>
      <c r="AX546" s="28">
        <f t="shared" si="328"/>
        <v>0</v>
      </c>
      <c r="AY546" s="17">
        <f t="shared" si="329"/>
        <v>0</v>
      </c>
      <c r="AZ546" s="28">
        <f t="shared" si="330"/>
        <v>0</v>
      </c>
      <c r="BA546" s="27">
        <f t="shared" si="313"/>
        <v>0</v>
      </c>
      <c r="BB546" s="27">
        <f t="shared" si="332"/>
        <v>0</v>
      </c>
      <c r="BC546" s="27">
        <f t="shared" si="334"/>
        <v>0</v>
      </c>
      <c r="BD546" s="27">
        <f t="shared" si="335"/>
        <v>0</v>
      </c>
      <c r="BE546" s="27">
        <f t="shared" si="336"/>
        <v>0</v>
      </c>
      <c r="BF546" s="29">
        <f t="shared" si="314"/>
        <v>0</v>
      </c>
      <c r="BH546" s="30">
        <f t="shared" si="331"/>
        <v>0</v>
      </c>
      <c r="BM546" s="2">
        <f t="shared" si="347"/>
        <v>0</v>
      </c>
      <c r="BP546" s="2">
        <f t="shared" si="348"/>
        <v>0</v>
      </c>
    </row>
    <row r="547" spans="1:68" ht="14.45" hidden="1" customHeight="1" x14ac:dyDescent="0.25">
      <c r="A547" s="33" t="s">
        <v>561</v>
      </c>
      <c r="B547" s="23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13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5"/>
      <c r="AD547" s="39">
        <f t="shared" si="349"/>
        <v>0</v>
      </c>
      <c r="AE547" s="26" t="s">
        <v>42</v>
      </c>
      <c r="AF547" s="27"/>
      <c r="AG547" s="17">
        <f t="shared" si="322"/>
        <v>0</v>
      </c>
      <c r="AH547" s="28">
        <f t="shared" si="323"/>
        <v>0</v>
      </c>
      <c r="AI547" s="17">
        <f t="shared" si="324"/>
        <v>0</v>
      </c>
      <c r="AJ547" s="28">
        <f t="shared" si="325"/>
        <v>0</v>
      </c>
      <c r="AK547" s="17">
        <f t="shared" si="333"/>
        <v>0</v>
      </c>
      <c r="AL547" s="28">
        <f t="shared" si="326"/>
        <v>0</v>
      </c>
      <c r="AM547" s="17">
        <f t="shared" si="341"/>
        <v>0</v>
      </c>
      <c r="AN547" s="28">
        <f t="shared" si="312"/>
        <v>0</v>
      </c>
      <c r="AO547" s="17">
        <f t="shared" si="343"/>
        <v>0</v>
      </c>
      <c r="AP547" s="28">
        <f t="shared" si="344"/>
        <v>0</v>
      </c>
      <c r="AQ547" s="17">
        <f t="shared" si="345"/>
        <v>0</v>
      </c>
      <c r="AR547" s="28">
        <f t="shared" si="346"/>
        <v>0</v>
      </c>
      <c r="AS547" s="17">
        <f t="shared" si="337"/>
        <v>0</v>
      </c>
      <c r="AT547" s="28">
        <f t="shared" si="338"/>
        <v>0</v>
      </c>
      <c r="AU547" s="17">
        <f t="shared" si="339"/>
        <v>0</v>
      </c>
      <c r="AV547" s="28">
        <f t="shared" si="340"/>
        <v>0</v>
      </c>
      <c r="AW547" s="17">
        <f t="shared" si="327"/>
        <v>0</v>
      </c>
      <c r="AX547" s="28">
        <f t="shared" si="328"/>
        <v>0</v>
      </c>
      <c r="AY547" s="17">
        <f t="shared" si="329"/>
        <v>0</v>
      </c>
      <c r="AZ547" s="28">
        <f t="shared" si="330"/>
        <v>0</v>
      </c>
      <c r="BA547" s="27">
        <f t="shared" si="313"/>
        <v>0</v>
      </c>
      <c r="BB547" s="27">
        <f t="shared" si="332"/>
        <v>0</v>
      </c>
      <c r="BC547" s="27">
        <f t="shared" si="334"/>
        <v>0</v>
      </c>
      <c r="BD547" s="27">
        <f t="shared" si="335"/>
        <v>0</v>
      </c>
      <c r="BE547" s="27">
        <f t="shared" si="336"/>
        <v>0</v>
      </c>
      <c r="BF547" s="29">
        <f t="shared" si="314"/>
        <v>0</v>
      </c>
      <c r="BH547" s="30">
        <f t="shared" si="331"/>
        <v>0</v>
      </c>
      <c r="BM547" s="2">
        <f t="shared" si="347"/>
        <v>0</v>
      </c>
      <c r="BP547" s="2">
        <f t="shared" si="348"/>
        <v>0</v>
      </c>
    </row>
    <row r="548" spans="1:68" ht="14.45" hidden="1" customHeight="1" x14ac:dyDescent="0.25">
      <c r="A548" s="33" t="s">
        <v>562</v>
      </c>
      <c r="B548" s="23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13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5"/>
      <c r="AD548" s="39">
        <f t="shared" si="349"/>
        <v>0</v>
      </c>
      <c r="AE548" s="26" t="s">
        <v>42</v>
      </c>
      <c r="AF548" s="27"/>
      <c r="AG548" s="17">
        <f t="shared" si="322"/>
        <v>0</v>
      </c>
      <c r="AH548" s="28">
        <f t="shared" si="323"/>
        <v>0</v>
      </c>
      <c r="AI548" s="17">
        <f t="shared" si="324"/>
        <v>0</v>
      </c>
      <c r="AJ548" s="28">
        <f t="shared" si="325"/>
        <v>0</v>
      </c>
      <c r="AK548" s="17">
        <f t="shared" si="333"/>
        <v>0</v>
      </c>
      <c r="AL548" s="28">
        <f t="shared" si="326"/>
        <v>0</v>
      </c>
      <c r="AM548" s="17">
        <f t="shared" si="341"/>
        <v>0</v>
      </c>
      <c r="AN548" s="28">
        <f t="shared" si="312"/>
        <v>0</v>
      </c>
      <c r="AO548" s="17">
        <f t="shared" si="343"/>
        <v>0</v>
      </c>
      <c r="AP548" s="28">
        <f t="shared" si="344"/>
        <v>0</v>
      </c>
      <c r="AQ548" s="17">
        <f t="shared" si="345"/>
        <v>0</v>
      </c>
      <c r="AR548" s="28">
        <f t="shared" si="346"/>
        <v>0</v>
      </c>
      <c r="AS548" s="17">
        <f t="shared" si="337"/>
        <v>0</v>
      </c>
      <c r="AT548" s="28">
        <f t="shared" si="338"/>
        <v>0</v>
      </c>
      <c r="AU548" s="17">
        <f t="shared" si="339"/>
        <v>0</v>
      </c>
      <c r="AV548" s="28">
        <f t="shared" si="340"/>
        <v>0</v>
      </c>
      <c r="AW548" s="17">
        <f t="shared" si="327"/>
        <v>0</v>
      </c>
      <c r="AX548" s="28">
        <f t="shared" si="328"/>
        <v>0</v>
      </c>
      <c r="AY548" s="17">
        <f t="shared" si="329"/>
        <v>0</v>
      </c>
      <c r="AZ548" s="28">
        <f t="shared" si="330"/>
        <v>0</v>
      </c>
      <c r="BA548" s="27">
        <f t="shared" si="313"/>
        <v>0</v>
      </c>
      <c r="BB548" s="27">
        <f t="shared" si="332"/>
        <v>0</v>
      </c>
      <c r="BC548" s="27">
        <f t="shared" si="334"/>
        <v>0</v>
      </c>
      <c r="BD548" s="27">
        <f t="shared" si="335"/>
        <v>0</v>
      </c>
      <c r="BE548" s="27">
        <f t="shared" si="336"/>
        <v>0</v>
      </c>
      <c r="BF548" s="29">
        <f t="shared" si="314"/>
        <v>0</v>
      </c>
      <c r="BH548" s="30">
        <f t="shared" si="331"/>
        <v>0</v>
      </c>
      <c r="BM548" s="2">
        <f t="shared" si="347"/>
        <v>0</v>
      </c>
      <c r="BP548" s="2">
        <f t="shared" si="348"/>
        <v>0</v>
      </c>
    </row>
    <row r="549" spans="1:68" ht="14.45" hidden="1" customHeight="1" x14ac:dyDescent="0.25">
      <c r="A549" s="33" t="s">
        <v>563</v>
      </c>
      <c r="B549" s="23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13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5"/>
      <c r="AD549" s="39">
        <f t="shared" si="349"/>
        <v>0</v>
      </c>
      <c r="AE549" s="26" t="s">
        <v>42</v>
      </c>
      <c r="AF549" s="27"/>
      <c r="AG549" s="17">
        <f t="shared" si="322"/>
        <v>0</v>
      </c>
      <c r="AH549" s="28">
        <f t="shared" si="323"/>
        <v>0</v>
      </c>
      <c r="AI549" s="17">
        <f t="shared" si="324"/>
        <v>0</v>
      </c>
      <c r="AJ549" s="28">
        <f t="shared" si="325"/>
        <v>0</v>
      </c>
      <c r="AK549" s="17">
        <f t="shared" si="333"/>
        <v>0</v>
      </c>
      <c r="AL549" s="28">
        <f t="shared" si="326"/>
        <v>0</v>
      </c>
      <c r="AM549" s="17">
        <f t="shared" si="341"/>
        <v>0</v>
      </c>
      <c r="AN549" s="28">
        <f t="shared" si="312"/>
        <v>0</v>
      </c>
      <c r="AO549" s="17">
        <f t="shared" si="343"/>
        <v>0</v>
      </c>
      <c r="AP549" s="28">
        <f t="shared" si="344"/>
        <v>0</v>
      </c>
      <c r="AQ549" s="17">
        <f t="shared" si="345"/>
        <v>0</v>
      </c>
      <c r="AR549" s="28">
        <f t="shared" si="346"/>
        <v>0</v>
      </c>
      <c r="AS549" s="17">
        <f t="shared" si="337"/>
        <v>0</v>
      </c>
      <c r="AT549" s="28">
        <f t="shared" si="338"/>
        <v>0</v>
      </c>
      <c r="AU549" s="17">
        <f t="shared" si="339"/>
        <v>0</v>
      </c>
      <c r="AV549" s="28">
        <f t="shared" si="340"/>
        <v>0</v>
      </c>
      <c r="AW549" s="17">
        <f t="shared" si="327"/>
        <v>0</v>
      </c>
      <c r="AX549" s="28">
        <f t="shared" si="328"/>
        <v>0</v>
      </c>
      <c r="AY549" s="17">
        <f t="shared" si="329"/>
        <v>0</v>
      </c>
      <c r="AZ549" s="28">
        <f t="shared" si="330"/>
        <v>0</v>
      </c>
      <c r="BA549" s="27">
        <f t="shared" si="313"/>
        <v>0</v>
      </c>
      <c r="BB549" s="27">
        <f t="shared" si="332"/>
        <v>0</v>
      </c>
      <c r="BC549" s="27">
        <f t="shared" si="334"/>
        <v>0</v>
      </c>
      <c r="BD549" s="27">
        <f t="shared" si="335"/>
        <v>0</v>
      </c>
      <c r="BE549" s="27">
        <f t="shared" si="336"/>
        <v>0</v>
      </c>
      <c r="BF549" s="29">
        <f t="shared" si="314"/>
        <v>0</v>
      </c>
      <c r="BH549" s="30">
        <f t="shared" si="331"/>
        <v>0</v>
      </c>
      <c r="BM549" s="2">
        <f t="shared" si="347"/>
        <v>0</v>
      </c>
      <c r="BP549" s="2">
        <f t="shared" si="348"/>
        <v>0</v>
      </c>
    </row>
    <row r="550" spans="1:68" ht="14.45" hidden="1" customHeight="1" x14ac:dyDescent="0.25">
      <c r="A550" s="33" t="s">
        <v>564</v>
      </c>
      <c r="B550" s="23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13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5"/>
      <c r="AD550" s="39">
        <f t="shared" si="349"/>
        <v>0</v>
      </c>
      <c r="AE550" s="26" t="s">
        <v>42</v>
      </c>
      <c r="AF550" s="27"/>
      <c r="AG550" s="17">
        <f t="shared" si="322"/>
        <v>0</v>
      </c>
      <c r="AH550" s="28">
        <f t="shared" si="323"/>
        <v>0</v>
      </c>
      <c r="AI550" s="17">
        <f t="shared" si="324"/>
        <v>0</v>
      </c>
      <c r="AJ550" s="28">
        <f t="shared" si="325"/>
        <v>0</v>
      </c>
      <c r="AK550" s="17">
        <f t="shared" si="333"/>
        <v>0</v>
      </c>
      <c r="AL550" s="28">
        <f t="shared" si="326"/>
        <v>0</v>
      </c>
      <c r="AM550" s="17">
        <f t="shared" si="341"/>
        <v>0</v>
      </c>
      <c r="AN550" s="28">
        <f t="shared" si="312"/>
        <v>0</v>
      </c>
      <c r="AO550" s="17">
        <f t="shared" si="343"/>
        <v>0</v>
      </c>
      <c r="AP550" s="28">
        <f t="shared" si="344"/>
        <v>0</v>
      </c>
      <c r="AQ550" s="17">
        <f t="shared" si="345"/>
        <v>0</v>
      </c>
      <c r="AR550" s="28">
        <f t="shared" si="346"/>
        <v>0</v>
      </c>
      <c r="AS550" s="17">
        <f t="shared" si="337"/>
        <v>0</v>
      </c>
      <c r="AT550" s="28">
        <f t="shared" si="338"/>
        <v>0</v>
      </c>
      <c r="AU550" s="17">
        <f t="shared" si="339"/>
        <v>0</v>
      </c>
      <c r="AV550" s="28">
        <f t="shared" si="340"/>
        <v>0</v>
      </c>
      <c r="AW550" s="17">
        <f t="shared" si="327"/>
        <v>0</v>
      </c>
      <c r="AX550" s="28">
        <f t="shared" si="328"/>
        <v>0</v>
      </c>
      <c r="AY550" s="17">
        <f t="shared" si="329"/>
        <v>0</v>
      </c>
      <c r="AZ550" s="28">
        <f t="shared" si="330"/>
        <v>0</v>
      </c>
      <c r="BA550" s="27">
        <f t="shared" si="313"/>
        <v>0</v>
      </c>
      <c r="BB550" s="27">
        <f t="shared" si="332"/>
        <v>0</v>
      </c>
      <c r="BC550" s="27">
        <f t="shared" si="334"/>
        <v>0</v>
      </c>
      <c r="BD550" s="27">
        <f t="shared" si="335"/>
        <v>0</v>
      </c>
      <c r="BE550" s="27">
        <f t="shared" si="336"/>
        <v>0</v>
      </c>
      <c r="BF550" s="29">
        <f t="shared" si="314"/>
        <v>0</v>
      </c>
      <c r="BH550" s="30">
        <f t="shared" si="331"/>
        <v>0</v>
      </c>
      <c r="BM550" s="2">
        <f t="shared" si="347"/>
        <v>0</v>
      </c>
      <c r="BP550" s="2">
        <f t="shared" si="348"/>
        <v>0</v>
      </c>
    </row>
    <row r="551" spans="1:68" ht="14.45" hidden="1" customHeight="1" x14ac:dyDescent="0.25">
      <c r="A551" s="33" t="s">
        <v>565</v>
      </c>
      <c r="B551" s="23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13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5"/>
      <c r="AD551" s="39">
        <f t="shared" si="349"/>
        <v>0</v>
      </c>
      <c r="AE551" s="26" t="s">
        <v>42</v>
      </c>
      <c r="AF551" s="27"/>
      <c r="AG551" s="17">
        <f t="shared" si="322"/>
        <v>0</v>
      </c>
      <c r="AH551" s="28">
        <f t="shared" si="323"/>
        <v>0</v>
      </c>
      <c r="AI551" s="17">
        <f t="shared" si="324"/>
        <v>0</v>
      </c>
      <c r="AJ551" s="28">
        <f t="shared" si="325"/>
        <v>0</v>
      </c>
      <c r="AK551" s="17">
        <f t="shared" si="333"/>
        <v>0</v>
      </c>
      <c r="AL551" s="28">
        <f t="shared" si="326"/>
        <v>0</v>
      </c>
      <c r="AM551" s="17">
        <f t="shared" si="341"/>
        <v>0</v>
      </c>
      <c r="AN551" s="28">
        <f t="shared" si="312"/>
        <v>0</v>
      </c>
      <c r="AO551" s="17">
        <f t="shared" si="343"/>
        <v>0</v>
      </c>
      <c r="AP551" s="28">
        <f t="shared" si="344"/>
        <v>0</v>
      </c>
      <c r="AQ551" s="17">
        <f t="shared" si="345"/>
        <v>0</v>
      </c>
      <c r="AR551" s="28">
        <f t="shared" si="346"/>
        <v>0</v>
      </c>
      <c r="AS551" s="17">
        <f t="shared" si="337"/>
        <v>0</v>
      </c>
      <c r="AT551" s="28">
        <f t="shared" si="338"/>
        <v>0</v>
      </c>
      <c r="AU551" s="17">
        <f t="shared" si="339"/>
        <v>0</v>
      </c>
      <c r="AV551" s="28">
        <f t="shared" si="340"/>
        <v>0</v>
      </c>
      <c r="AW551" s="17">
        <f t="shared" si="327"/>
        <v>0</v>
      </c>
      <c r="AX551" s="28">
        <f t="shared" si="328"/>
        <v>0</v>
      </c>
      <c r="AY551" s="17">
        <f t="shared" si="329"/>
        <v>0</v>
      </c>
      <c r="AZ551" s="28">
        <f t="shared" si="330"/>
        <v>0</v>
      </c>
      <c r="BA551" s="27">
        <f t="shared" si="313"/>
        <v>0</v>
      </c>
      <c r="BB551" s="27">
        <f t="shared" si="332"/>
        <v>0</v>
      </c>
      <c r="BC551" s="27">
        <f t="shared" si="334"/>
        <v>0</v>
      </c>
      <c r="BD551" s="27">
        <f t="shared" si="335"/>
        <v>0</v>
      </c>
      <c r="BE551" s="27">
        <f t="shared" si="336"/>
        <v>0</v>
      </c>
      <c r="BF551" s="29">
        <f t="shared" si="314"/>
        <v>0</v>
      </c>
      <c r="BH551" s="30">
        <f t="shared" si="331"/>
        <v>0</v>
      </c>
      <c r="BM551" s="2">
        <f t="shared" si="347"/>
        <v>0</v>
      </c>
      <c r="BP551" s="2">
        <f t="shared" si="348"/>
        <v>0</v>
      </c>
    </row>
    <row r="552" spans="1:68" ht="14.45" hidden="1" customHeight="1" x14ac:dyDescent="0.25">
      <c r="A552" s="33" t="s">
        <v>566</v>
      </c>
      <c r="B552" s="23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13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5"/>
      <c r="AD552" s="39">
        <f t="shared" si="349"/>
        <v>0</v>
      </c>
      <c r="AE552" s="26" t="s">
        <v>42</v>
      </c>
      <c r="AF552" s="27"/>
      <c r="AG552" s="17">
        <f t="shared" si="322"/>
        <v>0</v>
      </c>
      <c r="AH552" s="28">
        <f t="shared" si="323"/>
        <v>0</v>
      </c>
      <c r="AI552" s="17">
        <f t="shared" si="324"/>
        <v>0</v>
      </c>
      <c r="AJ552" s="28">
        <f t="shared" si="325"/>
        <v>0</v>
      </c>
      <c r="AK552" s="17">
        <f t="shared" si="333"/>
        <v>0</v>
      </c>
      <c r="AL552" s="28">
        <f t="shared" si="326"/>
        <v>0</v>
      </c>
      <c r="AM552" s="17">
        <f t="shared" si="341"/>
        <v>0</v>
      </c>
      <c r="AN552" s="28">
        <f t="shared" si="312"/>
        <v>0</v>
      </c>
      <c r="AO552" s="17">
        <f t="shared" si="343"/>
        <v>0</v>
      </c>
      <c r="AP552" s="28">
        <f t="shared" si="344"/>
        <v>0</v>
      </c>
      <c r="AQ552" s="17">
        <f t="shared" si="345"/>
        <v>0</v>
      </c>
      <c r="AR552" s="28">
        <f t="shared" si="346"/>
        <v>0</v>
      </c>
      <c r="AS552" s="17">
        <f t="shared" si="337"/>
        <v>0</v>
      </c>
      <c r="AT552" s="28">
        <f t="shared" si="338"/>
        <v>0</v>
      </c>
      <c r="AU552" s="17">
        <f t="shared" si="339"/>
        <v>0</v>
      </c>
      <c r="AV552" s="28">
        <f t="shared" si="340"/>
        <v>0</v>
      </c>
      <c r="AW552" s="17">
        <f t="shared" si="327"/>
        <v>0</v>
      </c>
      <c r="AX552" s="28">
        <f t="shared" si="328"/>
        <v>0</v>
      </c>
      <c r="AY552" s="17">
        <f t="shared" si="329"/>
        <v>0</v>
      </c>
      <c r="AZ552" s="28">
        <f t="shared" si="330"/>
        <v>0</v>
      </c>
      <c r="BA552" s="27">
        <f t="shared" si="313"/>
        <v>0</v>
      </c>
      <c r="BB552" s="27">
        <f t="shared" si="332"/>
        <v>0</v>
      </c>
      <c r="BC552" s="27">
        <f t="shared" si="334"/>
        <v>0</v>
      </c>
      <c r="BD552" s="27">
        <f t="shared" si="335"/>
        <v>0</v>
      </c>
      <c r="BE552" s="27">
        <f t="shared" si="336"/>
        <v>0</v>
      </c>
      <c r="BF552" s="29">
        <f t="shared" si="314"/>
        <v>0</v>
      </c>
      <c r="BH552" s="30">
        <f t="shared" si="331"/>
        <v>0</v>
      </c>
      <c r="BM552" s="2">
        <f t="shared" si="347"/>
        <v>0</v>
      </c>
      <c r="BP552" s="2">
        <f t="shared" si="348"/>
        <v>0</v>
      </c>
    </row>
    <row r="553" spans="1:68" ht="14.45" customHeight="1" x14ac:dyDescent="0.25">
      <c r="A553" s="33" t="s">
        <v>567</v>
      </c>
      <c r="B553" s="23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13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>
        <v>22</v>
      </c>
      <c r="AA553" s="24"/>
      <c r="AB553" s="24"/>
      <c r="AC553" s="25"/>
      <c r="AD553" s="39">
        <f t="shared" si="349"/>
        <v>22</v>
      </c>
      <c r="AE553" s="26" t="s">
        <v>42</v>
      </c>
      <c r="AF553" s="27">
        <v>27000</v>
      </c>
      <c r="AG553" s="17">
        <f t="shared" si="322"/>
        <v>0</v>
      </c>
      <c r="AH553" s="28">
        <f t="shared" si="323"/>
        <v>0</v>
      </c>
      <c r="AI553" s="17">
        <f t="shared" si="324"/>
        <v>0</v>
      </c>
      <c r="AJ553" s="28">
        <f t="shared" si="325"/>
        <v>0</v>
      </c>
      <c r="AK553" s="17">
        <f t="shared" si="333"/>
        <v>0</v>
      </c>
      <c r="AL553" s="28">
        <f t="shared" si="326"/>
        <v>0</v>
      </c>
      <c r="AM553" s="17">
        <f t="shared" si="341"/>
        <v>0</v>
      </c>
      <c r="AN553" s="28">
        <f t="shared" si="312"/>
        <v>0</v>
      </c>
      <c r="AO553" s="17">
        <f t="shared" si="343"/>
        <v>0</v>
      </c>
      <c r="AP553" s="28"/>
      <c r="AQ553" s="17">
        <f t="shared" si="345"/>
        <v>0</v>
      </c>
      <c r="AR553" s="28"/>
      <c r="AS553" s="17">
        <f t="shared" si="337"/>
        <v>0</v>
      </c>
      <c r="AT553" s="28">
        <f t="shared" si="338"/>
        <v>0</v>
      </c>
      <c r="AU553" s="17">
        <f t="shared" si="339"/>
        <v>0</v>
      </c>
      <c r="AV553" s="28">
        <f t="shared" si="340"/>
        <v>0</v>
      </c>
      <c r="AW553" s="17">
        <f t="shared" si="327"/>
        <v>0</v>
      </c>
      <c r="AX553" s="28">
        <f t="shared" si="328"/>
        <v>0</v>
      </c>
      <c r="AY553" s="17">
        <f t="shared" si="329"/>
        <v>0</v>
      </c>
      <c r="AZ553" s="28">
        <f t="shared" si="330"/>
        <v>0</v>
      </c>
      <c r="BA553" s="27">
        <f t="shared" si="313"/>
        <v>0</v>
      </c>
      <c r="BB553" s="27">
        <f t="shared" si="332"/>
        <v>0</v>
      </c>
      <c r="BC553" s="27">
        <f t="shared" si="334"/>
        <v>0</v>
      </c>
      <c r="BD553" s="27">
        <f t="shared" si="335"/>
        <v>0</v>
      </c>
      <c r="BE553" s="27">
        <f t="shared" si="336"/>
        <v>0</v>
      </c>
      <c r="BF553" s="29">
        <f t="shared" si="314"/>
        <v>0</v>
      </c>
      <c r="BH553" s="30">
        <f t="shared" si="331"/>
        <v>22</v>
      </c>
    </row>
    <row r="554" spans="1:68" ht="14.45" customHeight="1" x14ac:dyDescent="0.25">
      <c r="A554" s="33" t="s">
        <v>568</v>
      </c>
      <c r="B554" s="23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13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5"/>
      <c r="AD554" s="39">
        <f t="shared" si="349"/>
        <v>0</v>
      </c>
      <c r="AE554" s="40" t="s">
        <v>569</v>
      </c>
      <c r="AF554" s="27">
        <v>27000</v>
      </c>
      <c r="AG554" s="17">
        <f t="shared" si="322"/>
        <v>0</v>
      </c>
      <c r="AH554" s="28">
        <f t="shared" si="323"/>
        <v>0</v>
      </c>
      <c r="AI554" s="17">
        <f t="shared" si="324"/>
        <v>0</v>
      </c>
      <c r="AJ554" s="28">
        <f t="shared" si="325"/>
        <v>0</v>
      </c>
      <c r="AK554" s="17">
        <f t="shared" si="333"/>
        <v>0</v>
      </c>
      <c r="AL554" s="28">
        <f t="shared" si="326"/>
        <v>0</v>
      </c>
      <c r="AM554" s="17">
        <f t="shared" si="341"/>
        <v>0</v>
      </c>
      <c r="AN554" s="28">
        <f t="shared" si="312"/>
        <v>0</v>
      </c>
      <c r="AO554" s="17"/>
      <c r="AP554" s="28"/>
      <c r="AQ554" s="17"/>
      <c r="AR554" s="28"/>
      <c r="AS554" s="17">
        <f t="shared" si="337"/>
        <v>0</v>
      </c>
      <c r="AT554" s="28">
        <f t="shared" si="338"/>
        <v>0</v>
      </c>
      <c r="AU554" s="17">
        <f t="shared" si="339"/>
        <v>0</v>
      </c>
      <c r="AV554" s="28">
        <f t="shared" si="340"/>
        <v>0</v>
      </c>
      <c r="AW554" s="17">
        <f t="shared" si="327"/>
        <v>0</v>
      </c>
      <c r="AX554" s="28">
        <f t="shared" si="328"/>
        <v>0</v>
      </c>
      <c r="AY554" s="17">
        <f t="shared" si="329"/>
        <v>0</v>
      </c>
      <c r="AZ554" s="28">
        <f t="shared" si="330"/>
        <v>0</v>
      </c>
      <c r="BA554" s="27"/>
      <c r="BB554" s="27">
        <f t="shared" si="332"/>
        <v>0</v>
      </c>
      <c r="BC554" s="27">
        <f t="shared" si="334"/>
        <v>0</v>
      </c>
      <c r="BD554" s="27">
        <f t="shared" si="335"/>
        <v>0</v>
      </c>
      <c r="BE554" s="27">
        <f t="shared" si="336"/>
        <v>0</v>
      </c>
      <c r="BF554" s="29">
        <f t="shared" si="314"/>
        <v>0</v>
      </c>
      <c r="BH554" s="30">
        <f t="shared" si="331"/>
        <v>0</v>
      </c>
    </row>
    <row r="555" spans="1:68" x14ac:dyDescent="0.25">
      <c r="A555" s="33" t="s">
        <v>570</v>
      </c>
      <c r="B555" s="23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13">
        <v>374</v>
      </c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5"/>
      <c r="AD555" s="25">
        <f t="shared" ref="AD555:AD562" si="350">SUM(B555:S555)</f>
        <v>374</v>
      </c>
      <c r="AE555" s="26" t="s">
        <v>42</v>
      </c>
      <c r="AF555" s="27">
        <v>916</v>
      </c>
      <c r="AG555" s="17">
        <f t="shared" si="322"/>
        <v>0</v>
      </c>
      <c r="AH555" s="28">
        <f t="shared" si="323"/>
        <v>0</v>
      </c>
      <c r="AI555" s="17">
        <f t="shared" si="324"/>
        <v>0</v>
      </c>
      <c r="AJ555" s="28">
        <f t="shared" si="325"/>
        <v>0</v>
      </c>
      <c r="AK555" s="17">
        <f t="shared" si="333"/>
        <v>374</v>
      </c>
      <c r="AL555" s="28">
        <f t="shared" si="326"/>
        <v>342584</v>
      </c>
      <c r="AM555" s="17">
        <f t="shared" si="341"/>
        <v>0</v>
      </c>
      <c r="AN555" s="28">
        <f t="shared" si="312"/>
        <v>0</v>
      </c>
      <c r="AO555" s="17">
        <f t="shared" ref="AO555:AO590" si="351">+B555</f>
        <v>0</v>
      </c>
      <c r="AP555" s="28">
        <f t="shared" ref="AP555:AP562" si="352">+AO555*AF555</f>
        <v>0</v>
      </c>
      <c r="AQ555" s="17">
        <f t="shared" ref="AQ555:AQ590" si="353">+P555</f>
        <v>0</v>
      </c>
      <c r="AR555" s="28">
        <f t="shared" ref="AR555:AR562" si="354">+AQ555*AF555</f>
        <v>0</v>
      </c>
      <c r="AS555" s="17">
        <f t="shared" si="337"/>
        <v>0</v>
      </c>
      <c r="AT555" s="28">
        <f t="shared" si="338"/>
        <v>0</v>
      </c>
      <c r="AU555" s="17">
        <f t="shared" si="339"/>
        <v>0</v>
      </c>
      <c r="AV555" s="28">
        <f t="shared" si="340"/>
        <v>0</v>
      </c>
      <c r="AW555" s="17">
        <f t="shared" si="327"/>
        <v>0</v>
      </c>
      <c r="AX555" s="28">
        <f t="shared" si="328"/>
        <v>0</v>
      </c>
      <c r="AY555" s="17">
        <f t="shared" si="329"/>
        <v>0</v>
      </c>
      <c r="AZ555" s="28">
        <f t="shared" si="330"/>
        <v>0</v>
      </c>
      <c r="BA555" s="27">
        <f t="shared" si="313"/>
        <v>0</v>
      </c>
      <c r="BB555" s="27">
        <f t="shared" si="332"/>
        <v>342584</v>
      </c>
      <c r="BC555" s="27">
        <f t="shared" si="334"/>
        <v>0</v>
      </c>
      <c r="BD555" s="27">
        <f t="shared" si="335"/>
        <v>0</v>
      </c>
      <c r="BE555" s="27">
        <f t="shared" si="336"/>
        <v>0</v>
      </c>
      <c r="BF555" s="29">
        <f t="shared" si="314"/>
        <v>342584</v>
      </c>
      <c r="BH555" s="30">
        <f t="shared" si="331"/>
        <v>374</v>
      </c>
      <c r="BM555" s="2">
        <f t="shared" ref="BM555:BM562" si="355">SUM(B555:S555)</f>
        <v>374</v>
      </c>
      <c r="BP555" s="2">
        <f t="shared" ref="BP555:BP562" si="356">SUM(B555:S555)</f>
        <v>374</v>
      </c>
    </row>
    <row r="556" spans="1:68" x14ac:dyDescent="0.25">
      <c r="A556" s="33" t="s">
        <v>571</v>
      </c>
      <c r="B556" s="23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13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5"/>
      <c r="AD556" s="25">
        <f t="shared" si="350"/>
        <v>0</v>
      </c>
      <c r="AE556" s="26" t="s">
        <v>42</v>
      </c>
      <c r="AF556" s="27">
        <v>916</v>
      </c>
      <c r="AG556" s="17">
        <f t="shared" si="322"/>
        <v>0</v>
      </c>
      <c r="AH556" s="28">
        <f t="shared" si="323"/>
        <v>0</v>
      </c>
      <c r="AI556" s="17">
        <f t="shared" si="324"/>
        <v>0</v>
      </c>
      <c r="AJ556" s="28">
        <f t="shared" si="325"/>
        <v>0</v>
      </c>
      <c r="AK556" s="17">
        <f t="shared" si="333"/>
        <v>0</v>
      </c>
      <c r="AL556" s="28">
        <f t="shared" si="326"/>
        <v>0</v>
      </c>
      <c r="AM556" s="17">
        <f t="shared" si="341"/>
        <v>0</v>
      </c>
      <c r="AN556" s="28">
        <f t="shared" si="312"/>
        <v>0</v>
      </c>
      <c r="AO556" s="17">
        <f t="shared" si="351"/>
        <v>0</v>
      </c>
      <c r="AP556" s="28">
        <f t="shared" si="352"/>
        <v>0</v>
      </c>
      <c r="AQ556" s="17">
        <f t="shared" si="353"/>
        <v>0</v>
      </c>
      <c r="AR556" s="28">
        <f t="shared" si="354"/>
        <v>0</v>
      </c>
      <c r="AS556" s="17">
        <f t="shared" si="337"/>
        <v>0</v>
      </c>
      <c r="AT556" s="28">
        <f t="shared" si="338"/>
        <v>0</v>
      </c>
      <c r="AU556" s="17">
        <f t="shared" si="339"/>
        <v>0</v>
      </c>
      <c r="AV556" s="28">
        <f t="shared" si="340"/>
        <v>0</v>
      </c>
      <c r="AW556" s="17">
        <f t="shared" si="327"/>
        <v>0</v>
      </c>
      <c r="AX556" s="28">
        <f t="shared" si="328"/>
        <v>0</v>
      </c>
      <c r="AY556" s="17">
        <f t="shared" si="329"/>
        <v>0</v>
      </c>
      <c r="AZ556" s="28">
        <f t="shared" si="330"/>
        <v>0</v>
      </c>
      <c r="BA556" s="27">
        <f t="shared" si="313"/>
        <v>0</v>
      </c>
      <c r="BB556" s="27">
        <f t="shared" si="332"/>
        <v>0</v>
      </c>
      <c r="BC556" s="27">
        <f t="shared" si="334"/>
        <v>0</v>
      </c>
      <c r="BD556" s="27">
        <f t="shared" si="335"/>
        <v>0</v>
      </c>
      <c r="BE556" s="27">
        <f t="shared" si="336"/>
        <v>0</v>
      </c>
      <c r="BF556" s="29">
        <f t="shared" si="314"/>
        <v>0</v>
      </c>
      <c r="BH556" s="30">
        <f t="shared" si="331"/>
        <v>0</v>
      </c>
      <c r="BM556" s="2">
        <f t="shared" si="355"/>
        <v>0</v>
      </c>
      <c r="BP556" s="2">
        <f t="shared" si="356"/>
        <v>0</v>
      </c>
    </row>
    <row r="557" spans="1:68" ht="14.45" hidden="1" customHeight="1" x14ac:dyDescent="0.25">
      <c r="A557" s="33" t="s">
        <v>572</v>
      </c>
      <c r="B557" s="23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13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5"/>
      <c r="AD557" s="25">
        <f t="shared" si="350"/>
        <v>0</v>
      </c>
      <c r="AE557" s="26" t="s">
        <v>42</v>
      </c>
      <c r="AF557" s="27"/>
      <c r="AG557" s="17">
        <f t="shared" si="322"/>
        <v>0</v>
      </c>
      <c r="AH557" s="28">
        <f t="shared" si="323"/>
        <v>0</v>
      </c>
      <c r="AI557" s="17">
        <f t="shared" si="324"/>
        <v>0</v>
      </c>
      <c r="AJ557" s="28">
        <f t="shared" si="325"/>
        <v>0</v>
      </c>
      <c r="AK557" s="17">
        <f t="shared" si="333"/>
        <v>0</v>
      </c>
      <c r="AL557" s="28">
        <f t="shared" si="326"/>
        <v>0</v>
      </c>
      <c r="AM557" s="17">
        <f t="shared" si="341"/>
        <v>0</v>
      </c>
      <c r="AN557" s="28">
        <f t="shared" si="312"/>
        <v>0</v>
      </c>
      <c r="AO557" s="17">
        <f t="shared" si="351"/>
        <v>0</v>
      </c>
      <c r="AP557" s="28">
        <f t="shared" si="352"/>
        <v>0</v>
      </c>
      <c r="AQ557" s="17">
        <f t="shared" si="353"/>
        <v>0</v>
      </c>
      <c r="AR557" s="28">
        <f t="shared" si="354"/>
        <v>0</v>
      </c>
      <c r="AS557" s="17">
        <f t="shared" si="337"/>
        <v>0</v>
      </c>
      <c r="AT557" s="28">
        <f t="shared" si="338"/>
        <v>0</v>
      </c>
      <c r="AU557" s="17">
        <f t="shared" si="339"/>
        <v>0</v>
      </c>
      <c r="AV557" s="28">
        <f t="shared" si="340"/>
        <v>0</v>
      </c>
      <c r="AW557" s="17">
        <f t="shared" si="327"/>
        <v>0</v>
      </c>
      <c r="AX557" s="28">
        <f t="shared" si="328"/>
        <v>0</v>
      </c>
      <c r="AY557" s="17">
        <f t="shared" si="329"/>
        <v>0</v>
      </c>
      <c r="AZ557" s="28">
        <f t="shared" si="330"/>
        <v>0</v>
      </c>
      <c r="BA557" s="27">
        <f t="shared" si="313"/>
        <v>0</v>
      </c>
      <c r="BB557" s="27">
        <f t="shared" si="332"/>
        <v>0</v>
      </c>
      <c r="BC557" s="27">
        <f t="shared" si="334"/>
        <v>0</v>
      </c>
      <c r="BD557" s="27">
        <f t="shared" si="335"/>
        <v>0</v>
      </c>
      <c r="BE557" s="27">
        <f t="shared" si="336"/>
        <v>0</v>
      </c>
      <c r="BF557" s="29">
        <f t="shared" si="314"/>
        <v>0</v>
      </c>
      <c r="BH557" s="30">
        <f t="shared" si="331"/>
        <v>0</v>
      </c>
      <c r="BM557" s="2">
        <f t="shared" si="355"/>
        <v>0</v>
      </c>
      <c r="BP557" s="2">
        <f t="shared" si="356"/>
        <v>0</v>
      </c>
    </row>
    <row r="558" spans="1:68" x14ac:dyDescent="0.25">
      <c r="A558" s="33" t="s">
        <v>573</v>
      </c>
      <c r="B558" s="23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13">
        <v>941</v>
      </c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5"/>
      <c r="AD558" s="25">
        <f t="shared" si="350"/>
        <v>941</v>
      </c>
      <c r="AE558" s="26" t="s">
        <v>42</v>
      </c>
      <c r="AF558" s="27">
        <v>916</v>
      </c>
      <c r="AG558" s="17">
        <f t="shared" si="322"/>
        <v>0</v>
      </c>
      <c r="AH558" s="28">
        <f t="shared" si="323"/>
        <v>0</v>
      </c>
      <c r="AI558" s="17">
        <f t="shared" si="324"/>
        <v>0</v>
      </c>
      <c r="AJ558" s="28">
        <f t="shared" si="325"/>
        <v>0</v>
      </c>
      <c r="AK558" s="17">
        <f t="shared" si="333"/>
        <v>941</v>
      </c>
      <c r="AL558" s="28">
        <f t="shared" si="326"/>
        <v>861956</v>
      </c>
      <c r="AM558" s="17">
        <f t="shared" si="341"/>
        <v>0</v>
      </c>
      <c r="AN558" s="28">
        <f t="shared" si="312"/>
        <v>0</v>
      </c>
      <c r="AO558" s="17">
        <f t="shared" si="351"/>
        <v>0</v>
      </c>
      <c r="AP558" s="28">
        <f t="shared" si="352"/>
        <v>0</v>
      </c>
      <c r="AQ558" s="17">
        <f t="shared" si="353"/>
        <v>0</v>
      </c>
      <c r="AR558" s="28">
        <f t="shared" si="354"/>
        <v>0</v>
      </c>
      <c r="AS558" s="17">
        <f t="shared" si="337"/>
        <v>0</v>
      </c>
      <c r="AT558" s="28">
        <f t="shared" si="338"/>
        <v>0</v>
      </c>
      <c r="AU558" s="17">
        <f t="shared" si="339"/>
        <v>0</v>
      </c>
      <c r="AV558" s="28">
        <f t="shared" si="340"/>
        <v>0</v>
      </c>
      <c r="AW558" s="17">
        <f t="shared" si="327"/>
        <v>0</v>
      </c>
      <c r="AX558" s="28">
        <f t="shared" si="328"/>
        <v>0</v>
      </c>
      <c r="AY558" s="17">
        <f t="shared" si="329"/>
        <v>0</v>
      </c>
      <c r="AZ558" s="28">
        <f t="shared" si="330"/>
        <v>0</v>
      </c>
      <c r="BA558" s="27">
        <f t="shared" si="313"/>
        <v>0</v>
      </c>
      <c r="BB558" s="27">
        <f t="shared" si="332"/>
        <v>861956</v>
      </c>
      <c r="BC558" s="27">
        <f t="shared" si="334"/>
        <v>0</v>
      </c>
      <c r="BD558" s="27">
        <f t="shared" si="335"/>
        <v>0</v>
      </c>
      <c r="BE558" s="27">
        <f t="shared" si="336"/>
        <v>0</v>
      </c>
      <c r="BF558" s="29">
        <f t="shared" si="314"/>
        <v>861956</v>
      </c>
      <c r="BH558" s="30">
        <f t="shared" si="331"/>
        <v>941</v>
      </c>
      <c r="BM558" s="2">
        <f t="shared" si="355"/>
        <v>941</v>
      </c>
      <c r="BP558" s="2">
        <f t="shared" si="356"/>
        <v>941</v>
      </c>
    </row>
    <row r="559" spans="1:68" x14ac:dyDescent="0.25">
      <c r="A559" s="33" t="s">
        <v>574</v>
      </c>
      <c r="B559" s="23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13">
        <v>500</v>
      </c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5"/>
      <c r="AD559" s="25">
        <f t="shared" si="350"/>
        <v>500</v>
      </c>
      <c r="AE559" s="26" t="s">
        <v>42</v>
      </c>
      <c r="AF559" s="27">
        <v>916</v>
      </c>
      <c r="AG559" s="17">
        <f t="shared" si="322"/>
        <v>0</v>
      </c>
      <c r="AH559" s="28">
        <f t="shared" si="323"/>
        <v>0</v>
      </c>
      <c r="AI559" s="17">
        <f t="shared" si="324"/>
        <v>0</v>
      </c>
      <c r="AJ559" s="28">
        <f t="shared" si="325"/>
        <v>0</v>
      </c>
      <c r="AK559" s="17">
        <f t="shared" si="333"/>
        <v>500</v>
      </c>
      <c r="AL559" s="28">
        <f t="shared" si="326"/>
        <v>458000</v>
      </c>
      <c r="AM559" s="17">
        <f t="shared" si="341"/>
        <v>0</v>
      </c>
      <c r="AN559" s="28">
        <f t="shared" si="312"/>
        <v>0</v>
      </c>
      <c r="AO559" s="17">
        <f t="shared" si="351"/>
        <v>0</v>
      </c>
      <c r="AP559" s="28">
        <f t="shared" si="352"/>
        <v>0</v>
      </c>
      <c r="AQ559" s="17">
        <f t="shared" si="353"/>
        <v>0</v>
      </c>
      <c r="AR559" s="28">
        <f t="shared" si="354"/>
        <v>0</v>
      </c>
      <c r="AS559" s="17">
        <f t="shared" si="337"/>
        <v>0</v>
      </c>
      <c r="AT559" s="28">
        <f t="shared" si="338"/>
        <v>0</v>
      </c>
      <c r="AU559" s="17">
        <f t="shared" si="339"/>
        <v>0</v>
      </c>
      <c r="AV559" s="28">
        <f t="shared" si="340"/>
        <v>0</v>
      </c>
      <c r="AW559" s="17">
        <f t="shared" si="327"/>
        <v>0</v>
      </c>
      <c r="AX559" s="28">
        <f t="shared" si="328"/>
        <v>0</v>
      </c>
      <c r="AY559" s="17">
        <f t="shared" si="329"/>
        <v>0</v>
      </c>
      <c r="AZ559" s="28">
        <f t="shared" si="330"/>
        <v>0</v>
      </c>
      <c r="BA559" s="27">
        <f t="shared" si="313"/>
        <v>0</v>
      </c>
      <c r="BB559" s="27">
        <f t="shared" si="332"/>
        <v>458000</v>
      </c>
      <c r="BC559" s="27">
        <f t="shared" si="334"/>
        <v>0</v>
      </c>
      <c r="BD559" s="27">
        <f t="shared" si="335"/>
        <v>0</v>
      </c>
      <c r="BE559" s="27">
        <f t="shared" si="336"/>
        <v>0</v>
      </c>
      <c r="BF559" s="29">
        <f t="shared" si="314"/>
        <v>458000</v>
      </c>
      <c r="BH559" s="30">
        <f t="shared" si="331"/>
        <v>500</v>
      </c>
      <c r="BM559" s="2">
        <f t="shared" si="355"/>
        <v>500</v>
      </c>
      <c r="BP559" s="2">
        <f t="shared" si="356"/>
        <v>500</v>
      </c>
    </row>
    <row r="560" spans="1:68" ht="14.45" hidden="1" customHeight="1" x14ac:dyDescent="0.25">
      <c r="A560" s="33" t="s">
        <v>575</v>
      </c>
      <c r="B560" s="23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13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5"/>
      <c r="AD560" s="25">
        <f t="shared" si="350"/>
        <v>0</v>
      </c>
      <c r="AE560" s="26" t="s">
        <v>42</v>
      </c>
      <c r="AF560" s="27"/>
      <c r="AG560" s="17">
        <f t="shared" si="322"/>
        <v>0</v>
      </c>
      <c r="AH560" s="28">
        <f t="shared" si="323"/>
        <v>0</v>
      </c>
      <c r="AI560" s="17">
        <f t="shared" si="324"/>
        <v>0</v>
      </c>
      <c r="AJ560" s="28">
        <f t="shared" si="325"/>
        <v>0</v>
      </c>
      <c r="AK560" s="17">
        <f t="shared" si="333"/>
        <v>0</v>
      </c>
      <c r="AL560" s="28">
        <f t="shared" si="326"/>
        <v>0</v>
      </c>
      <c r="AM560" s="17">
        <f t="shared" si="341"/>
        <v>0</v>
      </c>
      <c r="AN560" s="28">
        <f t="shared" si="312"/>
        <v>0</v>
      </c>
      <c r="AO560" s="17">
        <f t="shared" si="351"/>
        <v>0</v>
      </c>
      <c r="AP560" s="28">
        <f t="shared" si="352"/>
        <v>0</v>
      </c>
      <c r="AQ560" s="17">
        <f t="shared" si="353"/>
        <v>0</v>
      </c>
      <c r="AR560" s="28">
        <f t="shared" si="354"/>
        <v>0</v>
      </c>
      <c r="AS560" s="17">
        <f t="shared" si="337"/>
        <v>0</v>
      </c>
      <c r="AT560" s="28">
        <f t="shared" si="338"/>
        <v>0</v>
      </c>
      <c r="AU560" s="17">
        <f t="shared" si="339"/>
        <v>0</v>
      </c>
      <c r="AV560" s="28">
        <f t="shared" si="340"/>
        <v>0</v>
      </c>
      <c r="AW560" s="17">
        <f t="shared" si="327"/>
        <v>0</v>
      </c>
      <c r="AX560" s="28">
        <f t="shared" si="328"/>
        <v>0</v>
      </c>
      <c r="AY560" s="17">
        <f t="shared" si="329"/>
        <v>0</v>
      </c>
      <c r="AZ560" s="28">
        <f t="shared" si="330"/>
        <v>0</v>
      </c>
      <c r="BA560" s="27">
        <f t="shared" si="313"/>
        <v>0</v>
      </c>
      <c r="BB560" s="27">
        <f t="shared" si="332"/>
        <v>0</v>
      </c>
      <c r="BC560" s="27">
        <f t="shared" si="334"/>
        <v>0</v>
      </c>
      <c r="BD560" s="27">
        <f t="shared" si="335"/>
        <v>0</v>
      </c>
      <c r="BE560" s="27">
        <f t="shared" si="336"/>
        <v>0</v>
      </c>
      <c r="BF560" s="29">
        <f t="shared" si="314"/>
        <v>0</v>
      </c>
      <c r="BH560" s="30">
        <f t="shared" si="331"/>
        <v>0</v>
      </c>
      <c r="BM560" s="2">
        <f t="shared" si="355"/>
        <v>0</v>
      </c>
      <c r="BP560" s="2">
        <f t="shared" si="356"/>
        <v>0</v>
      </c>
    </row>
    <row r="561" spans="1:85" x14ac:dyDescent="0.25">
      <c r="A561" s="33" t="s">
        <v>576</v>
      </c>
      <c r="B561" s="23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13">
        <v>247</v>
      </c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5"/>
      <c r="AD561" s="25">
        <f t="shared" si="350"/>
        <v>247</v>
      </c>
      <c r="AE561" s="26" t="s">
        <v>42</v>
      </c>
      <c r="AF561" s="27">
        <v>916</v>
      </c>
      <c r="AG561" s="17">
        <f t="shared" si="322"/>
        <v>0</v>
      </c>
      <c r="AH561" s="28">
        <f t="shared" si="323"/>
        <v>0</v>
      </c>
      <c r="AI561" s="17">
        <f t="shared" si="324"/>
        <v>0</v>
      </c>
      <c r="AJ561" s="28">
        <f t="shared" si="325"/>
        <v>0</v>
      </c>
      <c r="AK561" s="17">
        <f t="shared" si="333"/>
        <v>247</v>
      </c>
      <c r="AL561" s="28">
        <f t="shared" si="326"/>
        <v>226252</v>
      </c>
      <c r="AM561" s="17">
        <f t="shared" si="341"/>
        <v>0</v>
      </c>
      <c r="AN561" s="28">
        <f t="shared" ref="AN561:AN624" si="357">+AM561*AF561</f>
        <v>0</v>
      </c>
      <c r="AO561" s="17">
        <f t="shared" si="351"/>
        <v>0</v>
      </c>
      <c r="AP561" s="28">
        <f t="shared" si="352"/>
        <v>0</v>
      </c>
      <c r="AQ561" s="17">
        <f t="shared" si="353"/>
        <v>0</v>
      </c>
      <c r="AR561" s="28">
        <f t="shared" si="354"/>
        <v>0</v>
      </c>
      <c r="AS561" s="17">
        <f t="shared" si="337"/>
        <v>0</v>
      </c>
      <c r="AT561" s="28">
        <f t="shared" si="338"/>
        <v>0</v>
      </c>
      <c r="AU561" s="17">
        <f t="shared" si="339"/>
        <v>0</v>
      </c>
      <c r="AV561" s="28">
        <f t="shared" si="340"/>
        <v>0</v>
      </c>
      <c r="AW561" s="17">
        <f t="shared" si="327"/>
        <v>0</v>
      </c>
      <c r="AX561" s="28">
        <f t="shared" si="328"/>
        <v>0</v>
      </c>
      <c r="AY561" s="17">
        <f t="shared" si="329"/>
        <v>0</v>
      </c>
      <c r="AZ561" s="28">
        <f t="shared" si="330"/>
        <v>0</v>
      </c>
      <c r="BA561" s="27">
        <f t="shared" si="313"/>
        <v>0</v>
      </c>
      <c r="BB561" s="27">
        <f t="shared" si="332"/>
        <v>226252</v>
      </c>
      <c r="BC561" s="27">
        <f t="shared" si="334"/>
        <v>0</v>
      </c>
      <c r="BD561" s="27">
        <f t="shared" si="335"/>
        <v>0</v>
      </c>
      <c r="BE561" s="27">
        <f t="shared" si="336"/>
        <v>0</v>
      </c>
      <c r="BF561" s="29">
        <f t="shared" si="314"/>
        <v>226252</v>
      </c>
      <c r="BH561" s="30">
        <f t="shared" si="331"/>
        <v>247</v>
      </c>
      <c r="BM561" s="2">
        <f t="shared" si="355"/>
        <v>247</v>
      </c>
      <c r="BP561" s="2">
        <f t="shared" si="356"/>
        <v>247</v>
      </c>
    </row>
    <row r="562" spans="1:85" ht="14.45" hidden="1" customHeight="1" x14ac:dyDescent="0.25">
      <c r="A562" s="33" t="s">
        <v>577</v>
      </c>
      <c r="B562" s="23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13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5"/>
      <c r="AD562" s="25">
        <f t="shared" si="350"/>
        <v>0</v>
      </c>
      <c r="AE562" s="26" t="s">
        <v>42</v>
      </c>
      <c r="AF562" s="27"/>
      <c r="AG562" s="17">
        <f t="shared" si="322"/>
        <v>0</v>
      </c>
      <c r="AH562" s="28">
        <f t="shared" si="323"/>
        <v>0</v>
      </c>
      <c r="AI562" s="17">
        <f t="shared" si="324"/>
        <v>0</v>
      </c>
      <c r="AJ562" s="28">
        <f t="shared" si="325"/>
        <v>0</v>
      </c>
      <c r="AK562" s="17">
        <f t="shared" si="333"/>
        <v>0</v>
      </c>
      <c r="AL562" s="28">
        <f t="shared" si="326"/>
        <v>0</v>
      </c>
      <c r="AM562" s="17">
        <f t="shared" si="341"/>
        <v>0</v>
      </c>
      <c r="AN562" s="28">
        <f t="shared" si="357"/>
        <v>0</v>
      </c>
      <c r="AO562" s="17">
        <f t="shared" si="351"/>
        <v>0</v>
      </c>
      <c r="AP562" s="28">
        <f t="shared" si="352"/>
        <v>0</v>
      </c>
      <c r="AQ562" s="17">
        <f t="shared" si="353"/>
        <v>0</v>
      </c>
      <c r="AR562" s="28">
        <f t="shared" si="354"/>
        <v>0</v>
      </c>
      <c r="AS562" s="17">
        <f t="shared" si="337"/>
        <v>0</v>
      </c>
      <c r="AT562" s="28">
        <f t="shared" si="338"/>
        <v>0</v>
      </c>
      <c r="AU562" s="17">
        <f t="shared" si="339"/>
        <v>0</v>
      </c>
      <c r="AV562" s="28">
        <f t="shared" si="340"/>
        <v>0</v>
      </c>
      <c r="AW562" s="17">
        <f t="shared" si="327"/>
        <v>0</v>
      </c>
      <c r="AX562" s="28">
        <f t="shared" si="328"/>
        <v>0</v>
      </c>
      <c r="AY562" s="17">
        <f t="shared" si="329"/>
        <v>0</v>
      </c>
      <c r="AZ562" s="28">
        <f t="shared" si="330"/>
        <v>0</v>
      </c>
      <c r="BA562" s="27">
        <f t="shared" si="313"/>
        <v>0</v>
      </c>
      <c r="BB562" s="27">
        <f t="shared" si="332"/>
        <v>0</v>
      </c>
      <c r="BC562" s="27">
        <f t="shared" si="334"/>
        <v>0</v>
      </c>
      <c r="BD562" s="27">
        <f t="shared" si="335"/>
        <v>0</v>
      </c>
      <c r="BE562" s="27">
        <f t="shared" si="336"/>
        <v>0</v>
      </c>
      <c r="BF562" s="29">
        <f t="shared" si="314"/>
        <v>0</v>
      </c>
      <c r="BH562" s="30">
        <f t="shared" si="331"/>
        <v>0</v>
      </c>
      <c r="BM562" s="2">
        <f t="shared" si="355"/>
        <v>0</v>
      </c>
      <c r="BP562" s="2">
        <f t="shared" si="356"/>
        <v>0</v>
      </c>
    </row>
    <row r="563" spans="1:85" ht="14.45" customHeight="1" x14ac:dyDescent="0.25">
      <c r="A563" s="33" t="s">
        <v>578</v>
      </c>
      <c r="B563" s="23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13">
        <v>941</v>
      </c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5"/>
      <c r="AD563" s="25">
        <v>941</v>
      </c>
      <c r="AE563" s="26" t="s">
        <v>42</v>
      </c>
      <c r="AF563" s="27">
        <v>916</v>
      </c>
      <c r="AG563" s="17">
        <f t="shared" si="322"/>
        <v>0</v>
      </c>
      <c r="AH563" s="28">
        <f t="shared" si="323"/>
        <v>0</v>
      </c>
      <c r="AI563" s="17">
        <f t="shared" si="324"/>
        <v>0</v>
      </c>
      <c r="AJ563" s="28">
        <f t="shared" si="325"/>
        <v>0</v>
      </c>
      <c r="AK563" s="17">
        <f t="shared" si="333"/>
        <v>941</v>
      </c>
      <c r="AL563" s="28">
        <f t="shared" si="326"/>
        <v>861956</v>
      </c>
      <c r="AM563" s="17">
        <f t="shared" si="341"/>
        <v>0</v>
      </c>
      <c r="AN563" s="28">
        <f t="shared" si="357"/>
        <v>0</v>
      </c>
      <c r="AO563" s="17">
        <f t="shared" si="351"/>
        <v>0</v>
      </c>
      <c r="AP563" s="28"/>
      <c r="AQ563" s="17">
        <f t="shared" si="353"/>
        <v>0</v>
      </c>
      <c r="AR563" s="28"/>
      <c r="AS563" s="17">
        <f t="shared" si="337"/>
        <v>0</v>
      </c>
      <c r="AT563" s="28">
        <f t="shared" si="338"/>
        <v>0</v>
      </c>
      <c r="AU563" s="17">
        <f t="shared" si="339"/>
        <v>0</v>
      </c>
      <c r="AV563" s="28">
        <f t="shared" si="340"/>
        <v>0</v>
      </c>
      <c r="AW563" s="17">
        <f t="shared" si="327"/>
        <v>0</v>
      </c>
      <c r="AX563" s="28">
        <f t="shared" si="328"/>
        <v>0</v>
      </c>
      <c r="AY563" s="17">
        <f t="shared" si="329"/>
        <v>0</v>
      </c>
      <c r="AZ563" s="28">
        <f t="shared" si="330"/>
        <v>0</v>
      </c>
      <c r="BA563" s="27">
        <f t="shared" si="313"/>
        <v>0</v>
      </c>
      <c r="BB563" s="27">
        <f t="shared" si="332"/>
        <v>861956</v>
      </c>
      <c r="BC563" s="27">
        <f t="shared" si="334"/>
        <v>0</v>
      </c>
      <c r="BD563" s="27">
        <f t="shared" si="335"/>
        <v>0</v>
      </c>
      <c r="BE563" s="27">
        <f t="shared" si="336"/>
        <v>0</v>
      </c>
      <c r="BF563" s="29">
        <f t="shared" si="314"/>
        <v>861956</v>
      </c>
      <c r="BH563" s="30">
        <f t="shared" si="331"/>
        <v>941</v>
      </c>
    </row>
    <row r="564" spans="1:85" s="53" customFormat="1" ht="14.45" customHeight="1" x14ac:dyDescent="0.25">
      <c r="A564" s="33" t="s">
        <v>579</v>
      </c>
      <c r="B564" s="23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13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5"/>
      <c r="AD564" s="50"/>
      <c r="AE564" s="26" t="s">
        <v>42</v>
      </c>
      <c r="AF564" s="34">
        <v>43650</v>
      </c>
      <c r="AG564" s="17">
        <f t="shared" si="322"/>
        <v>0</v>
      </c>
      <c r="AH564" s="28">
        <f t="shared" si="323"/>
        <v>0</v>
      </c>
      <c r="AI564" s="17">
        <f t="shared" si="324"/>
        <v>0</v>
      </c>
      <c r="AJ564" s="28">
        <f t="shared" si="325"/>
        <v>0</v>
      </c>
      <c r="AK564" s="17">
        <f t="shared" si="333"/>
        <v>0</v>
      </c>
      <c r="AL564" s="28">
        <f t="shared" si="326"/>
        <v>0</v>
      </c>
      <c r="AM564" s="17">
        <f t="shared" si="341"/>
        <v>0</v>
      </c>
      <c r="AN564" s="28">
        <f t="shared" si="357"/>
        <v>0</v>
      </c>
      <c r="AO564" s="17">
        <f t="shared" si="351"/>
        <v>0</v>
      </c>
      <c r="AP564" s="51"/>
      <c r="AQ564" s="17">
        <f t="shared" si="353"/>
        <v>0</v>
      </c>
      <c r="AR564" s="51"/>
      <c r="AS564" s="17">
        <f t="shared" si="337"/>
        <v>0</v>
      </c>
      <c r="AT564" s="28">
        <f t="shared" si="338"/>
        <v>0</v>
      </c>
      <c r="AU564" s="17">
        <f t="shared" si="339"/>
        <v>0</v>
      </c>
      <c r="AV564" s="28">
        <f t="shared" si="340"/>
        <v>0</v>
      </c>
      <c r="AW564" s="17">
        <f t="shared" si="327"/>
        <v>0</v>
      </c>
      <c r="AX564" s="28">
        <f t="shared" si="328"/>
        <v>0</v>
      </c>
      <c r="AY564" s="17">
        <f t="shared" si="329"/>
        <v>0</v>
      </c>
      <c r="AZ564" s="28">
        <f t="shared" si="330"/>
        <v>0</v>
      </c>
      <c r="BA564" s="27">
        <f t="shared" si="313"/>
        <v>0</v>
      </c>
      <c r="BB564" s="27">
        <f t="shared" si="332"/>
        <v>0</v>
      </c>
      <c r="BC564" s="27">
        <f t="shared" si="334"/>
        <v>0</v>
      </c>
      <c r="BD564" s="27">
        <f t="shared" si="335"/>
        <v>0</v>
      </c>
      <c r="BE564" s="27">
        <f t="shared" si="336"/>
        <v>0</v>
      </c>
      <c r="BF564" s="29">
        <f t="shared" ref="BF564:BF627" si="358">+BB564+BA564*5%+BD564*30%</f>
        <v>0</v>
      </c>
      <c r="BG564" s="52"/>
      <c r="BH564" s="30">
        <f t="shared" si="331"/>
        <v>0</v>
      </c>
      <c r="BI564" s="52"/>
      <c r="BJ564" s="52"/>
      <c r="BK564" s="52"/>
      <c r="BL564" s="52"/>
      <c r="BM564" s="52"/>
      <c r="BN564" s="52"/>
      <c r="BO564" s="52"/>
      <c r="BP564" s="52"/>
      <c r="BQ564" s="52"/>
      <c r="BR564" s="52"/>
      <c r="BS564" s="52"/>
      <c r="BT564" s="52"/>
      <c r="BU564" s="52"/>
      <c r="BV564" s="52"/>
      <c r="BW564" s="52"/>
      <c r="BX564" s="52"/>
      <c r="BY564" s="52"/>
      <c r="BZ564" s="52"/>
      <c r="CA564" s="52"/>
      <c r="CB564" s="52"/>
      <c r="CC564" s="52"/>
      <c r="CD564" s="52"/>
      <c r="CE564" s="52"/>
      <c r="CF564" s="52"/>
      <c r="CG564" s="52"/>
    </row>
    <row r="565" spans="1:85" s="53" customFormat="1" ht="14.45" customHeight="1" x14ac:dyDescent="0.25">
      <c r="A565" s="33" t="s">
        <v>580</v>
      </c>
      <c r="B565" s="23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13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5"/>
      <c r="AD565" s="50"/>
      <c r="AE565" s="26" t="s">
        <v>42</v>
      </c>
      <c r="AF565" s="34">
        <v>43650</v>
      </c>
      <c r="AG565" s="17">
        <f t="shared" si="322"/>
        <v>0</v>
      </c>
      <c r="AH565" s="28">
        <f t="shared" si="323"/>
        <v>0</v>
      </c>
      <c r="AI565" s="17">
        <f t="shared" si="324"/>
        <v>0</v>
      </c>
      <c r="AJ565" s="28">
        <f t="shared" si="325"/>
        <v>0</v>
      </c>
      <c r="AK565" s="17">
        <f t="shared" si="333"/>
        <v>0</v>
      </c>
      <c r="AL565" s="28">
        <f t="shared" si="326"/>
        <v>0</v>
      </c>
      <c r="AM565" s="17">
        <f t="shared" si="341"/>
        <v>0</v>
      </c>
      <c r="AN565" s="28">
        <f t="shared" si="357"/>
        <v>0</v>
      </c>
      <c r="AO565" s="17">
        <f t="shared" si="351"/>
        <v>0</v>
      </c>
      <c r="AP565" s="51"/>
      <c r="AQ565" s="17">
        <f t="shared" si="353"/>
        <v>0</v>
      </c>
      <c r="AR565" s="51"/>
      <c r="AS565" s="17">
        <f t="shared" si="337"/>
        <v>0</v>
      </c>
      <c r="AT565" s="28">
        <f t="shared" si="338"/>
        <v>0</v>
      </c>
      <c r="AU565" s="17">
        <f t="shared" si="339"/>
        <v>0</v>
      </c>
      <c r="AV565" s="28">
        <f t="shared" si="340"/>
        <v>0</v>
      </c>
      <c r="AW565" s="17">
        <f t="shared" si="327"/>
        <v>0</v>
      </c>
      <c r="AX565" s="28">
        <f t="shared" si="328"/>
        <v>0</v>
      </c>
      <c r="AY565" s="17">
        <f t="shared" si="329"/>
        <v>0</v>
      </c>
      <c r="AZ565" s="28">
        <f t="shared" si="330"/>
        <v>0</v>
      </c>
      <c r="BA565" s="27">
        <f t="shared" si="313"/>
        <v>0</v>
      </c>
      <c r="BB565" s="27">
        <f t="shared" si="332"/>
        <v>0</v>
      </c>
      <c r="BC565" s="27">
        <f t="shared" si="334"/>
        <v>0</v>
      </c>
      <c r="BD565" s="27">
        <f t="shared" si="335"/>
        <v>0</v>
      </c>
      <c r="BE565" s="27">
        <f t="shared" si="336"/>
        <v>0</v>
      </c>
      <c r="BF565" s="29">
        <f t="shared" si="358"/>
        <v>0</v>
      </c>
      <c r="BG565" s="52"/>
      <c r="BH565" s="30">
        <f t="shared" si="331"/>
        <v>0</v>
      </c>
      <c r="BI565" s="52"/>
      <c r="BJ565" s="52"/>
      <c r="BK565" s="52"/>
      <c r="BL565" s="52"/>
      <c r="BM565" s="52"/>
      <c r="BN565" s="52"/>
      <c r="BO565" s="52"/>
      <c r="BP565" s="52"/>
      <c r="BQ565" s="52"/>
      <c r="BR565" s="52"/>
      <c r="BS565" s="52"/>
      <c r="BT565" s="52"/>
      <c r="BU565" s="52"/>
      <c r="BV565" s="52"/>
      <c r="BW565" s="52"/>
      <c r="BX565" s="52"/>
      <c r="BY565" s="52"/>
      <c r="BZ565" s="52"/>
      <c r="CA565" s="52"/>
      <c r="CB565" s="52"/>
      <c r="CC565" s="52"/>
      <c r="CD565" s="52"/>
      <c r="CE565" s="52"/>
      <c r="CF565" s="52"/>
      <c r="CG565" s="52"/>
    </row>
    <row r="566" spans="1:85" s="53" customFormat="1" ht="14.45" customHeight="1" x14ac:dyDescent="0.25">
      <c r="A566" s="33" t="s">
        <v>581</v>
      </c>
      <c r="B566" s="23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13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5"/>
      <c r="AD566" s="50"/>
      <c r="AE566" s="26" t="s">
        <v>42</v>
      </c>
      <c r="AF566" s="34">
        <v>74068</v>
      </c>
      <c r="AG566" s="17">
        <f t="shared" si="322"/>
        <v>0</v>
      </c>
      <c r="AH566" s="28">
        <f t="shared" si="323"/>
        <v>0</v>
      </c>
      <c r="AI566" s="17">
        <f t="shared" si="324"/>
        <v>0</v>
      </c>
      <c r="AJ566" s="28">
        <f t="shared" si="325"/>
        <v>0</v>
      </c>
      <c r="AK566" s="17">
        <f t="shared" si="333"/>
        <v>0</v>
      </c>
      <c r="AL566" s="28">
        <f t="shared" si="326"/>
        <v>0</v>
      </c>
      <c r="AM566" s="17">
        <f t="shared" si="341"/>
        <v>0</v>
      </c>
      <c r="AN566" s="28">
        <f t="shared" si="357"/>
        <v>0</v>
      </c>
      <c r="AO566" s="17">
        <f t="shared" si="351"/>
        <v>0</v>
      </c>
      <c r="AP566" s="51"/>
      <c r="AQ566" s="17">
        <f t="shared" si="353"/>
        <v>0</v>
      </c>
      <c r="AR566" s="51"/>
      <c r="AS566" s="17">
        <f t="shared" si="337"/>
        <v>0</v>
      </c>
      <c r="AT566" s="28">
        <f t="shared" si="338"/>
        <v>0</v>
      </c>
      <c r="AU566" s="17">
        <f t="shared" si="339"/>
        <v>0</v>
      </c>
      <c r="AV566" s="28">
        <f t="shared" si="340"/>
        <v>0</v>
      </c>
      <c r="AW566" s="17">
        <f t="shared" si="327"/>
        <v>0</v>
      </c>
      <c r="AX566" s="28">
        <f t="shared" si="328"/>
        <v>0</v>
      </c>
      <c r="AY566" s="17">
        <f t="shared" si="329"/>
        <v>0</v>
      </c>
      <c r="AZ566" s="28">
        <f t="shared" si="330"/>
        <v>0</v>
      </c>
      <c r="BA566" s="27">
        <f t="shared" si="313"/>
        <v>0</v>
      </c>
      <c r="BB566" s="27">
        <f t="shared" si="332"/>
        <v>0</v>
      </c>
      <c r="BC566" s="27">
        <f t="shared" si="334"/>
        <v>0</v>
      </c>
      <c r="BD566" s="27">
        <f t="shared" si="335"/>
        <v>0</v>
      </c>
      <c r="BE566" s="27">
        <f t="shared" si="336"/>
        <v>0</v>
      </c>
      <c r="BF566" s="29">
        <f t="shared" si="358"/>
        <v>0</v>
      </c>
      <c r="BG566" s="52"/>
      <c r="BH566" s="30">
        <f t="shared" si="331"/>
        <v>0</v>
      </c>
      <c r="BI566" s="52"/>
      <c r="BJ566" s="52"/>
      <c r="BK566" s="52"/>
      <c r="BL566" s="52"/>
      <c r="BM566" s="52"/>
      <c r="BN566" s="52"/>
      <c r="BO566" s="52"/>
      <c r="BP566" s="52"/>
      <c r="BQ566" s="52"/>
      <c r="BR566" s="52"/>
      <c r="BS566" s="52"/>
      <c r="BT566" s="52"/>
      <c r="BU566" s="52"/>
      <c r="BV566" s="52"/>
      <c r="BW566" s="52"/>
      <c r="BX566" s="52"/>
      <c r="BY566" s="52"/>
      <c r="BZ566" s="52"/>
      <c r="CA566" s="52"/>
      <c r="CB566" s="52"/>
      <c r="CC566" s="52"/>
      <c r="CD566" s="52"/>
      <c r="CE566" s="52"/>
      <c r="CF566" s="52"/>
      <c r="CG566" s="52"/>
    </row>
    <row r="567" spans="1:85" s="53" customFormat="1" ht="14.45" customHeight="1" x14ac:dyDescent="0.25">
      <c r="A567" s="33" t="s">
        <v>582</v>
      </c>
      <c r="B567" s="23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13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5"/>
      <c r="AD567" s="50"/>
      <c r="AE567" s="26" t="s">
        <v>42</v>
      </c>
      <c r="AF567" s="34">
        <v>2358</v>
      </c>
      <c r="AG567" s="17">
        <f t="shared" si="322"/>
        <v>0</v>
      </c>
      <c r="AH567" s="28">
        <f t="shared" si="323"/>
        <v>0</v>
      </c>
      <c r="AI567" s="17">
        <f t="shared" si="324"/>
        <v>0</v>
      </c>
      <c r="AJ567" s="28">
        <f t="shared" si="325"/>
        <v>0</v>
      </c>
      <c r="AK567" s="17">
        <f t="shared" si="333"/>
        <v>0</v>
      </c>
      <c r="AL567" s="28">
        <f t="shared" si="326"/>
        <v>0</v>
      </c>
      <c r="AM567" s="17">
        <f t="shared" si="341"/>
        <v>0</v>
      </c>
      <c r="AN567" s="28">
        <f t="shared" si="357"/>
        <v>0</v>
      </c>
      <c r="AO567" s="17">
        <f t="shared" si="351"/>
        <v>0</v>
      </c>
      <c r="AP567" s="51"/>
      <c r="AQ567" s="17">
        <f t="shared" si="353"/>
        <v>0</v>
      </c>
      <c r="AR567" s="51"/>
      <c r="AS567" s="17">
        <f t="shared" si="337"/>
        <v>0</v>
      </c>
      <c r="AT567" s="28">
        <f t="shared" si="338"/>
        <v>0</v>
      </c>
      <c r="AU567" s="17">
        <f t="shared" si="339"/>
        <v>0</v>
      </c>
      <c r="AV567" s="28">
        <f t="shared" si="340"/>
        <v>0</v>
      </c>
      <c r="AW567" s="17">
        <f t="shared" si="327"/>
        <v>0</v>
      </c>
      <c r="AX567" s="28">
        <f t="shared" si="328"/>
        <v>0</v>
      </c>
      <c r="AY567" s="17">
        <f t="shared" si="329"/>
        <v>0</v>
      </c>
      <c r="AZ567" s="28">
        <f t="shared" si="330"/>
        <v>0</v>
      </c>
      <c r="BA567" s="27">
        <f t="shared" si="313"/>
        <v>0</v>
      </c>
      <c r="BB567" s="27">
        <f t="shared" si="332"/>
        <v>0</v>
      </c>
      <c r="BC567" s="27">
        <f t="shared" si="334"/>
        <v>0</v>
      </c>
      <c r="BD567" s="27">
        <f t="shared" si="335"/>
        <v>0</v>
      </c>
      <c r="BE567" s="27">
        <f t="shared" si="336"/>
        <v>0</v>
      </c>
      <c r="BF567" s="29">
        <f t="shared" si="358"/>
        <v>0</v>
      </c>
      <c r="BG567" s="52"/>
      <c r="BH567" s="30">
        <f t="shared" si="331"/>
        <v>0</v>
      </c>
      <c r="BI567" s="52"/>
      <c r="BJ567" s="52"/>
      <c r="BK567" s="52"/>
      <c r="BL567" s="52"/>
      <c r="BM567" s="52"/>
      <c r="BN567" s="52"/>
      <c r="BO567" s="52"/>
      <c r="BP567" s="52"/>
      <c r="BQ567" s="52"/>
      <c r="BR567" s="52"/>
      <c r="BS567" s="52"/>
      <c r="BT567" s="52"/>
      <c r="BU567" s="52"/>
      <c r="BV567" s="52"/>
      <c r="BW567" s="52"/>
      <c r="BX567" s="52"/>
      <c r="BY567" s="52"/>
      <c r="BZ567" s="52"/>
      <c r="CA567" s="52"/>
      <c r="CB567" s="52"/>
      <c r="CC567" s="52"/>
      <c r="CD567" s="52"/>
      <c r="CE567" s="52"/>
      <c r="CF567" s="52"/>
      <c r="CG567" s="52"/>
    </row>
    <row r="568" spans="1:85" s="53" customFormat="1" ht="14.45" customHeight="1" x14ac:dyDescent="0.25">
      <c r="A568" s="33" t="s">
        <v>583</v>
      </c>
      <c r="B568" s="23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13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5"/>
      <c r="AD568" s="50"/>
      <c r="AE568" s="26" t="s">
        <v>42</v>
      </c>
      <c r="AF568" s="34">
        <v>43650</v>
      </c>
      <c r="AG568" s="17">
        <f t="shared" si="322"/>
        <v>0</v>
      </c>
      <c r="AH568" s="28">
        <f t="shared" si="323"/>
        <v>0</v>
      </c>
      <c r="AI568" s="17">
        <f t="shared" si="324"/>
        <v>0</v>
      </c>
      <c r="AJ568" s="28">
        <f t="shared" si="325"/>
        <v>0</v>
      </c>
      <c r="AK568" s="17">
        <f t="shared" si="333"/>
        <v>0</v>
      </c>
      <c r="AL568" s="28">
        <f t="shared" si="326"/>
        <v>0</v>
      </c>
      <c r="AM568" s="17">
        <f t="shared" si="341"/>
        <v>0</v>
      </c>
      <c r="AN568" s="28">
        <f t="shared" si="357"/>
        <v>0</v>
      </c>
      <c r="AO568" s="17">
        <f t="shared" si="351"/>
        <v>0</v>
      </c>
      <c r="AP568" s="51"/>
      <c r="AQ568" s="17">
        <f t="shared" si="353"/>
        <v>0</v>
      </c>
      <c r="AR568" s="51"/>
      <c r="AS568" s="17">
        <f t="shared" si="337"/>
        <v>0</v>
      </c>
      <c r="AT568" s="28">
        <f t="shared" si="338"/>
        <v>0</v>
      </c>
      <c r="AU568" s="17">
        <f t="shared" si="339"/>
        <v>0</v>
      </c>
      <c r="AV568" s="28">
        <f t="shared" si="340"/>
        <v>0</v>
      </c>
      <c r="AW568" s="17">
        <f t="shared" si="327"/>
        <v>0</v>
      </c>
      <c r="AX568" s="28">
        <f t="shared" si="328"/>
        <v>0</v>
      </c>
      <c r="AY568" s="17">
        <f t="shared" si="329"/>
        <v>0</v>
      </c>
      <c r="AZ568" s="28">
        <f t="shared" si="330"/>
        <v>0</v>
      </c>
      <c r="BA568" s="27">
        <f t="shared" si="313"/>
        <v>0</v>
      </c>
      <c r="BB568" s="27">
        <f t="shared" si="332"/>
        <v>0</v>
      </c>
      <c r="BC568" s="27">
        <f t="shared" si="334"/>
        <v>0</v>
      </c>
      <c r="BD568" s="27">
        <f t="shared" si="335"/>
        <v>0</v>
      </c>
      <c r="BE568" s="27">
        <f t="shared" si="336"/>
        <v>0</v>
      </c>
      <c r="BF568" s="29">
        <f t="shared" si="358"/>
        <v>0</v>
      </c>
      <c r="BG568" s="52"/>
      <c r="BH568" s="30">
        <f t="shared" si="331"/>
        <v>0</v>
      </c>
      <c r="BI568" s="52"/>
      <c r="BJ568" s="52"/>
      <c r="BK568" s="52"/>
      <c r="BL568" s="52"/>
      <c r="BM568" s="52"/>
      <c r="BN568" s="52"/>
      <c r="BO568" s="52"/>
      <c r="BP568" s="52"/>
      <c r="BQ568" s="52"/>
      <c r="BR568" s="52"/>
      <c r="BS568" s="52"/>
      <c r="BT568" s="52"/>
      <c r="BU568" s="52"/>
      <c r="BV568" s="52"/>
      <c r="BW568" s="52"/>
      <c r="BX568" s="52"/>
      <c r="BY568" s="52"/>
      <c r="BZ568" s="52"/>
      <c r="CA568" s="52"/>
      <c r="CB568" s="52"/>
      <c r="CC568" s="52"/>
      <c r="CD568" s="52"/>
      <c r="CE568" s="52"/>
      <c r="CF568" s="52"/>
      <c r="CG568" s="52"/>
    </row>
    <row r="569" spans="1:85" s="53" customFormat="1" ht="14.45" customHeight="1" x14ac:dyDescent="0.25">
      <c r="A569" s="33" t="s">
        <v>584</v>
      </c>
      <c r="B569" s="23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13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5"/>
      <c r="AD569" s="50"/>
      <c r="AE569" s="26" t="s">
        <v>42</v>
      </c>
      <c r="AF569" s="34">
        <v>43650</v>
      </c>
      <c r="AG569" s="17">
        <f t="shared" si="322"/>
        <v>0</v>
      </c>
      <c r="AH569" s="28">
        <f t="shared" si="323"/>
        <v>0</v>
      </c>
      <c r="AI569" s="17">
        <f t="shared" si="324"/>
        <v>0</v>
      </c>
      <c r="AJ569" s="28">
        <f t="shared" si="325"/>
        <v>0</v>
      </c>
      <c r="AK569" s="17">
        <f t="shared" si="333"/>
        <v>0</v>
      </c>
      <c r="AL569" s="28">
        <f t="shared" si="326"/>
        <v>0</v>
      </c>
      <c r="AM569" s="17">
        <f t="shared" si="341"/>
        <v>0</v>
      </c>
      <c r="AN569" s="28">
        <f t="shared" si="357"/>
        <v>0</v>
      </c>
      <c r="AO569" s="17">
        <f t="shared" si="351"/>
        <v>0</v>
      </c>
      <c r="AP569" s="51"/>
      <c r="AQ569" s="17">
        <f t="shared" si="353"/>
        <v>0</v>
      </c>
      <c r="AR569" s="51"/>
      <c r="AS569" s="17">
        <f t="shared" si="337"/>
        <v>0</v>
      </c>
      <c r="AT569" s="28">
        <f t="shared" si="338"/>
        <v>0</v>
      </c>
      <c r="AU569" s="17">
        <f t="shared" si="339"/>
        <v>0</v>
      </c>
      <c r="AV569" s="28">
        <f t="shared" si="340"/>
        <v>0</v>
      </c>
      <c r="AW569" s="17">
        <f t="shared" si="327"/>
        <v>0</v>
      </c>
      <c r="AX569" s="28">
        <f t="shared" si="328"/>
        <v>0</v>
      </c>
      <c r="AY569" s="17">
        <f t="shared" si="329"/>
        <v>0</v>
      </c>
      <c r="AZ569" s="28">
        <f t="shared" si="330"/>
        <v>0</v>
      </c>
      <c r="BA569" s="27">
        <f t="shared" si="313"/>
        <v>0</v>
      </c>
      <c r="BB569" s="27">
        <f t="shared" si="332"/>
        <v>0</v>
      </c>
      <c r="BC569" s="27">
        <f t="shared" si="334"/>
        <v>0</v>
      </c>
      <c r="BD569" s="27">
        <f t="shared" si="335"/>
        <v>0</v>
      </c>
      <c r="BE569" s="27">
        <f t="shared" si="336"/>
        <v>0</v>
      </c>
      <c r="BF569" s="29">
        <f t="shared" si="358"/>
        <v>0</v>
      </c>
      <c r="BG569" s="52"/>
      <c r="BH569" s="30">
        <f t="shared" si="331"/>
        <v>0</v>
      </c>
      <c r="BI569" s="52"/>
      <c r="BJ569" s="52"/>
      <c r="BK569" s="52"/>
      <c r="BL569" s="52"/>
      <c r="BM569" s="52"/>
      <c r="BN569" s="52"/>
      <c r="BO569" s="52"/>
      <c r="BP569" s="52"/>
      <c r="BQ569" s="52"/>
      <c r="BR569" s="52"/>
      <c r="BS569" s="52"/>
      <c r="BT569" s="52"/>
      <c r="BU569" s="52"/>
      <c r="BV569" s="52"/>
      <c r="BW569" s="52"/>
      <c r="BX569" s="52"/>
      <c r="BY569" s="52"/>
      <c r="BZ569" s="52"/>
      <c r="CA569" s="52"/>
      <c r="CB569" s="52"/>
      <c r="CC569" s="52"/>
      <c r="CD569" s="52"/>
      <c r="CE569" s="52"/>
      <c r="CF569" s="52"/>
      <c r="CG569" s="52"/>
    </row>
    <row r="570" spans="1:85" s="53" customFormat="1" ht="14.45" customHeight="1" x14ac:dyDescent="0.25">
      <c r="A570" s="33" t="s">
        <v>585</v>
      </c>
      <c r="B570" s="23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13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5"/>
      <c r="AD570" s="50">
        <v>1</v>
      </c>
      <c r="AE570" s="26" t="s">
        <v>42</v>
      </c>
      <c r="AF570" s="34">
        <v>2797</v>
      </c>
      <c r="AG570" s="17">
        <f t="shared" si="322"/>
        <v>0</v>
      </c>
      <c r="AH570" s="28">
        <f t="shared" si="323"/>
        <v>0</v>
      </c>
      <c r="AI570" s="17">
        <f t="shared" si="324"/>
        <v>0</v>
      </c>
      <c r="AJ570" s="28">
        <f t="shared" si="325"/>
        <v>0</v>
      </c>
      <c r="AK570" s="17">
        <f t="shared" si="333"/>
        <v>0</v>
      </c>
      <c r="AL570" s="28">
        <f t="shared" si="326"/>
        <v>0</v>
      </c>
      <c r="AM570" s="17">
        <f t="shared" si="341"/>
        <v>0</v>
      </c>
      <c r="AN570" s="28">
        <f t="shared" si="357"/>
        <v>0</v>
      </c>
      <c r="AO570" s="17">
        <f t="shared" si="351"/>
        <v>0</v>
      </c>
      <c r="AP570" s="51"/>
      <c r="AQ570" s="17">
        <f t="shared" si="353"/>
        <v>0</v>
      </c>
      <c r="AR570" s="51"/>
      <c r="AS570" s="17">
        <f t="shared" si="337"/>
        <v>0</v>
      </c>
      <c r="AT570" s="28">
        <f t="shared" si="338"/>
        <v>0</v>
      </c>
      <c r="AU570" s="17">
        <f t="shared" si="339"/>
        <v>0</v>
      </c>
      <c r="AV570" s="28">
        <f t="shared" si="340"/>
        <v>0</v>
      </c>
      <c r="AW570" s="17">
        <f t="shared" si="327"/>
        <v>0</v>
      </c>
      <c r="AX570" s="28">
        <f t="shared" si="328"/>
        <v>0</v>
      </c>
      <c r="AY570" s="17">
        <f t="shared" si="329"/>
        <v>0</v>
      </c>
      <c r="AZ570" s="28">
        <f t="shared" si="330"/>
        <v>0</v>
      </c>
      <c r="BA570" s="27">
        <f t="shared" si="313"/>
        <v>0</v>
      </c>
      <c r="BB570" s="27">
        <f t="shared" si="332"/>
        <v>0</v>
      </c>
      <c r="BC570" s="27">
        <f t="shared" si="334"/>
        <v>0</v>
      </c>
      <c r="BD570" s="27">
        <f t="shared" si="335"/>
        <v>0</v>
      </c>
      <c r="BE570" s="27">
        <f t="shared" si="336"/>
        <v>0</v>
      </c>
      <c r="BF570" s="29">
        <f t="shared" si="358"/>
        <v>0</v>
      </c>
      <c r="BG570" s="52"/>
      <c r="BH570" s="30">
        <f t="shared" si="331"/>
        <v>0</v>
      </c>
      <c r="BI570" s="52"/>
      <c r="BJ570" s="52"/>
      <c r="BK570" s="52"/>
      <c r="BL570" s="52"/>
      <c r="BM570" s="52"/>
      <c r="BN570" s="52"/>
      <c r="BO570" s="52"/>
      <c r="BP570" s="52"/>
      <c r="BQ570" s="52"/>
      <c r="BR570" s="52"/>
      <c r="BS570" s="52"/>
      <c r="BT570" s="52"/>
      <c r="BU570" s="52"/>
      <c r="BV570" s="52"/>
      <c r="BW570" s="52"/>
      <c r="BX570" s="52"/>
      <c r="BY570" s="52"/>
      <c r="BZ570" s="52"/>
      <c r="CA570" s="52"/>
      <c r="CB570" s="52"/>
      <c r="CC570" s="52"/>
      <c r="CD570" s="52"/>
      <c r="CE570" s="52"/>
      <c r="CF570" s="52"/>
      <c r="CG570" s="52"/>
    </row>
    <row r="571" spans="1:85" x14ac:dyDescent="0.25">
      <c r="A571" s="33" t="s">
        <v>586</v>
      </c>
      <c r="B571" s="23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13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5"/>
      <c r="AD571" s="25">
        <f>SUM(B571:S571)</f>
        <v>0</v>
      </c>
      <c r="AE571" s="26" t="s">
        <v>42</v>
      </c>
      <c r="AF571" s="27">
        <v>916</v>
      </c>
      <c r="AG571" s="17">
        <f t="shared" si="322"/>
        <v>0</v>
      </c>
      <c r="AH571" s="28">
        <f t="shared" si="323"/>
        <v>0</v>
      </c>
      <c r="AI571" s="17">
        <f t="shared" si="324"/>
        <v>0</v>
      </c>
      <c r="AJ571" s="28">
        <f t="shared" si="325"/>
        <v>0</v>
      </c>
      <c r="AK571" s="17">
        <f t="shared" si="333"/>
        <v>0</v>
      </c>
      <c r="AL571" s="28">
        <f t="shared" si="326"/>
        <v>0</v>
      </c>
      <c r="AM571" s="17">
        <f t="shared" si="341"/>
        <v>0</v>
      </c>
      <c r="AN571" s="28">
        <f t="shared" si="357"/>
        <v>0</v>
      </c>
      <c r="AO571" s="17">
        <f t="shared" si="351"/>
        <v>0</v>
      </c>
      <c r="AP571" s="28">
        <f>+AO571*AF571</f>
        <v>0</v>
      </c>
      <c r="AQ571" s="17">
        <f t="shared" si="353"/>
        <v>0</v>
      </c>
      <c r="AR571" s="28">
        <f>+AQ571*AF571</f>
        <v>0</v>
      </c>
      <c r="AS571" s="17">
        <f t="shared" si="337"/>
        <v>0</v>
      </c>
      <c r="AT571" s="28">
        <f t="shared" si="338"/>
        <v>0</v>
      </c>
      <c r="AU571" s="17">
        <f t="shared" si="339"/>
        <v>0</v>
      </c>
      <c r="AV571" s="28">
        <f t="shared" si="340"/>
        <v>0</v>
      </c>
      <c r="AW571" s="17">
        <f t="shared" si="327"/>
        <v>0</v>
      </c>
      <c r="AX571" s="28">
        <f t="shared" si="328"/>
        <v>0</v>
      </c>
      <c r="AY571" s="17">
        <f t="shared" si="329"/>
        <v>0</v>
      </c>
      <c r="AZ571" s="28">
        <f t="shared" si="330"/>
        <v>0</v>
      </c>
      <c r="BA571" s="27">
        <f t="shared" ref="BA571:BA636" si="359">+AH571+AJ571</f>
        <v>0</v>
      </c>
      <c r="BB571" s="27">
        <f t="shared" si="332"/>
        <v>0</v>
      </c>
      <c r="BC571" s="27">
        <f t="shared" si="334"/>
        <v>0</v>
      </c>
      <c r="BD571" s="27">
        <f t="shared" si="335"/>
        <v>0</v>
      </c>
      <c r="BE571" s="27">
        <f t="shared" si="336"/>
        <v>0</v>
      </c>
      <c r="BF571" s="29">
        <f t="shared" si="358"/>
        <v>0</v>
      </c>
      <c r="BH571" s="30">
        <f t="shared" si="331"/>
        <v>0</v>
      </c>
      <c r="BM571" s="2">
        <f>SUM(B571:S571)</f>
        <v>0</v>
      </c>
      <c r="BP571" s="2">
        <f>SUM(B571:S571)</f>
        <v>0</v>
      </c>
    </row>
    <row r="572" spans="1:85" x14ac:dyDescent="0.25">
      <c r="A572" s="33" t="s">
        <v>587</v>
      </c>
      <c r="B572" s="23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13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5"/>
      <c r="AD572" s="25">
        <f>SUM(B572:S572)</f>
        <v>0</v>
      </c>
      <c r="AE572" s="26" t="s">
        <v>42</v>
      </c>
      <c r="AF572" s="27">
        <v>916</v>
      </c>
      <c r="AG572" s="17">
        <f t="shared" si="322"/>
        <v>0</v>
      </c>
      <c r="AH572" s="28">
        <f t="shared" si="323"/>
        <v>0</v>
      </c>
      <c r="AI572" s="17">
        <f t="shared" si="324"/>
        <v>0</v>
      </c>
      <c r="AJ572" s="28">
        <f t="shared" si="325"/>
        <v>0</v>
      </c>
      <c r="AK572" s="17">
        <f t="shared" si="333"/>
        <v>0</v>
      </c>
      <c r="AL572" s="28">
        <f t="shared" si="326"/>
        <v>0</v>
      </c>
      <c r="AM572" s="17">
        <f t="shared" si="341"/>
        <v>0</v>
      </c>
      <c r="AN572" s="28">
        <f t="shared" si="357"/>
        <v>0</v>
      </c>
      <c r="AO572" s="17">
        <f t="shared" si="351"/>
        <v>0</v>
      </c>
      <c r="AP572" s="28">
        <f>+AO572*AF572</f>
        <v>0</v>
      </c>
      <c r="AQ572" s="17">
        <f t="shared" si="353"/>
        <v>0</v>
      </c>
      <c r="AR572" s="28">
        <f>+AQ572*AF572</f>
        <v>0</v>
      </c>
      <c r="AS572" s="17">
        <f t="shared" si="337"/>
        <v>0</v>
      </c>
      <c r="AT572" s="28">
        <f t="shared" si="338"/>
        <v>0</v>
      </c>
      <c r="AU572" s="17">
        <f t="shared" si="339"/>
        <v>0</v>
      </c>
      <c r="AV572" s="28">
        <f t="shared" si="340"/>
        <v>0</v>
      </c>
      <c r="AW572" s="17">
        <f t="shared" si="327"/>
        <v>0</v>
      </c>
      <c r="AX572" s="28">
        <f t="shared" si="328"/>
        <v>0</v>
      </c>
      <c r="AY572" s="17">
        <f t="shared" si="329"/>
        <v>0</v>
      </c>
      <c r="AZ572" s="28">
        <f t="shared" si="330"/>
        <v>0</v>
      </c>
      <c r="BA572" s="27">
        <f t="shared" si="359"/>
        <v>0</v>
      </c>
      <c r="BB572" s="27">
        <f t="shared" si="332"/>
        <v>0</v>
      </c>
      <c r="BC572" s="27">
        <f t="shared" si="334"/>
        <v>0</v>
      </c>
      <c r="BD572" s="27">
        <f t="shared" si="335"/>
        <v>0</v>
      </c>
      <c r="BE572" s="27">
        <f t="shared" si="336"/>
        <v>0</v>
      </c>
      <c r="BF572" s="29">
        <f t="shared" si="358"/>
        <v>0</v>
      </c>
      <c r="BH572" s="30">
        <f t="shared" si="331"/>
        <v>0</v>
      </c>
      <c r="BM572" s="2">
        <f>SUM(B572:S572)</f>
        <v>0</v>
      </c>
      <c r="BP572" s="2">
        <f>SUM(B572:S572)</f>
        <v>0</v>
      </c>
    </row>
    <row r="573" spans="1:85" ht="14.45" hidden="1" customHeight="1" x14ac:dyDescent="0.25">
      <c r="A573" s="33" t="s">
        <v>588</v>
      </c>
      <c r="B573" s="23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13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5"/>
      <c r="AD573" s="25">
        <f>SUM(B573:S573)</f>
        <v>0</v>
      </c>
      <c r="AE573" s="26" t="s">
        <v>42</v>
      </c>
      <c r="AF573" s="27"/>
      <c r="AG573" s="17">
        <f t="shared" si="322"/>
        <v>0</v>
      </c>
      <c r="AH573" s="28">
        <f t="shared" si="323"/>
        <v>0</v>
      </c>
      <c r="AI573" s="17">
        <f t="shared" si="324"/>
        <v>0</v>
      </c>
      <c r="AJ573" s="28">
        <f t="shared" si="325"/>
        <v>0</v>
      </c>
      <c r="AK573" s="17">
        <f t="shared" si="333"/>
        <v>0</v>
      </c>
      <c r="AL573" s="28">
        <f t="shared" si="326"/>
        <v>0</v>
      </c>
      <c r="AM573" s="17">
        <f t="shared" si="341"/>
        <v>0</v>
      </c>
      <c r="AN573" s="28">
        <f t="shared" si="357"/>
        <v>0</v>
      </c>
      <c r="AO573" s="17">
        <f t="shared" si="351"/>
        <v>0</v>
      </c>
      <c r="AP573" s="28">
        <f>+AO573*AF573</f>
        <v>0</v>
      </c>
      <c r="AQ573" s="17">
        <f t="shared" si="353"/>
        <v>0</v>
      </c>
      <c r="AR573" s="28">
        <f>+AQ573*AF573</f>
        <v>0</v>
      </c>
      <c r="AS573" s="17">
        <f t="shared" si="337"/>
        <v>0</v>
      </c>
      <c r="AT573" s="28">
        <f t="shared" si="338"/>
        <v>0</v>
      </c>
      <c r="AU573" s="17">
        <f t="shared" si="339"/>
        <v>0</v>
      </c>
      <c r="AV573" s="28">
        <f t="shared" si="340"/>
        <v>0</v>
      </c>
      <c r="AW573" s="17">
        <f t="shared" si="327"/>
        <v>0</v>
      </c>
      <c r="AX573" s="28">
        <f t="shared" si="328"/>
        <v>0</v>
      </c>
      <c r="AY573" s="17">
        <f t="shared" si="329"/>
        <v>0</v>
      </c>
      <c r="AZ573" s="28">
        <f t="shared" si="330"/>
        <v>0</v>
      </c>
      <c r="BA573" s="27">
        <f t="shared" si="359"/>
        <v>0</v>
      </c>
      <c r="BB573" s="27">
        <f t="shared" si="332"/>
        <v>0</v>
      </c>
      <c r="BC573" s="27">
        <f t="shared" si="334"/>
        <v>0</v>
      </c>
      <c r="BD573" s="27">
        <f t="shared" si="335"/>
        <v>0</v>
      </c>
      <c r="BE573" s="27">
        <f t="shared" si="336"/>
        <v>0</v>
      </c>
      <c r="BF573" s="29">
        <f t="shared" si="358"/>
        <v>0</v>
      </c>
      <c r="BH573" s="30">
        <f t="shared" si="331"/>
        <v>0</v>
      </c>
      <c r="BM573" s="2">
        <f>SUM(B573:S573)</f>
        <v>0</v>
      </c>
      <c r="BP573" s="2">
        <f>SUM(B573:S573)</f>
        <v>0</v>
      </c>
    </row>
    <row r="574" spans="1:85" ht="14.45" customHeight="1" x14ac:dyDescent="0.25">
      <c r="A574" s="33" t="s">
        <v>589</v>
      </c>
      <c r="B574" s="23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13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5"/>
      <c r="AD574" s="50"/>
      <c r="AE574" s="54"/>
      <c r="AF574" s="34">
        <v>55000</v>
      </c>
      <c r="AG574" s="17">
        <f t="shared" si="322"/>
        <v>0</v>
      </c>
      <c r="AH574" s="28">
        <f t="shared" si="323"/>
        <v>0</v>
      </c>
      <c r="AI574" s="17">
        <f t="shared" si="324"/>
        <v>0</v>
      </c>
      <c r="AJ574" s="28">
        <f t="shared" si="325"/>
        <v>0</v>
      </c>
      <c r="AK574" s="17">
        <f t="shared" si="333"/>
        <v>0</v>
      </c>
      <c r="AL574" s="28">
        <f t="shared" si="326"/>
        <v>0</v>
      </c>
      <c r="AM574" s="17">
        <f t="shared" si="341"/>
        <v>0</v>
      </c>
      <c r="AN574" s="28">
        <f t="shared" si="357"/>
        <v>0</v>
      </c>
      <c r="AO574" s="17">
        <f t="shared" si="351"/>
        <v>0</v>
      </c>
      <c r="AP574" s="28"/>
      <c r="AQ574" s="17">
        <f t="shared" si="353"/>
        <v>0</v>
      </c>
      <c r="AR574" s="28"/>
      <c r="AS574" s="17">
        <f t="shared" si="337"/>
        <v>0</v>
      </c>
      <c r="AT574" s="28">
        <f t="shared" si="338"/>
        <v>0</v>
      </c>
      <c r="AU574" s="17">
        <f t="shared" si="339"/>
        <v>0</v>
      </c>
      <c r="AV574" s="28">
        <f t="shared" si="340"/>
        <v>0</v>
      </c>
      <c r="AW574" s="17">
        <f t="shared" si="327"/>
        <v>0</v>
      </c>
      <c r="AX574" s="28">
        <f t="shared" si="328"/>
        <v>0</v>
      </c>
      <c r="AY574" s="17">
        <f t="shared" si="329"/>
        <v>0</v>
      </c>
      <c r="AZ574" s="28">
        <f t="shared" si="330"/>
        <v>0</v>
      </c>
      <c r="BA574" s="27">
        <f t="shared" si="359"/>
        <v>0</v>
      </c>
      <c r="BB574" s="27">
        <f t="shared" si="332"/>
        <v>0</v>
      </c>
      <c r="BC574" s="27">
        <f t="shared" si="334"/>
        <v>0</v>
      </c>
      <c r="BD574" s="27">
        <f t="shared" si="335"/>
        <v>0</v>
      </c>
      <c r="BE574" s="27">
        <f t="shared" si="336"/>
        <v>0</v>
      </c>
      <c r="BF574" s="29">
        <f t="shared" si="358"/>
        <v>0</v>
      </c>
      <c r="BH574" s="30">
        <f t="shared" si="331"/>
        <v>0</v>
      </c>
    </row>
    <row r="575" spans="1:85" x14ac:dyDescent="0.25">
      <c r="A575" s="22" t="s">
        <v>590</v>
      </c>
      <c r="B575" s="23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13">
        <v>140</v>
      </c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5"/>
      <c r="AD575" s="39">
        <f t="shared" ref="AD575:AD577" si="360">SUM(B575:AB575)</f>
        <v>140</v>
      </c>
      <c r="AE575" s="26" t="s">
        <v>42</v>
      </c>
      <c r="AF575" s="27">
        <v>60000</v>
      </c>
      <c r="AG575" s="17">
        <f t="shared" si="322"/>
        <v>0</v>
      </c>
      <c r="AH575" s="28">
        <f t="shared" si="323"/>
        <v>0</v>
      </c>
      <c r="AI575" s="17">
        <f t="shared" si="324"/>
        <v>0</v>
      </c>
      <c r="AJ575" s="28">
        <f t="shared" si="325"/>
        <v>0</v>
      </c>
      <c r="AK575" s="17">
        <f t="shared" si="333"/>
        <v>140</v>
      </c>
      <c r="AL575" s="28">
        <f t="shared" si="326"/>
        <v>8400000</v>
      </c>
      <c r="AM575" s="17">
        <f t="shared" si="341"/>
        <v>0</v>
      </c>
      <c r="AN575" s="28">
        <f t="shared" si="357"/>
        <v>0</v>
      </c>
      <c r="AO575" s="17">
        <f t="shared" si="351"/>
        <v>0</v>
      </c>
      <c r="AP575" s="28">
        <f t="shared" ref="AP575:AP590" si="361">+AO575*AF575</f>
        <v>0</v>
      </c>
      <c r="AQ575" s="17">
        <f t="shared" si="353"/>
        <v>0</v>
      </c>
      <c r="AR575" s="28">
        <f t="shared" ref="AR575:AR590" si="362">+AQ575*AF575</f>
        <v>0</v>
      </c>
      <c r="AS575" s="17">
        <f t="shared" si="337"/>
        <v>0</v>
      </c>
      <c r="AT575" s="28">
        <f t="shared" si="338"/>
        <v>0</v>
      </c>
      <c r="AU575" s="17">
        <f t="shared" si="339"/>
        <v>0</v>
      </c>
      <c r="AV575" s="28">
        <f t="shared" si="340"/>
        <v>0</v>
      </c>
      <c r="AW575" s="17">
        <f t="shared" si="327"/>
        <v>0</v>
      </c>
      <c r="AX575" s="28">
        <f t="shared" si="328"/>
        <v>0</v>
      </c>
      <c r="AY575" s="17">
        <f t="shared" si="329"/>
        <v>0</v>
      </c>
      <c r="AZ575" s="28">
        <f t="shared" si="330"/>
        <v>0</v>
      </c>
      <c r="BA575" s="27">
        <f t="shared" si="359"/>
        <v>0</v>
      </c>
      <c r="BB575" s="27">
        <f t="shared" si="332"/>
        <v>8400000</v>
      </c>
      <c r="BC575" s="27">
        <f t="shared" si="334"/>
        <v>0</v>
      </c>
      <c r="BD575" s="27">
        <f t="shared" si="335"/>
        <v>0</v>
      </c>
      <c r="BE575" s="27">
        <f t="shared" si="336"/>
        <v>0</v>
      </c>
      <c r="BF575" s="29">
        <f t="shared" si="358"/>
        <v>8400000</v>
      </c>
      <c r="BH575" s="30">
        <f t="shared" si="331"/>
        <v>140</v>
      </c>
      <c r="BM575" s="2">
        <f t="shared" ref="BM575:BM590" si="363">SUM(B575:S575)</f>
        <v>140</v>
      </c>
      <c r="BP575" s="2">
        <f t="shared" ref="BP575:BP590" si="364">SUM(B575:S575)</f>
        <v>140</v>
      </c>
    </row>
    <row r="576" spans="1:85" ht="14.45" hidden="1" customHeight="1" x14ac:dyDescent="0.25">
      <c r="A576" s="22" t="s">
        <v>591</v>
      </c>
      <c r="B576" s="23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13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5"/>
      <c r="AD576" s="39">
        <f t="shared" si="360"/>
        <v>0</v>
      </c>
      <c r="AE576" s="26" t="s">
        <v>42</v>
      </c>
      <c r="AF576" s="27"/>
      <c r="AG576" s="17">
        <f t="shared" si="322"/>
        <v>0</v>
      </c>
      <c r="AH576" s="28">
        <f t="shared" si="323"/>
        <v>0</v>
      </c>
      <c r="AI576" s="17">
        <f t="shared" si="324"/>
        <v>0</v>
      </c>
      <c r="AJ576" s="28">
        <f t="shared" si="325"/>
        <v>0</v>
      </c>
      <c r="AK576" s="17">
        <f t="shared" si="333"/>
        <v>0</v>
      </c>
      <c r="AL576" s="28">
        <f t="shared" si="326"/>
        <v>0</v>
      </c>
      <c r="AM576" s="17">
        <f t="shared" si="341"/>
        <v>0</v>
      </c>
      <c r="AN576" s="28">
        <f t="shared" si="357"/>
        <v>0</v>
      </c>
      <c r="AO576" s="17">
        <f t="shared" si="351"/>
        <v>0</v>
      </c>
      <c r="AP576" s="28">
        <f t="shared" si="361"/>
        <v>0</v>
      </c>
      <c r="AQ576" s="17">
        <f t="shared" si="353"/>
        <v>0</v>
      </c>
      <c r="AR576" s="28">
        <f t="shared" si="362"/>
        <v>0</v>
      </c>
      <c r="AS576" s="17">
        <f t="shared" si="337"/>
        <v>0</v>
      </c>
      <c r="AT576" s="28">
        <f t="shared" si="338"/>
        <v>0</v>
      </c>
      <c r="AU576" s="17">
        <f t="shared" si="339"/>
        <v>0</v>
      </c>
      <c r="AV576" s="28">
        <f t="shared" si="340"/>
        <v>0</v>
      </c>
      <c r="AW576" s="17">
        <f t="shared" si="327"/>
        <v>0</v>
      </c>
      <c r="AX576" s="28">
        <f t="shared" si="328"/>
        <v>0</v>
      </c>
      <c r="AY576" s="17">
        <f t="shared" si="329"/>
        <v>0</v>
      </c>
      <c r="AZ576" s="28">
        <f t="shared" si="330"/>
        <v>0</v>
      </c>
      <c r="BA576" s="27">
        <f t="shared" si="359"/>
        <v>0</v>
      </c>
      <c r="BB576" s="27">
        <f t="shared" si="332"/>
        <v>0</v>
      </c>
      <c r="BC576" s="27">
        <f t="shared" si="334"/>
        <v>0</v>
      </c>
      <c r="BD576" s="27">
        <f t="shared" si="335"/>
        <v>0</v>
      </c>
      <c r="BE576" s="27">
        <f t="shared" si="336"/>
        <v>0</v>
      </c>
      <c r="BF576" s="29">
        <f t="shared" si="358"/>
        <v>0</v>
      </c>
      <c r="BH576" s="30">
        <f t="shared" si="331"/>
        <v>0</v>
      </c>
      <c r="BM576" s="2">
        <f t="shared" si="363"/>
        <v>0</v>
      </c>
      <c r="BP576" s="2">
        <f t="shared" si="364"/>
        <v>0</v>
      </c>
    </row>
    <row r="577" spans="1:68" x14ac:dyDescent="0.25">
      <c r="A577" s="22" t="s">
        <v>592</v>
      </c>
      <c r="B577" s="23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13">
        <v>20</v>
      </c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5"/>
      <c r="AD577" s="39">
        <f t="shared" si="360"/>
        <v>20</v>
      </c>
      <c r="AE577" s="26" t="s">
        <v>42</v>
      </c>
      <c r="AF577" s="34">
        <v>125000</v>
      </c>
      <c r="AG577" s="17">
        <f t="shared" si="322"/>
        <v>0</v>
      </c>
      <c r="AH577" s="28">
        <f t="shared" si="323"/>
        <v>0</v>
      </c>
      <c r="AI577" s="17">
        <f t="shared" si="324"/>
        <v>0</v>
      </c>
      <c r="AJ577" s="28">
        <f t="shared" si="325"/>
        <v>0</v>
      </c>
      <c r="AK577" s="17">
        <f t="shared" si="333"/>
        <v>20</v>
      </c>
      <c r="AL577" s="28">
        <f t="shared" si="326"/>
        <v>2500000</v>
      </c>
      <c r="AM577" s="17">
        <f t="shared" si="341"/>
        <v>0</v>
      </c>
      <c r="AN577" s="28">
        <f t="shared" si="357"/>
        <v>0</v>
      </c>
      <c r="AO577" s="17">
        <f t="shared" si="351"/>
        <v>0</v>
      </c>
      <c r="AP577" s="28">
        <f t="shared" si="361"/>
        <v>0</v>
      </c>
      <c r="AQ577" s="17">
        <f t="shared" si="353"/>
        <v>0</v>
      </c>
      <c r="AR577" s="28">
        <f t="shared" si="362"/>
        <v>0</v>
      </c>
      <c r="AS577" s="17">
        <f t="shared" si="337"/>
        <v>0</v>
      </c>
      <c r="AT577" s="28">
        <f t="shared" si="338"/>
        <v>0</v>
      </c>
      <c r="AU577" s="17">
        <f t="shared" si="339"/>
        <v>0</v>
      </c>
      <c r="AV577" s="28">
        <f t="shared" si="340"/>
        <v>0</v>
      </c>
      <c r="AW577" s="17">
        <f t="shared" si="327"/>
        <v>0</v>
      </c>
      <c r="AX577" s="28">
        <f t="shared" si="328"/>
        <v>0</v>
      </c>
      <c r="AY577" s="17">
        <f t="shared" si="329"/>
        <v>0</v>
      </c>
      <c r="AZ577" s="28">
        <f t="shared" si="330"/>
        <v>0</v>
      </c>
      <c r="BA577" s="27">
        <f t="shared" si="359"/>
        <v>0</v>
      </c>
      <c r="BB577" s="27">
        <f t="shared" si="332"/>
        <v>2500000</v>
      </c>
      <c r="BC577" s="27">
        <f t="shared" si="334"/>
        <v>0</v>
      </c>
      <c r="BD577" s="27">
        <f t="shared" si="335"/>
        <v>0</v>
      </c>
      <c r="BE577" s="27">
        <f t="shared" si="336"/>
        <v>0</v>
      </c>
      <c r="BF577" s="29">
        <f t="shared" si="358"/>
        <v>2500000</v>
      </c>
      <c r="BH577" s="30">
        <f t="shared" si="331"/>
        <v>20</v>
      </c>
      <c r="BM577" s="2">
        <f t="shared" si="363"/>
        <v>20</v>
      </c>
      <c r="BP577" s="2">
        <f t="shared" si="364"/>
        <v>20</v>
      </c>
    </row>
    <row r="578" spans="1:68" ht="14.45" hidden="1" customHeight="1" x14ac:dyDescent="0.25">
      <c r="A578" s="33" t="s">
        <v>593</v>
      </c>
      <c r="B578" s="23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13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5"/>
      <c r="AD578" s="25">
        <f t="shared" ref="AD578:AD590" si="365">SUM(B578:S578)</f>
        <v>0</v>
      </c>
      <c r="AE578" s="26" t="s">
        <v>42</v>
      </c>
      <c r="AF578" s="27"/>
      <c r="AG578" s="17">
        <f t="shared" si="322"/>
        <v>0</v>
      </c>
      <c r="AH578" s="28">
        <f t="shared" si="323"/>
        <v>0</v>
      </c>
      <c r="AI578" s="17">
        <f t="shared" si="324"/>
        <v>0</v>
      </c>
      <c r="AJ578" s="28">
        <f t="shared" si="325"/>
        <v>0</v>
      </c>
      <c r="AK578" s="17">
        <f t="shared" si="333"/>
        <v>0</v>
      </c>
      <c r="AL578" s="28">
        <f t="shared" si="326"/>
        <v>0</v>
      </c>
      <c r="AM578" s="17">
        <f t="shared" si="341"/>
        <v>0</v>
      </c>
      <c r="AN578" s="28">
        <f t="shared" si="357"/>
        <v>0</v>
      </c>
      <c r="AO578" s="17">
        <f t="shared" si="351"/>
        <v>0</v>
      </c>
      <c r="AP578" s="28">
        <f t="shared" si="361"/>
        <v>0</v>
      </c>
      <c r="AQ578" s="17">
        <f t="shared" si="353"/>
        <v>0</v>
      </c>
      <c r="AR578" s="28">
        <f t="shared" si="362"/>
        <v>0</v>
      </c>
      <c r="AS578" s="17">
        <f t="shared" si="337"/>
        <v>0</v>
      </c>
      <c r="AT578" s="28">
        <f t="shared" si="338"/>
        <v>0</v>
      </c>
      <c r="AU578" s="17">
        <f t="shared" si="339"/>
        <v>0</v>
      </c>
      <c r="AV578" s="28">
        <f t="shared" si="340"/>
        <v>0</v>
      </c>
      <c r="AW578" s="17">
        <f t="shared" si="327"/>
        <v>0</v>
      </c>
      <c r="AX578" s="28">
        <f t="shared" si="328"/>
        <v>0</v>
      </c>
      <c r="AY578" s="17">
        <f t="shared" si="329"/>
        <v>0</v>
      </c>
      <c r="AZ578" s="28">
        <f t="shared" si="330"/>
        <v>0</v>
      </c>
      <c r="BA578" s="27">
        <f t="shared" si="359"/>
        <v>0</v>
      </c>
      <c r="BB578" s="27">
        <f t="shared" si="332"/>
        <v>0</v>
      </c>
      <c r="BC578" s="27">
        <f t="shared" si="334"/>
        <v>0</v>
      </c>
      <c r="BD578" s="27">
        <f t="shared" si="335"/>
        <v>0</v>
      </c>
      <c r="BE578" s="27">
        <f t="shared" si="336"/>
        <v>0</v>
      </c>
      <c r="BF578" s="29">
        <f t="shared" si="358"/>
        <v>0</v>
      </c>
      <c r="BH578" s="30">
        <f t="shared" si="331"/>
        <v>0</v>
      </c>
      <c r="BM578" s="2">
        <f t="shared" si="363"/>
        <v>0</v>
      </c>
      <c r="BP578" s="2">
        <f t="shared" si="364"/>
        <v>0</v>
      </c>
    </row>
    <row r="579" spans="1:68" hidden="1" x14ac:dyDescent="0.25">
      <c r="A579" s="33" t="s">
        <v>594</v>
      </c>
      <c r="B579" s="23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13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5"/>
      <c r="AD579" s="25">
        <f t="shared" si="365"/>
        <v>0</v>
      </c>
      <c r="AE579" s="26" t="s">
        <v>42</v>
      </c>
      <c r="AF579" s="27">
        <v>153846</v>
      </c>
      <c r="AG579" s="17">
        <f t="shared" si="322"/>
        <v>0</v>
      </c>
      <c r="AH579" s="28">
        <f t="shared" si="323"/>
        <v>0</v>
      </c>
      <c r="AI579" s="17">
        <f t="shared" si="324"/>
        <v>0</v>
      </c>
      <c r="AJ579" s="28">
        <f t="shared" si="325"/>
        <v>0</v>
      </c>
      <c r="AK579" s="17">
        <f t="shared" si="333"/>
        <v>0</v>
      </c>
      <c r="AL579" s="28">
        <f t="shared" si="326"/>
        <v>0</v>
      </c>
      <c r="AM579" s="17">
        <f t="shared" si="341"/>
        <v>0</v>
      </c>
      <c r="AN579" s="28">
        <f t="shared" si="357"/>
        <v>0</v>
      </c>
      <c r="AO579" s="17">
        <f t="shared" si="351"/>
        <v>0</v>
      </c>
      <c r="AP579" s="28">
        <f t="shared" si="361"/>
        <v>0</v>
      </c>
      <c r="AQ579" s="17">
        <f t="shared" si="353"/>
        <v>0</v>
      </c>
      <c r="AR579" s="28">
        <f t="shared" si="362"/>
        <v>0</v>
      </c>
      <c r="AS579" s="17">
        <f t="shared" si="337"/>
        <v>0</v>
      </c>
      <c r="AT579" s="28">
        <f t="shared" si="338"/>
        <v>0</v>
      </c>
      <c r="AU579" s="17">
        <f t="shared" si="339"/>
        <v>0</v>
      </c>
      <c r="AV579" s="28">
        <f t="shared" si="340"/>
        <v>0</v>
      </c>
      <c r="AW579" s="17">
        <f t="shared" si="327"/>
        <v>0</v>
      </c>
      <c r="AX579" s="28">
        <f t="shared" si="328"/>
        <v>0</v>
      </c>
      <c r="AY579" s="17">
        <f t="shared" si="329"/>
        <v>0</v>
      </c>
      <c r="AZ579" s="28">
        <f t="shared" si="330"/>
        <v>0</v>
      </c>
      <c r="BA579" s="27">
        <f t="shared" si="359"/>
        <v>0</v>
      </c>
      <c r="BB579" s="27">
        <f t="shared" si="332"/>
        <v>0</v>
      </c>
      <c r="BC579" s="27">
        <f t="shared" si="334"/>
        <v>0</v>
      </c>
      <c r="BD579" s="27">
        <f t="shared" si="335"/>
        <v>0</v>
      </c>
      <c r="BE579" s="27">
        <f t="shared" si="336"/>
        <v>0</v>
      </c>
      <c r="BF579" s="29">
        <f t="shared" si="358"/>
        <v>0</v>
      </c>
      <c r="BH579" s="30">
        <f t="shared" si="331"/>
        <v>0</v>
      </c>
      <c r="BM579" s="2">
        <f t="shared" si="363"/>
        <v>0</v>
      </c>
      <c r="BP579" s="2">
        <f t="shared" si="364"/>
        <v>0</v>
      </c>
    </row>
    <row r="580" spans="1:68" ht="14.45" hidden="1" customHeight="1" x14ac:dyDescent="0.25">
      <c r="A580" s="33" t="s">
        <v>426</v>
      </c>
      <c r="B580" s="23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13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5"/>
      <c r="AD580" s="25">
        <f t="shared" si="365"/>
        <v>0</v>
      </c>
      <c r="AE580" s="26" t="s">
        <v>42</v>
      </c>
      <c r="AF580" s="27"/>
      <c r="AG580" s="17">
        <f t="shared" si="322"/>
        <v>0</v>
      </c>
      <c r="AH580" s="28">
        <f t="shared" si="323"/>
        <v>0</v>
      </c>
      <c r="AI580" s="17">
        <f t="shared" si="324"/>
        <v>0</v>
      </c>
      <c r="AJ580" s="28">
        <f t="shared" si="325"/>
        <v>0</v>
      </c>
      <c r="AK580" s="17">
        <f t="shared" si="333"/>
        <v>0</v>
      </c>
      <c r="AL580" s="28">
        <f t="shared" si="326"/>
        <v>0</v>
      </c>
      <c r="AM580" s="17">
        <f t="shared" si="341"/>
        <v>0</v>
      </c>
      <c r="AN580" s="28">
        <f t="shared" si="357"/>
        <v>0</v>
      </c>
      <c r="AO580" s="17">
        <f t="shared" si="351"/>
        <v>0</v>
      </c>
      <c r="AP580" s="28">
        <f t="shared" si="361"/>
        <v>0</v>
      </c>
      <c r="AQ580" s="17">
        <f t="shared" si="353"/>
        <v>0</v>
      </c>
      <c r="AR580" s="28">
        <f t="shared" si="362"/>
        <v>0</v>
      </c>
      <c r="AS580" s="17">
        <f t="shared" si="337"/>
        <v>0</v>
      </c>
      <c r="AT580" s="28">
        <f t="shared" si="338"/>
        <v>0</v>
      </c>
      <c r="AU580" s="17">
        <f t="shared" si="339"/>
        <v>0</v>
      </c>
      <c r="AV580" s="28">
        <f t="shared" si="340"/>
        <v>0</v>
      </c>
      <c r="AW580" s="17">
        <f t="shared" si="327"/>
        <v>0</v>
      </c>
      <c r="AX580" s="28">
        <f t="shared" si="328"/>
        <v>0</v>
      </c>
      <c r="AY580" s="17">
        <f t="shared" si="329"/>
        <v>0</v>
      </c>
      <c r="AZ580" s="28">
        <f t="shared" si="330"/>
        <v>0</v>
      </c>
      <c r="BA580" s="27">
        <f t="shared" si="359"/>
        <v>0</v>
      </c>
      <c r="BB580" s="27">
        <f t="shared" si="332"/>
        <v>0</v>
      </c>
      <c r="BC580" s="27">
        <f t="shared" si="334"/>
        <v>0</v>
      </c>
      <c r="BD580" s="27">
        <f t="shared" si="335"/>
        <v>0</v>
      </c>
      <c r="BE580" s="27">
        <f t="shared" si="336"/>
        <v>0</v>
      </c>
      <c r="BF580" s="29">
        <f t="shared" si="358"/>
        <v>0</v>
      </c>
      <c r="BH580" s="30">
        <f t="shared" si="331"/>
        <v>0</v>
      </c>
      <c r="BM580" s="2">
        <f t="shared" si="363"/>
        <v>0</v>
      </c>
      <c r="BP580" s="2">
        <f t="shared" si="364"/>
        <v>0</v>
      </c>
    </row>
    <row r="581" spans="1:68" ht="14.45" hidden="1" customHeight="1" x14ac:dyDescent="0.25">
      <c r="A581" s="33" t="s">
        <v>595</v>
      </c>
      <c r="B581" s="23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13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5"/>
      <c r="AD581" s="25">
        <f t="shared" si="365"/>
        <v>0</v>
      </c>
      <c r="AE581" s="26" t="s">
        <v>42</v>
      </c>
      <c r="AF581" s="27"/>
      <c r="AG581" s="17">
        <f t="shared" si="322"/>
        <v>0</v>
      </c>
      <c r="AH581" s="28">
        <f t="shared" si="323"/>
        <v>0</v>
      </c>
      <c r="AI581" s="17">
        <f t="shared" si="324"/>
        <v>0</v>
      </c>
      <c r="AJ581" s="28">
        <f t="shared" si="325"/>
        <v>0</v>
      </c>
      <c r="AK581" s="17">
        <f t="shared" si="333"/>
        <v>0</v>
      </c>
      <c r="AL581" s="28">
        <f t="shared" si="326"/>
        <v>0</v>
      </c>
      <c r="AM581" s="17">
        <f t="shared" si="341"/>
        <v>0</v>
      </c>
      <c r="AN581" s="28">
        <f t="shared" si="357"/>
        <v>0</v>
      </c>
      <c r="AO581" s="17">
        <f t="shared" si="351"/>
        <v>0</v>
      </c>
      <c r="AP581" s="28">
        <f t="shared" si="361"/>
        <v>0</v>
      </c>
      <c r="AQ581" s="17">
        <f t="shared" si="353"/>
        <v>0</v>
      </c>
      <c r="AR581" s="28">
        <f t="shared" si="362"/>
        <v>0</v>
      </c>
      <c r="AS581" s="17">
        <f t="shared" si="337"/>
        <v>0</v>
      </c>
      <c r="AT581" s="28">
        <f t="shared" si="338"/>
        <v>0</v>
      </c>
      <c r="AU581" s="17">
        <f t="shared" si="339"/>
        <v>0</v>
      </c>
      <c r="AV581" s="28">
        <f t="shared" si="340"/>
        <v>0</v>
      </c>
      <c r="AW581" s="17">
        <f t="shared" si="327"/>
        <v>0</v>
      </c>
      <c r="AX581" s="28">
        <f t="shared" si="328"/>
        <v>0</v>
      </c>
      <c r="AY581" s="17">
        <f t="shared" si="329"/>
        <v>0</v>
      </c>
      <c r="AZ581" s="28">
        <f t="shared" si="330"/>
        <v>0</v>
      </c>
      <c r="BA581" s="27">
        <f t="shared" si="359"/>
        <v>0</v>
      </c>
      <c r="BB581" s="27">
        <f t="shared" si="332"/>
        <v>0</v>
      </c>
      <c r="BC581" s="27">
        <f t="shared" si="334"/>
        <v>0</v>
      </c>
      <c r="BD581" s="27">
        <f t="shared" si="335"/>
        <v>0</v>
      </c>
      <c r="BE581" s="27">
        <f t="shared" si="336"/>
        <v>0</v>
      </c>
      <c r="BF581" s="29">
        <f t="shared" si="358"/>
        <v>0</v>
      </c>
      <c r="BH581" s="30">
        <f t="shared" si="331"/>
        <v>0</v>
      </c>
      <c r="BM581" s="2">
        <f t="shared" si="363"/>
        <v>0</v>
      </c>
      <c r="BP581" s="2">
        <f t="shared" si="364"/>
        <v>0</v>
      </c>
    </row>
    <row r="582" spans="1:68" x14ac:dyDescent="0.25">
      <c r="A582" s="33" t="s">
        <v>596</v>
      </c>
      <c r="B582" s="23"/>
      <c r="C582" s="24"/>
      <c r="D582" s="24">
        <v>4</v>
      </c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13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5"/>
      <c r="AD582" s="25">
        <f t="shared" si="365"/>
        <v>4</v>
      </c>
      <c r="AE582" s="26" t="s">
        <v>42</v>
      </c>
      <c r="AF582" s="27">
        <v>164428</v>
      </c>
      <c r="AG582" s="17">
        <f t="shared" si="322"/>
        <v>0</v>
      </c>
      <c r="AH582" s="28">
        <f t="shared" si="323"/>
        <v>0</v>
      </c>
      <c r="AI582" s="17">
        <f t="shared" si="324"/>
        <v>0</v>
      </c>
      <c r="AJ582" s="28">
        <f t="shared" si="325"/>
        <v>0</v>
      </c>
      <c r="AK582" s="17">
        <f t="shared" si="333"/>
        <v>0</v>
      </c>
      <c r="AL582" s="28">
        <f t="shared" si="326"/>
        <v>0</v>
      </c>
      <c r="AM582" s="17">
        <f t="shared" si="341"/>
        <v>0</v>
      </c>
      <c r="AN582" s="28">
        <f t="shared" si="357"/>
        <v>0</v>
      </c>
      <c r="AO582" s="17">
        <f t="shared" si="351"/>
        <v>0</v>
      </c>
      <c r="AP582" s="28">
        <f t="shared" si="361"/>
        <v>0</v>
      </c>
      <c r="AQ582" s="17">
        <f t="shared" si="353"/>
        <v>0</v>
      </c>
      <c r="AR582" s="28">
        <f t="shared" si="362"/>
        <v>0</v>
      </c>
      <c r="AS582" s="17">
        <f t="shared" si="337"/>
        <v>0</v>
      </c>
      <c r="AT582" s="28">
        <f t="shared" si="338"/>
        <v>0</v>
      </c>
      <c r="AU582" s="17">
        <f t="shared" si="339"/>
        <v>0</v>
      </c>
      <c r="AV582" s="28">
        <f t="shared" si="340"/>
        <v>0</v>
      </c>
      <c r="AW582" s="17">
        <f t="shared" si="327"/>
        <v>4</v>
      </c>
      <c r="AX582" s="28">
        <f t="shared" si="328"/>
        <v>657712</v>
      </c>
      <c r="AY582" s="17">
        <f t="shared" si="329"/>
        <v>0</v>
      </c>
      <c r="AZ582" s="28">
        <f t="shared" si="330"/>
        <v>0</v>
      </c>
      <c r="BA582" s="27">
        <f t="shared" si="359"/>
        <v>0</v>
      </c>
      <c r="BB582" s="27">
        <f t="shared" si="332"/>
        <v>0</v>
      </c>
      <c r="BC582" s="27">
        <f t="shared" si="334"/>
        <v>0</v>
      </c>
      <c r="BD582" s="27">
        <f t="shared" si="335"/>
        <v>0</v>
      </c>
      <c r="BE582" s="27">
        <f t="shared" si="336"/>
        <v>657712</v>
      </c>
      <c r="BF582" s="29">
        <f t="shared" si="358"/>
        <v>0</v>
      </c>
      <c r="BH582" s="30">
        <f t="shared" si="331"/>
        <v>0</v>
      </c>
      <c r="BM582" s="2">
        <f t="shared" si="363"/>
        <v>4</v>
      </c>
      <c r="BP582" s="2">
        <f t="shared" si="364"/>
        <v>4</v>
      </c>
    </row>
    <row r="583" spans="1:68" x14ac:dyDescent="0.25">
      <c r="A583" s="33" t="s">
        <v>597</v>
      </c>
      <c r="B583" s="23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13">
        <v>770</v>
      </c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5"/>
      <c r="AD583" s="25">
        <f t="shared" si="365"/>
        <v>770</v>
      </c>
      <c r="AE583" s="26" t="s">
        <v>42</v>
      </c>
      <c r="AF583" s="27">
        <v>285</v>
      </c>
      <c r="AG583" s="17">
        <f t="shared" ref="AG583:AG646" si="366">SUM(F583:L583)-G583</f>
        <v>0</v>
      </c>
      <c r="AH583" s="28">
        <f t="shared" ref="AH583:AH646" si="367">+AG583*AF583</f>
        <v>0</v>
      </c>
      <c r="AI583" s="17">
        <f t="shared" ref="AI583:AI646" si="368">SUM(T583:Y583)-U583</f>
        <v>0</v>
      </c>
      <c r="AJ583" s="28">
        <f t="shared" ref="AJ583:AJ646" si="369">+AI583*AF583</f>
        <v>0</v>
      </c>
      <c r="AK583" s="17">
        <f t="shared" si="333"/>
        <v>770</v>
      </c>
      <c r="AL583" s="28">
        <f t="shared" ref="AL583:AL646" si="370">+AK583*AF583</f>
        <v>219450</v>
      </c>
      <c r="AM583" s="17">
        <f t="shared" si="341"/>
        <v>0</v>
      </c>
      <c r="AN583" s="28">
        <f t="shared" si="357"/>
        <v>0</v>
      </c>
      <c r="AO583" s="17">
        <f t="shared" si="351"/>
        <v>0</v>
      </c>
      <c r="AP583" s="28">
        <f t="shared" si="361"/>
        <v>0</v>
      </c>
      <c r="AQ583" s="17">
        <f t="shared" si="353"/>
        <v>0</v>
      </c>
      <c r="AR583" s="28">
        <f t="shared" si="362"/>
        <v>0</v>
      </c>
      <c r="AS583" s="17">
        <f t="shared" si="337"/>
        <v>0</v>
      </c>
      <c r="AT583" s="28">
        <f t="shared" si="338"/>
        <v>0</v>
      </c>
      <c r="AU583" s="17">
        <f t="shared" si="339"/>
        <v>0</v>
      </c>
      <c r="AV583" s="28">
        <f t="shared" si="340"/>
        <v>0</v>
      </c>
      <c r="AW583" s="17">
        <f t="shared" ref="AW583:AW646" si="371">+D583</f>
        <v>0</v>
      </c>
      <c r="AX583" s="28">
        <f t="shared" ref="AX583:AX646" si="372">+AW583*AF583</f>
        <v>0</v>
      </c>
      <c r="AY583" s="17">
        <f t="shared" ref="AY583:AY646" si="373">+R583</f>
        <v>0</v>
      </c>
      <c r="AZ583" s="28">
        <f t="shared" ref="AZ583:AZ646" si="374">+AY583*AF583</f>
        <v>0</v>
      </c>
      <c r="BA583" s="27">
        <f t="shared" si="359"/>
        <v>0</v>
      </c>
      <c r="BB583" s="27">
        <f t="shared" si="332"/>
        <v>219450</v>
      </c>
      <c r="BC583" s="27">
        <f t="shared" si="334"/>
        <v>0</v>
      </c>
      <c r="BD583" s="27">
        <f t="shared" si="335"/>
        <v>0</v>
      </c>
      <c r="BE583" s="27">
        <f t="shared" si="336"/>
        <v>0</v>
      </c>
      <c r="BF583" s="29">
        <f t="shared" si="358"/>
        <v>219450</v>
      </c>
      <c r="BH583" s="30">
        <f t="shared" ref="BH583:BH646" si="375">+B583+C583+E583+G583+M583+N583+O583+(P583+Q583+S583+U583+Z583+AA583+AB583)</f>
        <v>770</v>
      </c>
      <c r="BM583" s="2">
        <f t="shared" si="363"/>
        <v>770</v>
      </c>
      <c r="BP583" s="2">
        <f t="shared" si="364"/>
        <v>770</v>
      </c>
    </row>
    <row r="584" spans="1:68" x14ac:dyDescent="0.25">
      <c r="A584" s="33" t="s">
        <v>598</v>
      </c>
      <c r="B584" s="23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13">
        <v>200</v>
      </c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5"/>
      <c r="AD584" s="25">
        <f t="shared" si="365"/>
        <v>200</v>
      </c>
      <c r="AE584" s="26" t="s">
        <v>42</v>
      </c>
      <c r="AF584" s="27">
        <v>285</v>
      </c>
      <c r="AG584" s="17">
        <f t="shared" si="366"/>
        <v>0</v>
      </c>
      <c r="AH584" s="28">
        <f t="shared" si="367"/>
        <v>0</v>
      </c>
      <c r="AI584" s="17">
        <f t="shared" si="368"/>
        <v>0</v>
      </c>
      <c r="AJ584" s="28">
        <f t="shared" si="369"/>
        <v>0</v>
      </c>
      <c r="AK584" s="17">
        <f t="shared" si="333"/>
        <v>200</v>
      </c>
      <c r="AL584" s="28">
        <f t="shared" si="370"/>
        <v>57000</v>
      </c>
      <c r="AM584" s="17">
        <f t="shared" si="341"/>
        <v>0</v>
      </c>
      <c r="AN584" s="28">
        <f t="shared" si="357"/>
        <v>0</v>
      </c>
      <c r="AO584" s="17">
        <f t="shared" si="351"/>
        <v>0</v>
      </c>
      <c r="AP584" s="28">
        <f t="shared" si="361"/>
        <v>0</v>
      </c>
      <c r="AQ584" s="17">
        <f t="shared" si="353"/>
        <v>0</v>
      </c>
      <c r="AR584" s="28">
        <f t="shared" si="362"/>
        <v>0</v>
      </c>
      <c r="AS584" s="17">
        <f t="shared" si="337"/>
        <v>0</v>
      </c>
      <c r="AT584" s="28">
        <f t="shared" si="338"/>
        <v>0</v>
      </c>
      <c r="AU584" s="17">
        <f t="shared" si="339"/>
        <v>0</v>
      </c>
      <c r="AV584" s="28">
        <f t="shared" si="340"/>
        <v>0</v>
      </c>
      <c r="AW584" s="17">
        <f t="shared" si="371"/>
        <v>0</v>
      </c>
      <c r="AX584" s="28">
        <f t="shared" si="372"/>
        <v>0</v>
      </c>
      <c r="AY584" s="17">
        <f t="shared" si="373"/>
        <v>0</v>
      </c>
      <c r="AZ584" s="28">
        <f t="shared" si="374"/>
        <v>0</v>
      </c>
      <c r="BA584" s="27">
        <f t="shared" si="359"/>
        <v>0</v>
      </c>
      <c r="BB584" s="27">
        <f t="shared" ref="BB584:BB647" si="376">+AL584+AN584</f>
        <v>57000</v>
      </c>
      <c r="BC584" s="27">
        <f t="shared" si="334"/>
        <v>0</v>
      </c>
      <c r="BD584" s="27">
        <f t="shared" si="335"/>
        <v>0</v>
      </c>
      <c r="BE584" s="27">
        <f t="shared" si="336"/>
        <v>0</v>
      </c>
      <c r="BF584" s="29">
        <f t="shared" si="358"/>
        <v>57000</v>
      </c>
      <c r="BH584" s="30">
        <f t="shared" si="375"/>
        <v>200</v>
      </c>
      <c r="BM584" s="2">
        <f t="shared" si="363"/>
        <v>200</v>
      </c>
      <c r="BP584" s="2">
        <f t="shared" si="364"/>
        <v>200</v>
      </c>
    </row>
    <row r="585" spans="1:68" ht="14.45" hidden="1" customHeight="1" x14ac:dyDescent="0.25">
      <c r="A585" s="33" t="s">
        <v>599</v>
      </c>
      <c r="B585" s="23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13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5"/>
      <c r="AD585" s="25">
        <f t="shared" si="365"/>
        <v>0</v>
      </c>
      <c r="AE585" s="26" t="s">
        <v>42</v>
      </c>
      <c r="AF585" s="27"/>
      <c r="AG585" s="17">
        <f t="shared" si="366"/>
        <v>0</v>
      </c>
      <c r="AH585" s="28">
        <f t="shared" si="367"/>
        <v>0</v>
      </c>
      <c r="AI585" s="17">
        <f t="shared" si="368"/>
        <v>0</v>
      </c>
      <c r="AJ585" s="28">
        <f t="shared" si="369"/>
        <v>0</v>
      </c>
      <c r="AK585" s="17">
        <f t="shared" ref="AK585:AK648" si="377">+N585+O585+G585</f>
        <v>0</v>
      </c>
      <c r="AL585" s="28">
        <f t="shared" si="370"/>
        <v>0</v>
      </c>
      <c r="AM585" s="17">
        <f t="shared" si="341"/>
        <v>0</v>
      </c>
      <c r="AN585" s="28">
        <f t="shared" si="357"/>
        <v>0</v>
      </c>
      <c r="AO585" s="17">
        <f t="shared" si="351"/>
        <v>0</v>
      </c>
      <c r="AP585" s="28">
        <f t="shared" si="361"/>
        <v>0</v>
      </c>
      <c r="AQ585" s="17">
        <f t="shared" si="353"/>
        <v>0</v>
      </c>
      <c r="AR585" s="28">
        <f t="shared" si="362"/>
        <v>0</v>
      </c>
      <c r="AS585" s="17">
        <f t="shared" si="337"/>
        <v>0</v>
      </c>
      <c r="AT585" s="28">
        <f t="shared" si="338"/>
        <v>0</v>
      </c>
      <c r="AU585" s="17">
        <f t="shared" si="339"/>
        <v>0</v>
      </c>
      <c r="AV585" s="28">
        <f t="shared" si="340"/>
        <v>0</v>
      </c>
      <c r="AW585" s="17">
        <f t="shared" si="371"/>
        <v>0</v>
      </c>
      <c r="AX585" s="28">
        <f t="shared" si="372"/>
        <v>0</v>
      </c>
      <c r="AY585" s="17">
        <f t="shared" si="373"/>
        <v>0</v>
      </c>
      <c r="AZ585" s="28">
        <f t="shared" si="374"/>
        <v>0</v>
      </c>
      <c r="BA585" s="27">
        <f t="shared" si="359"/>
        <v>0</v>
      </c>
      <c r="BB585" s="27">
        <f t="shared" si="376"/>
        <v>0</v>
      </c>
      <c r="BC585" s="27">
        <f t="shared" ref="BC585:BC648" si="378">+AP585+AR585</f>
        <v>0</v>
      </c>
      <c r="BD585" s="27">
        <f t="shared" ref="BD585:BD648" si="379">+AT585+AV585</f>
        <v>0</v>
      </c>
      <c r="BE585" s="27">
        <f t="shared" ref="BE585:BE648" si="380">+AX585+AZ585</f>
        <v>0</v>
      </c>
      <c r="BF585" s="29">
        <f t="shared" si="358"/>
        <v>0</v>
      </c>
      <c r="BH585" s="30">
        <f t="shared" si="375"/>
        <v>0</v>
      </c>
      <c r="BM585" s="2">
        <f t="shared" si="363"/>
        <v>0</v>
      </c>
      <c r="BP585" s="2">
        <f t="shared" si="364"/>
        <v>0</v>
      </c>
    </row>
    <row r="586" spans="1:68" x14ac:dyDescent="0.25">
      <c r="A586" s="38" t="s">
        <v>600</v>
      </c>
      <c r="B586" s="23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13">
        <v>8</v>
      </c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5"/>
      <c r="AD586" s="25">
        <v>8</v>
      </c>
      <c r="AE586" s="26" t="s">
        <v>42</v>
      </c>
      <c r="AF586" s="27">
        <v>35816</v>
      </c>
      <c r="AG586" s="17">
        <f t="shared" si="366"/>
        <v>0</v>
      </c>
      <c r="AH586" s="28">
        <f t="shared" si="367"/>
        <v>0</v>
      </c>
      <c r="AI586" s="17">
        <f t="shared" si="368"/>
        <v>0</v>
      </c>
      <c r="AJ586" s="28">
        <f t="shared" si="369"/>
        <v>0</v>
      </c>
      <c r="AK586" s="17">
        <f t="shared" si="377"/>
        <v>8</v>
      </c>
      <c r="AL586" s="28">
        <f t="shared" si="370"/>
        <v>286528</v>
      </c>
      <c r="AM586" s="17">
        <f t="shared" si="341"/>
        <v>0</v>
      </c>
      <c r="AN586" s="28">
        <f t="shared" si="357"/>
        <v>0</v>
      </c>
      <c r="AO586" s="17">
        <f t="shared" si="351"/>
        <v>0</v>
      </c>
      <c r="AP586" s="28">
        <f t="shared" si="361"/>
        <v>0</v>
      </c>
      <c r="AQ586" s="17">
        <f t="shared" si="353"/>
        <v>0</v>
      </c>
      <c r="AR586" s="28">
        <f t="shared" si="362"/>
        <v>0</v>
      </c>
      <c r="AS586" s="17">
        <f t="shared" ref="AS586:AS649" si="381">+C586</f>
        <v>0</v>
      </c>
      <c r="AT586" s="28">
        <f t="shared" ref="AT586:AT649" si="382">+AS586*AF586</f>
        <v>0</v>
      </c>
      <c r="AU586" s="17">
        <f t="shared" ref="AU586:AU649" si="383">+Q586</f>
        <v>0</v>
      </c>
      <c r="AV586" s="28">
        <f t="shared" ref="AV586:AV649" si="384">+AU586*AF586</f>
        <v>0</v>
      </c>
      <c r="AW586" s="17">
        <f t="shared" si="371"/>
        <v>0</v>
      </c>
      <c r="AX586" s="28">
        <f t="shared" si="372"/>
        <v>0</v>
      </c>
      <c r="AY586" s="17">
        <f t="shared" si="373"/>
        <v>0</v>
      </c>
      <c r="AZ586" s="28">
        <f t="shared" si="374"/>
        <v>0</v>
      </c>
      <c r="BA586" s="27">
        <f t="shared" si="359"/>
        <v>0</v>
      </c>
      <c r="BB586" s="27">
        <f t="shared" si="376"/>
        <v>286528</v>
      </c>
      <c r="BC586" s="27">
        <f t="shared" si="378"/>
        <v>0</v>
      </c>
      <c r="BD586" s="27">
        <f t="shared" si="379"/>
        <v>0</v>
      </c>
      <c r="BE586" s="27">
        <f t="shared" si="380"/>
        <v>0</v>
      </c>
      <c r="BF586" s="29">
        <f t="shared" si="358"/>
        <v>286528</v>
      </c>
      <c r="BH586" s="30">
        <f t="shared" si="375"/>
        <v>8</v>
      </c>
      <c r="BM586" s="2">
        <f t="shared" si="363"/>
        <v>8</v>
      </c>
      <c r="BP586" s="2">
        <f t="shared" si="364"/>
        <v>8</v>
      </c>
    </row>
    <row r="587" spans="1:68" x14ac:dyDescent="0.25">
      <c r="A587" s="33" t="s">
        <v>601</v>
      </c>
      <c r="B587" s="23"/>
      <c r="C587" s="24"/>
      <c r="D587" s="24">
        <v>27</v>
      </c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13"/>
      <c r="P587" s="24"/>
      <c r="Q587" s="24"/>
      <c r="R587" s="24">
        <v>30</v>
      </c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5"/>
      <c r="AD587" s="25">
        <v>70</v>
      </c>
      <c r="AE587" s="26" t="s">
        <v>42</v>
      </c>
      <c r="AF587" s="27">
        <v>4000</v>
      </c>
      <c r="AG587" s="17">
        <f t="shared" si="366"/>
        <v>0</v>
      </c>
      <c r="AH587" s="28">
        <f t="shared" si="367"/>
        <v>0</v>
      </c>
      <c r="AI587" s="17">
        <f t="shared" si="368"/>
        <v>0</v>
      </c>
      <c r="AJ587" s="28">
        <f t="shared" si="369"/>
        <v>0</v>
      </c>
      <c r="AK587" s="17">
        <f t="shared" si="377"/>
        <v>0</v>
      </c>
      <c r="AL587" s="28">
        <f t="shared" si="370"/>
        <v>0</v>
      </c>
      <c r="AM587" s="17">
        <f t="shared" ref="AM587:AM650" si="385">+AA587+AB587+U587</f>
        <v>0</v>
      </c>
      <c r="AN587" s="28">
        <f t="shared" si="357"/>
        <v>0</v>
      </c>
      <c r="AO587" s="17">
        <f t="shared" si="351"/>
        <v>0</v>
      </c>
      <c r="AP587" s="28">
        <f t="shared" si="361"/>
        <v>0</v>
      </c>
      <c r="AQ587" s="17">
        <f t="shared" si="353"/>
        <v>0</v>
      </c>
      <c r="AR587" s="28">
        <f t="shared" si="362"/>
        <v>0</v>
      </c>
      <c r="AS587" s="17">
        <f t="shared" si="381"/>
        <v>0</v>
      </c>
      <c r="AT587" s="28">
        <f t="shared" si="382"/>
        <v>0</v>
      </c>
      <c r="AU587" s="17">
        <f t="shared" si="383"/>
        <v>0</v>
      </c>
      <c r="AV587" s="28">
        <f t="shared" si="384"/>
        <v>0</v>
      </c>
      <c r="AW587" s="17">
        <f t="shared" si="371"/>
        <v>27</v>
      </c>
      <c r="AX587" s="28">
        <f t="shared" si="372"/>
        <v>108000</v>
      </c>
      <c r="AY587" s="17">
        <f t="shared" si="373"/>
        <v>30</v>
      </c>
      <c r="AZ587" s="28">
        <f t="shared" si="374"/>
        <v>120000</v>
      </c>
      <c r="BA587" s="27">
        <f t="shared" si="359"/>
        <v>0</v>
      </c>
      <c r="BB587" s="27">
        <f t="shared" si="376"/>
        <v>0</v>
      </c>
      <c r="BC587" s="27">
        <f t="shared" si="378"/>
        <v>0</v>
      </c>
      <c r="BD587" s="27">
        <f t="shared" si="379"/>
        <v>0</v>
      </c>
      <c r="BE587" s="27">
        <f t="shared" si="380"/>
        <v>228000</v>
      </c>
      <c r="BF587" s="29">
        <f t="shared" si="358"/>
        <v>0</v>
      </c>
      <c r="BH587" s="30">
        <f t="shared" si="375"/>
        <v>0</v>
      </c>
      <c r="BM587" s="2">
        <f t="shared" si="363"/>
        <v>57</v>
      </c>
      <c r="BP587" s="2">
        <f t="shared" si="364"/>
        <v>57</v>
      </c>
    </row>
    <row r="588" spans="1:68" ht="14.45" hidden="1" customHeight="1" x14ac:dyDescent="0.25">
      <c r="A588" s="33" t="s">
        <v>602</v>
      </c>
      <c r="B588" s="23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13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5"/>
      <c r="AD588" s="25">
        <f t="shared" si="365"/>
        <v>0</v>
      </c>
      <c r="AE588" s="26" t="s">
        <v>42</v>
      </c>
      <c r="AF588" s="27"/>
      <c r="AG588" s="17">
        <f t="shared" si="366"/>
        <v>0</v>
      </c>
      <c r="AH588" s="28">
        <f t="shared" si="367"/>
        <v>0</v>
      </c>
      <c r="AI588" s="17">
        <f t="shared" si="368"/>
        <v>0</v>
      </c>
      <c r="AJ588" s="28">
        <f t="shared" si="369"/>
        <v>0</v>
      </c>
      <c r="AK588" s="17">
        <f t="shared" si="377"/>
        <v>0</v>
      </c>
      <c r="AL588" s="28">
        <f t="shared" si="370"/>
        <v>0</v>
      </c>
      <c r="AM588" s="17">
        <f t="shared" si="385"/>
        <v>0</v>
      </c>
      <c r="AN588" s="28">
        <f t="shared" si="357"/>
        <v>0</v>
      </c>
      <c r="AO588" s="17">
        <f t="shared" si="351"/>
        <v>0</v>
      </c>
      <c r="AP588" s="28">
        <f t="shared" si="361"/>
        <v>0</v>
      </c>
      <c r="AQ588" s="17">
        <f t="shared" si="353"/>
        <v>0</v>
      </c>
      <c r="AR588" s="28">
        <f t="shared" si="362"/>
        <v>0</v>
      </c>
      <c r="AS588" s="17">
        <f t="shared" si="381"/>
        <v>0</v>
      </c>
      <c r="AT588" s="28">
        <f t="shared" si="382"/>
        <v>0</v>
      </c>
      <c r="AU588" s="17">
        <f t="shared" si="383"/>
        <v>0</v>
      </c>
      <c r="AV588" s="28">
        <f t="shared" si="384"/>
        <v>0</v>
      </c>
      <c r="AW588" s="17">
        <f t="shared" si="371"/>
        <v>0</v>
      </c>
      <c r="AX588" s="28">
        <f t="shared" si="372"/>
        <v>0</v>
      </c>
      <c r="AY588" s="17">
        <f t="shared" si="373"/>
        <v>0</v>
      </c>
      <c r="AZ588" s="28">
        <f t="shared" si="374"/>
        <v>0</v>
      </c>
      <c r="BA588" s="27">
        <f t="shared" si="359"/>
        <v>0</v>
      </c>
      <c r="BB588" s="27">
        <f t="shared" si="376"/>
        <v>0</v>
      </c>
      <c r="BC588" s="27">
        <f t="shared" si="378"/>
        <v>0</v>
      </c>
      <c r="BD588" s="27">
        <f t="shared" si="379"/>
        <v>0</v>
      </c>
      <c r="BE588" s="27">
        <f t="shared" si="380"/>
        <v>0</v>
      </c>
      <c r="BF588" s="29">
        <f t="shared" si="358"/>
        <v>0</v>
      </c>
      <c r="BH588" s="30">
        <f t="shared" si="375"/>
        <v>0</v>
      </c>
      <c r="BM588" s="2">
        <f t="shared" si="363"/>
        <v>0</v>
      </c>
      <c r="BP588" s="2">
        <f t="shared" si="364"/>
        <v>0</v>
      </c>
    </row>
    <row r="589" spans="1:68" ht="14.45" hidden="1" customHeight="1" x14ac:dyDescent="0.25">
      <c r="A589" s="33" t="s">
        <v>603</v>
      </c>
      <c r="B589" s="23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13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5"/>
      <c r="AD589" s="25">
        <f t="shared" si="365"/>
        <v>0</v>
      </c>
      <c r="AE589" s="26" t="s">
        <v>42</v>
      </c>
      <c r="AF589" s="27"/>
      <c r="AG589" s="17">
        <f t="shared" si="366"/>
        <v>0</v>
      </c>
      <c r="AH589" s="28">
        <f t="shared" si="367"/>
        <v>0</v>
      </c>
      <c r="AI589" s="17">
        <f t="shared" si="368"/>
        <v>0</v>
      </c>
      <c r="AJ589" s="28">
        <f t="shared" si="369"/>
        <v>0</v>
      </c>
      <c r="AK589" s="17">
        <f t="shared" si="377"/>
        <v>0</v>
      </c>
      <c r="AL589" s="28">
        <f t="shared" si="370"/>
        <v>0</v>
      </c>
      <c r="AM589" s="17">
        <f t="shared" si="385"/>
        <v>0</v>
      </c>
      <c r="AN589" s="28">
        <f t="shared" si="357"/>
        <v>0</v>
      </c>
      <c r="AO589" s="17">
        <f t="shared" si="351"/>
        <v>0</v>
      </c>
      <c r="AP589" s="28">
        <f t="shared" si="361"/>
        <v>0</v>
      </c>
      <c r="AQ589" s="17">
        <f t="shared" si="353"/>
        <v>0</v>
      </c>
      <c r="AR589" s="28">
        <f t="shared" si="362"/>
        <v>0</v>
      </c>
      <c r="AS589" s="17">
        <f t="shared" si="381"/>
        <v>0</v>
      </c>
      <c r="AT589" s="28">
        <f t="shared" si="382"/>
        <v>0</v>
      </c>
      <c r="AU589" s="17">
        <f t="shared" si="383"/>
        <v>0</v>
      </c>
      <c r="AV589" s="28">
        <f t="shared" si="384"/>
        <v>0</v>
      </c>
      <c r="AW589" s="17">
        <f t="shared" si="371"/>
        <v>0</v>
      </c>
      <c r="AX589" s="28">
        <f t="shared" si="372"/>
        <v>0</v>
      </c>
      <c r="AY589" s="17">
        <f t="shared" si="373"/>
        <v>0</v>
      </c>
      <c r="AZ589" s="28">
        <f t="shared" si="374"/>
        <v>0</v>
      </c>
      <c r="BA589" s="27">
        <f t="shared" si="359"/>
        <v>0</v>
      </c>
      <c r="BB589" s="27">
        <f t="shared" si="376"/>
        <v>0</v>
      </c>
      <c r="BC589" s="27">
        <f t="shared" si="378"/>
        <v>0</v>
      </c>
      <c r="BD589" s="27">
        <f t="shared" si="379"/>
        <v>0</v>
      </c>
      <c r="BE589" s="27">
        <f t="shared" si="380"/>
        <v>0</v>
      </c>
      <c r="BF589" s="29">
        <f t="shared" si="358"/>
        <v>0</v>
      </c>
      <c r="BH589" s="30">
        <f t="shared" si="375"/>
        <v>0</v>
      </c>
      <c r="BM589" s="2">
        <f t="shared" si="363"/>
        <v>0</v>
      </c>
      <c r="BP589" s="2">
        <f t="shared" si="364"/>
        <v>0</v>
      </c>
    </row>
    <row r="590" spans="1:68" ht="14.45" hidden="1" customHeight="1" x14ac:dyDescent="0.25">
      <c r="A590" s="33" t="s">
        <v>604</v>
      </c>
      <c r="B590" s="23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13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5"/>
      <c r="AD590" s="25">
        <f t="shared" si="365"/>
        <v>0</v>
      </c>
      <c r="AE590" s="26" t="s">
        <v>42</v>
      </c>
      <c r="AF590" s="27"/>
      <c r="AG590" s="17">
        <f t="shared" si="366"/>
        <v>0</v>
      </c>
      <c r="AH590" s="28">
        <f t="shared" si="367"/>
        <v>0</v>
      </c>
      <c r="AI590" s="17">
        <f t="shared" si="368"/>
        <v>0</v>
      </c>
      <c r="AJ590" s="28">
        <f t="shared" si="369"/>
        <v>0</v>
      </c>
      <c r="AK590" s="17">
        <f t="shared" si="377"/>
        <v>0</v>
      </c>
      <c r="AL590" s="28">
        <f t="shared" si="370"/>
        <v>0</v>
      </c>
      <c r="AM590" s="17">
        <f t="shared" si="385"/>
        <v>0</v>
      </c>
      <c r="AN590" s="28">
        <f t="shared" si="357"/>
        <v>0</v>
      </c>
      <c r="AO590" s="17">
        <f t="shared" si="351"/>
        <v>0</v>
      </c>
      <c r="AP590" s="28">
        <f t="shared" si="361"/>
        <v>0</v>
      </c>
      <c r="AQ590" s="17">
        <f t="shared" si="353"/>
        <v>0</v>
      </c>
      <c r="AR590" s="28">
        <f t="shared" si="362"/>
        <v>0</v>
      </c>
      <c r="AS590" s="17">
        <f t="shared" si="381"/>
        <v>0</v>
      </c>
      <c r="AT590" s="28">
        <f t="shared" si="382"/>
        <v>0</v>
      </c>
      <c r="AU590" s="17">
        <f t="shared" si="383"/>
        <v>0</v>
      </c>
      <c r="AV590" s="28">
        <f t="shared" si="384"/>
        <v>0</v>
      </c>
      <c r="AW590" s="17">
        <f t="shared" si="371"/>
        <v>0</v>
      </c>
      <c r="AX590" s="28">
        <f t="shared" si="372"/>
        <v>0</v>
      </c>
      <c r="AY590" s="17">
        <f t="shared" si="373"/>
        <v>0</v>
      </c>
      <c r="AZ590" s="28">
        <f t="shared" si="374"/>
        <v>0</v>
      </c>
      <c r="BA590" s="27">
        <f t="shared" si="359"/>
        <v>0</v>
      </c>
      <c r="BB590" s="27">
        <f t="shared" si="376"/>
        <v>0</v>
      </c>
      <c r="BC590" s="27">
        <f t="shared" si="378"/>
        <v>0</v>
      </c>
      <c r="BD590" s="27">
        <f t="shared" si="379"/>
        <v>0</v>
      </c>
      <c r="BE590" s="27">
        <f t="shared" si="380"/>
        <v>0</v>
      </c>
      <c r="BF590" s="29">
        <f t="shared" si="358"/>
        <v>0</v>
      </c>
      <c r="BH590" s="30">
        <f t="shared" si="375"/>
        <v>0</v>
      </c>
      <c r="BM590" s="2">
        <f t="shared" si="363"/>
        <v>0</v>
      </c>
      <c r="BP590" s="2">
        <f t="shared" si="364"/>
        <v>0</v>
      </c>
    </row>
    <row r="591" spans="1:68" ht="14.45" customHeight="1" x14ac:dyDescent="0.25">
      <c r="A591" s="33" t="s">
        <v>605</v>
      </c>
      <c r="B591" s="23"/>
      <c r="C591" s="24"/>
      <c r="D591" s="24">
        <v>29</v>
      </c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13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5"/>
      <c r="AD591" s="25"/>
      <c r="AE591" s="26"/>
      <c r="AF591" s="27"/>
      <c r="AG591" s="17">
        <f t="shared" si="366"/>
        <v>0</v>
      </c>
      <c r="AH591" s="28">
        <f t="shared" si="367"/>
        <v>0</v>
      </c>
      <c r="AI591" s="17">
        <f t="shared" si="368"/>
        <v>0</v>
      </c>
      <c r="AJ591" s="28">
        <f t="shared" si="369"/>
        <v>0</v>
      </c>
      <c r="AK591" s="17">
        <f t="shared" si="377"/>
        <v>0</v>
      </c>
      <c r="AL591" s="28">
        <f t="shared" si="370"/>
        <v>0</v>
      </c>
      <c r="AM591" s="17">
        <f t="shared" si="385"/>
        <v>0</v>
      </c>
      <c r="AN591" s="28">
        <f t="shared" si="357"/>
        <v>0</v>
      </c>
      <c r="AO591" s="17"/>
      <c r="AP591" s="28"/>
      <c r="AQ591" s="17"/>
      <c r="AR591" s="28"/>
      <c r="AS591" s="17">
        <f t="shared" si="381"/>
        <v>0</v>
      </c>
      <c r="AT591" s="28">
        <f t="shared" si="382"/>
        <v>0</v>
      </c>
      <c r="AU591" s="17">
        <f t="shared" si="383"/>
        <v>0</v>
      </c>
      <c r="AV591" s="28">
        <f t="shared" si="384"/>
        <v>0</v>
      </c>
      <c r="AW591" s="17">
        <f t="shared" si="371"/>
        <v>29</v>
      </c>
      <c r="AX591" s="28">
        <f t="shared" si="372"/>
        <v>0</v>
      </c>
      <c r="AY591" s="17">
        <f t="shared" si="373"/>
        <v>0</v>
      </c>
      <c r="AZ591" s="28">
        <f t="shared" si="374"/>
        <v>0</v>
      </c>
      <c r="BA591" s="27"/>
      <c r="BB591" s="27">
        <f t="shared" si="376"/>
        <v>0</v>
      </c>
      <c r="BC591" s="27">
        <f t="shared" si="378"/>
        <v>0</v>
      </c>
      <c r="BD591" s="27">
        <f t="shared" si="379"/>
        <v>0</v>
      </c>
      <c r="BE591" s="27">
        <f t="shared" si="380"/>
        <v>0</v>
      </c>
      <c r="BF591" s="29">
        <f t="shared" si="358"/>
        <v>0</v>
      </c>
      <c r="BH591" s="30">
        <f t="shared" si="375"/>
        <v>0</v>
      </c>
    </row>
    <row r="592" spans="1:68" x14ac:dyDescent="0.25">
      <c r="A592" s="33" t="s">
        <v>606</v>
      </c>
      <c r="B592" s="23"/>
      <c r="C592" s="24"/>
      <c r="D592" s="24">
        <v>45</v>
      </c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13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5"/>
      <c r="AD592" s="39">
        <f>SUM(B592:AB592)</f>
        <v>45</v>
      </c>
      <c r="AE592" s="26" t="s">
        <v>42</v>
      </c>
      <c r="AF592" s="27">
        <v>3256</v>
      </c>
      <c r="AG592" s="17">
        <f t="shared" si="366"/>
        <v>0</v>
      </c>
      <c r="AH592" s="28">
        <f t="shared" si="367"/>
        <v>0</v>
      </c>
      <c r="AI592" s="17">
        <f t="shared" si="368"/>
        <v>0</v>
      </c>
      <c r="AJ592" s="28">
        <f t="shared" si="369"/>
        <v>0</v>
      </c>
      <c r="AK592" s="17">
        <f t="shared" si="377"/>
        <v>0</v>
      </c>
      <c r="AL592" s="28">
        <f t="shared" si="370"/>
        <v>0</v>
      </c>
      <c r="AM592" s="17">
        <f t="shared" si="385"/>
        <v>0</v>
      </c>
      <c r="AN592" s="28">
        <f t="shared" si="357"/>
        <v>0</v>
      </c>
      <c r="AO592" s="17">
        <f t="shared" ref="AO592:AO634" si="386">+B592</f>
        <v>0</v>
      </c>
      <c r="AP592" s="28">
        <f>+AO592*AF592</f>
        <v>0</v>
      </c>
      <c r="AQ592" s="17">
        <f t="shared" ref="AQ592:AQ634" si="387">+P592</f>
        <v>0</v>
      </c>
      <c r="AR592" s="28">
        <f>+AQ592*AF592</f>
        <v>0</v>
      </c>
      <c r="AS592" s="17">
        <f t="shared" si="381"/>
        <v>0</v>
      </c>
      <c r="AT592" s="28">
        <f t="shared" si="382"/>
        <v>0</v>
      </c>
      <c r="AU592" s="17">
        <f t="shared" si="383"/>
        <v>0</v>
      </c>
      <c r="AV592" s="28">
        <f t="shared" si="384"/>
        <v>0</v>
      </c>
      <c r="AW592" s="17">
        <f t="shared" si="371"/>
        <v>45</v>
      </c>
      <c r="AX592" s="28">
        <f t="shared" si="372"/>
        <v>146520</v>
      </c>
      <c r="AY592" s="17">
        <f t="shared" si="373"/>
        <v>0</v>
      </c>
      <c r="AZ592" s="28">
        <f t="shared" si="374"/>
        <v>0</v>
      </c>
      <c r="BA592" s="27">
        <f t="shared" si="359"/>
        <v>0</v>
      </c>
      <c r="BB592" s="27">
        <f t="shared" si="376"/>
        <v>0</v>
      </c>
      <c r="BC592" s="27">
        <f t="shared" si="378"/>
        <v>0</v>
      </c>
      <c r="BD592" s="27">
        <f t="shared" si="379"/>
        <v>0</v>
      </c>
      <c r="BE592" s="27">
        <f t="shared" si="380"/>
        <v>146520</v>
      </c>
      <c r="BF592" s="29">
        <f t="shared" si="358"/>
        <v>0</v>
      </c>
      <c r="BH592" s="30">
        <f t="shared" si="375"/>
        <v>0</v>
      </c>
      <c r="BM592" s="2">
        <f>SUM(B592:S592)</f>
        <v>45</v>
      </c>
      <c r="BP592" s="2">
        <f>SUM(B592:S592)</f>
        <v>45</v>
      </c>
    </row>
    <row r="593" spans="1:68" x14ac:dyDescent="0.25">
      <c r="A593" s="33" t="s">
        <v>607</v>
      </c>
      <c r="B593" s="23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13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5"/>
      <c r="AD593" s="25"/>
      <c r="AE593" s="26" t="s">
        <v>42</v>
      </c>
      <c r="AF593" s="34">
        <v>10487</v>
      </c>
      <c r="AG593" s="17">
        <f t="shared" si="366"/>
        <v>0</v>
      </c>
      <c r="AH593" s="28">
        <f t="shared" si="367"/>
        <v>0</v>
      </c>
      <c r="AI593" s="17">
        <f t="shared" si="368"/>
        <v>0</v>
      </c>
      <c r="AJ593" s="28">
        <f t="shared" si="369"/>
        <v>0</v>
      </c>
      <c r="AK593" s="17">
        <f t="shared" si="377"/>
        <v>0</v>
      </c>
      <c r="AL593" s="28">
        <f t="shared" si="370"/>
        <v>0</v>
      </c>
      <c r="AM593" s="17">
        <f t="shared" si="385"/>
        <v>0</v>
      </c>
      <c r="AN593" s="28">
        <f t="shared" si="357"/>
        <v>0</v>
      </c>
      <c r="AO593" s="17">
        <f t="shared" si="386"/>
        <v>0</v>
      </c>
      <c r="AP593" s="28"/>
      <c r="AQ593" s="17">
        <f t="shared" si="387"/>
        <v>0</v>
      </c>
      <c r="AR593" s="28"/>
      <c r="AS593" s="17">
        <f t="shared" si="381"/>
        <v>0</v>
      </c>
      <c r="AT593" s="28">
        <f t="shared" si="382"/>
        <v>0</v>
      </c>
      <c r="AU593" s="17">
        <f t="shared" si="383"/>
        <v>0</v>
      </c>
      <c r="AV593" s="28">
        <f t="shared" si="384"/>
        <v>0</v>
      </c>
      <c r="AW593" s="17">
        <f t="shared" si="371"/>
        <v>0</v>
      </c>
      <c r="AX593" s="28">
        <f t="shared" si="372"/>
        <v>0</v>
      </c>
      <c r="AY593" s="17">
        <f t="shared" si="373"/>
        <v>0</v>
      </c>
      <c r="AZ593" s="28">
        <f t="shared" si="374"/>
        <v>0</v>
      </c>
      <c r="BA593" s="27">
        <f t="shared" si="359"/>
        <v>0</v>
      </c>
      <c r="BB593" s="27">
        <f t="shared" si="376"/>
        <v>0</v>
      </c>
      <c r="BC593" s="27">
        <f t="shared" si="378"/>
        <v>0</v>
      </c>
      <c r="BD593" s="27">
        <f t="shared" si="379"/>
        <v>0</v>
      </c>
      <c r="BE593" s="27">
        <f t="shared" si="380"/>
        <v>0</v>
      </c>
      <c r="BF593" s="29">
        <f t="shared" si="358"/>
        <v>0</v>
      </c>
      <c r="BH593" s="30">
        <f t="shared" si="375"/>
        <v>0</v>
      </c>
    </row>
    <row r="594" spans="1:68" x14ac:dyDescent="0.25">
      <c r="A594" s="33" t="s">
        <v>608</v>
      </c>
      <c r="B594" s="23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13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5"/>
      <c r="AD594" s="25"/>
      <c r="AE594" s="26" t="s">
        <v>42</v>
      </c>
      <c r="AF594" s="34">
        <v>14489</v>
      </c>
      <c r="AG594" s="17">
        <f t="shared" si="366"/>
        <v>0</v>
      </c>
      <c r="AH594" s="28">
        <f t="shared" si="367"/>
        <v>0</v>
      </c>
      <c r="AI594" s="17">
        <f t="shared" si="368"/>
        <v>0</v>
      </c>
      <c r="AJ594" s="28">
        <f t="shared" si="369"/>
        <v>0</v>
      </c>
      <c r="AK594" s="17">
        <f t="shared" si="377"/>
        <v>0</v>
      </c>
      <c r="AL594" s="28">
        <f t="shared" si="370"/>
        <v>0</v>
      </c>
      <c r="AM594" s="17">
        <f t="shared" si="385"/>
        <v>0</v>
      </c>
      <c r="AN594" s="28">
        <f t="shared" si="357"/>
        <v>0</v>
      </c>
      <c r="AO594" s="17">
        <f t="shared" si="386"/>
        <v>0</v>
      </c>
      <c r="AP594" s="28"/>
      <c r="AQ594" s="17">
        <f t="shared" si="387"/>
        <v>0</v>
      </c>
      <c r="AR594" s="28"/>
      <c r="AS594" s="17">
        <f t="shared" si="381"/>
        <v>0</v>
      </c>
      <c r="AT594" s="28">
        <f t="shared" si="382"/>
        <v>0</v>
      </c>
      <c r="AU594" s="17">
        <f t="shared" si="383"/>
        <v>0</v>
      </c>
      <c r="AV594" s="28">
        <f t="shared" si="384"/>
        <v>0</v>
      </c>
      <c r="AW594" s="17">
        <f t="shared" si="371"/>
        <v>0</v>
      </c>
      <c r="AX594" s="28">
        <f t="shared" si="372"/>
        <v>0</v>
      </c>
      <c r="AY594" s="17">
        <f t="shared" si="373"/>
        <v>0</v>
      </c>
      <c r="AZ594" s="28">
        <f t="shared" si="374"/>
        <v>0</v>
      </c>
      <c r="BA594" s="27">
        <f t="shared" si="359"/>
        <v>0</v>
      </c>
      <c r="BB594" s="27">
        <f t="shared" si="376"/>
        <v>0</v>
      </c>
      <c r="BC594" s="27">
        <f t="shared" si="378"/>
        <v>0</v>
      </c>
      <c r="BD594" s="27">
        <f t="shared" si="379"/>
        <v>0</v>
      </c>
      <c r="BE594" s="27">
        <f t="shared" si="380"/>
        <v>0</v>
      </c>
      <c r="BF594" s="29">
        <f t="shared" si="358"/>
        <v>0</v>
      </c>
      <c r="BH594" s="30">
        <f t="shared" si="375"/>
        <v>0</v>
      </c>
    </row>
    <row r="595" spans="1:68" x14ac:dyDescent="0.25">
      <c r="A595" s="33" t="s">
        <v>609</v>
      </c>
      <c r="B595" s="23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13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5"/>
      <c r="AD595" s="25">
        <f t="shared" ref="AD595:AD603" si="388">SUM(B595:S595)</f>
        <v>0</v>
      </c>
      <c r="AE595" s="26" t="s">
        <v>42</v>
      </c>
      <c r="AF595" s="27">
        <f>3.2*656*1.69</f>
        <v>3547.6480000000001</v>
      </c>
      <c r="AG595" s="17">
        <f t="shared" si="366"/>
        <v>0</v>
      </c>
      <c r="AH595" s="28">
        <f t="shared" si="367"/>
        <v>0</v>
      </c>
      <c r="AI595" s="17">
        <f t="shared" si="368"/>
        <v>0</v>
      </c>
      <c r="AJ595" s="28">
        <f t="shared" si="369"/>
        <v>0</v>
      </c>
      <c r="AK595" s="17">
        <f t="shared" si="377"/>
        <v>0</v>
      </c>
      <c r="AL595" s="28">
        <f t="shared" si="370"/>
        <v>0</v>
      </c>
      <c r="AM595" s="17">
        <f t="shared" si="385"/>
        <v>0</v>
      </c>
      <c r="AN595" s="28">
        <f t="shared" si="357"/>
        <v>0</v>
      </c>
      <c r="AO595" s="17">
        <f t="shared" si="386"/>
        <v>0</v>
      </c>
      <c r="AP595" s="28">
        <f t="shared" ref="AP595:AP603" si="389">+AO595*AF595</f>
        <v>0</v>
      </c>
      <c r="AQ595" s="17">
        <f t="shared" si="387"/>
        <v>0</v>
      </c>
      <c r="AR595" s="28">
        <f t="shared" ref="AR595:AR603" si="390">+AQ595*AF595</f>
        <v>0</v>
      </c>
      <c r="AS595" s="17">
        <f t="shared" si="381"/>
        <v>0</v>
      </c>
      <c r="AT595" s="28">
        <f t="shared" si="382"/>
        <v>0</v>
      </c>
      <c r="AU595" s="17">
        <f t="shared" si="383"/>
        <v>0</v>
      </c>
      <c r="AV595" s="28">
        <f t="shared" si="384"/>
        <v>0</v>
      </c>
      <c r="AW595" s="17">
        <f t="shared" si="371"/>
        <v>0</v>
      </c>
      <c r="AX595" s="28">
        <f t="shared" si="372"/>
        <v>0</v>
      </c>
      <c r="AY595" s="17">
        <f t="shared" si="373"/>
        <v>0</v>
      </c>
      <c r="AZ595" s="28">
        <f t="shared" si="374"/>
        <v>0</v>
      </c>
      <c r="BA595" s="27">
        <f t="shared" si="359"/>
        <v>0</v>
      </c>
      <c r="BB595" s="27">
        <f t="shared" si="376"/>
        <v>0</v>
      </c>
      <c r="BC595" s="27">
        <f t="shared" si="378"/>
        <v>0</v>
      </c>
      <c r="BD595" s="27">
        <f t="shared" si="379"/>
        <v>0</v>
      </c>
      <c r="BE595" s="27">
        <f t="shared" si="380"/>
        <v>0</v>
      </c>
      <c r="BF595" s="29">
        <f t="shared" si="358"/>
        <v>0</v>
      </c>
      <c r="BH595" s="30">
        <f t="shared" si="375"/>
        <v>0</v>
      </c>
      <c r="BM595" s="2">
        <f t="shared" ref="BM595:BM603" si="391">SUM(B595:S595)</f>
        <v>0</v>
      </c>
      <c r="BP595" s="2">
        <f t="shared" ref="BP595:BP603" si="392">SUM(B595:S595)</f>
        <v>0</v>
      </c>
    </row>
    <row r="596" spans="1:68" ht="14.45" hidden="1" customHeight="1" x14ac:dyDescent="0.25">
      <c r="A596" s="33" t="s">
        <v>610</v>
      </c>
      <c r="B596" s="23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13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5"/>
      <c r="AD596" s="25">
        <f t="shared" si="388"/>
        <v>0</v>
      </c>
      <c r="AE596" s="26" t="s">
        <v>42</v>
      </c>
      <c r="AF596" s="27"/>
      <c r="AG596" s="17">
        <f t="shared" si="366"/>
        <v>0</v>
      </c>
      <c r="AH596" s="28">
        <f t="shared" si="367"/>
        <v>0</v>
      </c>
      <c r="AI596" s="17">
        <f t="shared" si="368"/>
        <v>0</v>
      </c>
      <c r="AJ596" s="28">
        <f t="shared" si="369"/>
        <v>0</v>
      </c>
      <c r="AK596" s="17">
        <f t="shared" si="377"/>
        <v>0</v>
      </c>
      <c r="AL596" s="28">
        <f t="shared" si="370"/>
        <v>0</v>
      </c>
      <c r="AM596" s="17">
        <f t="shared" si="385"/>
        <v>0</v>
      </c>
      <c r="AN596" s="28">
        <f t="shared" si="357"/>
        <v>0</v>
      </c>
      <c r="AO596" s="17">
        <f t="shared" si="386"/>
        <v>0</v>
      </c>
      <c r="AP596" s="28">
        <f t="shared" si="389"/>
        <v>0</v>
      </c>
      <c r="AQ596" s="17">
        <f t="shared" si="387"/>
        <v>0</v>
      </c>
      <c r="AR596" s="28">
        <f t="shared" si="390"/>
        <v>0</v>
      </c>
      <c r="AS596" s="17">
        <f t="shared" si="381"/>
        <v>0</v>
      </c>
      <c r="AT596" s="28">
        <f t="shared" si="382"/>
        <v>0</v>
      </c>
      <c r="AU596" s="17">
        <f t="shared" si="383"/>
        <v>0</v>
      </c>
      <c r="AV596" s="28">
        <f t="shared" si="384"/>
        <v>0</v>
      </c>
      <c r="AW596" s="17">
        <f t="shared" si="371"/>
        <v>0</v>
      </c>
      <c r="AX596" s="28">
        <f t="shared" si="372"/>
        <v>0</v>
      </c>
      <c r="AY596" s="17">
        <f t="shared" si="373"/>
        <v>0</v>
      </c>
      <c r="AZ596" s="28">
        <f t="shared" si="374"/>
        <v>0</v>
      </c>
      <c r="BA596" s="27">
        <f t="shared" si="359"/>
        <v>0</v>
      </c>
      <c r="BB596" s="27">
        <f t="shared" si="376"/>
        <v>0</v>
      </c>
      <c r="BC596" s="27">
        <f t="shared" si="378"/>
        <v>0</v>
      </c>
      <c r="BD596" s="27">
        <f t="shared" si="379"/>
        <v>0</v>
      </c>
      <c r="BE596" s="27">
        <f t="shared" si="380"/>
        <v>0</v>
      </c>
      <c r="BF596" s="29">
        <f t="shared" si="358"/>
        <v>0</v>
      </c>
      <c r="BH596" s="30">
        <f t="shared" si="375"/>
        <v>0</v>
      </c>
      <c r="BM596" s="2">
        <f t="shared" si="391"/>
        <v>0</v>
      </c>
      <c r="BP596" s="2">
        <f t="shared" si="392"/>
        <v>0</v>
      </c>
    </row>
    <row r="597" spans="1:68" ht="14.45" hidden="1" customHeight="1" x14ac:dyDescent="0.25">
      <c r="A597" s="33" t="s">
        <v>611</v>
      </c>
      <c r="B597" s="23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13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5"/>
      <c r="AD597" s="25">
        <f t="shared" si="388"/>
        <v>0</v>
      </c>
      <c r="AE597" s="26" t="s">
        <v>42</v>
      </c>
      <c r="AF597" s="27"/>
      <c r="AG597" s="17">
        <f t="shared" si="366"/>
        <v>0</v>
      </c>
      <c r="AH597" s="28">
        <f t="shared" si="367"/>
        <v>0</v>
      </c>
      <c r="AI597" s="17">
        <f t="shared" si="368"/>
        <v>0</v>
      </c>
      <c r="AJ597" s="28">
        <f t="shared" si="369"/>
        <v>0</v>
      </c>
      <c r="AK597" s="17">
        <f t="shared" si="377"/>
        <v>0</v>
      </c>
      <c r="AL597" s="28">
        <f t="shared" si="370"/>
        <v>0</v>
      </c>
      <c r="AM597" s="17">
        <f t="shared" si="385"/>
        <v>0</v>
      </c>
      <c r="AN597" s="28">
        <f t="shared" si="357"/>
        <v>0</v>
      </c>
      <c r="AO597" s="17">
        <f t="shared" si="386"/>
        <v>0</v>
      </c>
      <c r="AP597" s="28">
        <f t="shared" si="389"/>
        <v>0</v>
      </c>
      <c r="AQ597" s="17">
        <f t="shared" si="387"/>
        <v>0</v>
      </c>
      <c r="AR597" s="28">
        <f t="shared" si="390"/>
        <v>0</v>
      </c>
      <c r="AS597" s="17">
        <f t="shared" si="381"/>
        <v>0</v>
      </c>
      <c r="AT597" s="28">
        <f t="shared" si="382"/>
        <v>0</v>
      </c>
      <c r="AU597" s="17">
        <f t="shared" si="383"/>
        <v>0</v>
      </c>
      <c r="AV597" s="28">
        <f t="shared" si="384"/>
        <v>0</v>
      </c>
      <c r="AW597" s="17">
        <f t="shared" si="371"/>
        <v>0</v>
      </c>
      <c r="AX597" s="28">
        <f t="shared" si="372"/>
        <v>0</v>
      </c>
      <c r="AY597" s="17">
        <f t="shared" si="373"/>
        <v>0</v>
      </c>
      <c r="AZ597" s="28">
        <f t="shared" si="374"/>
        <v>0</v>
      </c>
      <c r="BA597" s="27">
        <f t="shared" si="359"/>
        <v>0</v>
      </c>
      <c r="BB597" s="27">
        <f t="shared" si="376"/>
        <v>0</v>
      </c>
      <c r="BC597" s="27">
        <f t="shared" si="378"/>
        <v>0</v>
      </c>
      <c r="BD597" s="27">
        <f t="shared" si="379"/>
        <v>0</v>
      </c>
      <c r="BE597" s="27">
        <f t="shared" si="380"/>
        <v>0</v>
      </c>
      <c r="BF597" s="29">
        <f t="shared" si="358"/>
        <v>0</v>
      </c>
      <c r="BH597" s="30">
        <f t="shared" si="375"/>
        <v>0</v>
      </c>
      <c r="BM597" s="2">
        <f t="shared" si="391"/>
        <v>0</v>
      </c>
      <c r="BP597" s="2">
        <f t="shared" si="392"/>
        <v>0</v>
      </c>
    </row>
    <row r="598" spans="1:68" ht="14.45" hidden="1" customHeight="1" x14ac:dyDescent="0.25">
      <c r="A598" s="33" t="s">
        <v>612</v>
      </c>
      <c r="B598" s="23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13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5"/>
      <c r="AD598" s="25">
        <f t="shared" si="388"/>
        <v>0</v>
      </c>
      <c r="AE598" s="26" t="s">
        <v>42</v>
      </c>
      <c r="AF598" s="27"/>
      <c r="AG598" s="17">
        <f t="shared" si="366"/>
        <v>0</v>
      </c>
      <c r="AH598" s="28">
        <f t="shared" si="367"/>
        <v>0</v>
      </c>
      <c r="AI598" s="17">
        <f t="shared" si="368"/>
        <v>0</v>
      </c>
      <c r="AJ598" s="28">
        <f t="shared" si="369"/>
        <v>0</v>
      </c>
      <c r="AK598" s="17">
        <f t="shared" si="377"/>
        <v>0</v>
      </c>
      <c r="AL598" s="28">
        <f t="shared" si="370"/>
        <v>0</v>
      </c>
      <c r="AM598" s="17">
        <f t="shared" si="385"/>
        <v>0</v>
      </c>
      <c r="AN598" s="28">
        <f t="shared" si="357"/>
        <v>0</v>
      </c>
      <c r="AO598" s="17">
        <f t="shared" si="386"/>
        <v>0</v>
      </c>
      <c r="AP598" s="28">
        <f t="shared" si="389"/>
        <v>0</v>
      </c>
      <c r="AQ598" s="17">
        <f t="shared" si="387"/>
        <v>0</v>
      </c>
      <c r="AR598" s="28">
        <f t="shared" si="390"/>
        <v>0</v>
      </c>
      <c r="AS598" s="17">
        <f t="shared" si="381"/>
        <v>0</v>
      </c>
      <c r="AT598" s="28">
        <f t="shared" si="382"/>
        <v>0</v>
      </c>
      <c r="AU598" s="17">
        <f t="shared" si="383"/>
        <v>0</v>
      </c>
      <c r="AV598" s="28">
        <f t="shared" si="384"/>
        <v>0</v>
      </c>
      <c r="AW598" s="17">
        <f t="shared" si="371"/>
        <v>0</v>
      </c>
      <c r="AX598" s="28">
        <f t="shared" si="372"/>
        <v>0</v>
      </c>
      <c r="AY598" s="17">
        <f t="shared" si="373"/>
        <v>0</v>
      </c>
      <c r="AZ598" s="28">
        <f t="shared" si="374"/>
        <v>0</v>
      </c>
      <c r="BA598" s="27">
        <f t="shared" si="359"/>
        <v>0</v>
      </c>
      <c r="BB598" s="27">
        <f t="shared" si="376"/>
        <v>0</v>
      </c>
      <c r="BC598" s="27">
        <f t="shared" si="378"/>
        <v>0</v>
      </c>
      <c r="BD598" s="27">
        <f t="shared" si="379"/>
        <v>0</v>
      </c>
      <c r="BE598" s="27">
        <f t="shared" si="380"/>
        <v>0</v>
      </c>
      <c r="BF598" s="29">
        <f t="shared" si="358"/>
        <v>0</v>
      </c>
      <c r="BH598" s="30">
        <f t="shared" si="375"/>
        <v>0</v>
      </c>
      <c r="BM598" s="2">
        <f t="shared" si="391"/>
        <v>0</v>
      </c>
      <c r="BP598" s="2">
        <f t="shared" si="392"/>
        <v>0</v>
      </c>
    </row>
    <row r="599" spans="1:68" x14ac:dyDescent="0.25">
      <c r="A599" s="33" t="s">
        <v>613</v>
      </c>
      <c r="B599" s="23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13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5"/>
      <c r="AD599" s="25">
        <f t="shared" si="388"/>
        <v>0</v>
      </c>
      <c r="AE599" s="26" t="s">
        <v>42</v>
      </c>
      <c r="AF599" s="34">
        <v>17800000</v>
      </c>
      <c r="AG599" s="17">
        <f t="shared" si="366"/>
        <v>0</v>
      </c>
      <c r="AH599" s="28">
        <f t="shared" si="367"/>
        <v>0</v>
      </c>
      <c r="AI599" s="17">
        <f t="shared" si="368"/>
        <v>0</v>
      </c>
      <c r="AJ599" s="28">
        <f t="shared" si="369"/>
        <v>0</v>
      </c>
      <c r="AK599" s="17">
        <f t="shared" si="377"/>
        <v>0</v>
      </c>
      <c r="AL599" s="28">
        <f t="shared" si="370"/>
        <v>0</v>
      </c>
      <c r="AM599" s="17">
        <f t="shared" si="385"/>
        <v>0</v>
      </c>
      <c r="AN599" s="28">
        <f t="shared" si="357"/>
        <v>0</v>
      </c>
      <c r="AO599" s="17">
        <f t="shared" si="386"/>
        <v>0</v>
      </c>
      <c r="AP599" s="28">
        <f t="shared" si="389"/>
        <v>0</v>
      </c>
      <c r="AQ599" s="17">
        <f t="shared" si="387"/>
        <v>0</v>
      </c>
      <c r="AR599" s="28">
        <f t="shared" si="390"/>
        <v>0</v>
      </c>
      <c r="AS599" s="17">
        <f t="shared" si="381"/>
        <v>0</v>
      </c>
      <c r="AT599" s="28">
        <f t="shared" si="382"/>
        <v>0</v>
      </c>
      <c r="AU599" s="17">
        <f t="shared" si="383"/>
        <v>0</v>
      </c>
      <c r="AV599" s="28">
        <f t="shared" si="384"/>
        <v>0</v>
      </c>
      <c r="AW599" s="17">
        <f t="shared" si="371"/>
        <v>0</v>
      </c>
      <c r="AX599" s="28">
        <f t="shared" si="372"/>
        <v>0</v>
      </c>
      <c r="AY599" s="17">
        <f t="shared" si="373"/>
        <v>0</v>
      </c>
      <c r="AZ599" s="28">
        <f t="shared" si="374"/>
        <v>0</v>
      </c>
      <c r="BA599" s="27">
        <f t="shared" si="359"/>
        <v>0</v>
      </c>
      <c r="BB599" s="27">
        <f t="shared" si="376"/>
        <v>0</v>
      </c>
      <c r="BC599" s="27">
        <f t="shared" si="378"/>
        <v>0</v>
      </c>
      <c r="BD599" s="27">
        <f t="shared" si="379"/>
        <v>0</v>
      </c>
      <c r="BE599" s="27">
        <f t="shared" si="380"/>
        <v>0</v>
      </c>
      <c r="BF599" s="29">
        <f t="shared" si="358"/>
        <v>0</v>
      </c>
      <c r="BH599" s="30">
        <f t="shared" si="375"/>
        <v>0</v>
      </c>
      <c r="BM599" s="2">
        <f t="shared" si="391"/>
        <v>0</v>
      </c>
      <c r="BP599" s="2">
        <f t="shared" si="392"/>
        <v>0</v>
      </c>
    </row>
    <row r="600" spans="1:68" x14ac:dyDescent="0.25">
      <c r="A600" s="33" t="s">
        <v>614</v>
      </c>
      <c r="B600" s="23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13">
        <v>2</v>
      </c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5"/>
      <c r="AD600" s="39">
        <f t="shared" si="388"/>
        <v>2</v>
      </c>
      <c r="AE600" s="26" t="s">
        <v>42</v>
      </c>
      <c r="AF600" s="27">
        <v>89000</v>
      </c>
      <c r="AG600" s="17">
        <f t="shared" si="366"/>
        <v>0</v>
      </c>
      <c r="AH600" s="28">
        <f t="shared" si="367"/>
        <v>0</v>
      </c>
      <c r="AI600" s="17">
        <f t="shared" si="368"/>
        <v>0</v>
      </c>
      <c r="AJ600" s="28">
        <f t="shared" si="369"/>
        <v>0</v>
      </c>
      <c r="AK600" s="17">
        <f t="shared" si="377"/>
        <v>2</v>
      </c>
      <c r="AL600" s="28">
        <f t="shared" si="370"/>
        <v>178000</v>
      </c>
      <c r="AM600" s="17">
        <f t="shared" si="385"/>
        <v>0</v>
      </c>
      <c r="AN600" s="28">
        <f t="shared" si="357"/>
        <v>0</v>
      </c>
      <c r="AO600" s="17">
        <f t="shared" si="386"/>
        <v>0</v>
      </c>
      <c r="AP600" s="28">
        <f t="shared" si="389"/>
        <v>0</v>
      </c>
      <c r="AQ600" s="17">
        <f t="shared" si="387"/>
        <v>0</v>
      </c>
      <c r="AR600" s="28">
        <f t="shared" si="390"/>
        <v>0</v>
      </c>
      <c r="AS600" s="17">
        <f t="shared" si="381"/>
        <v>0</v>
      </c>
      <c r="AT600" s="28">
        <f t="shared" si="382"/>
        <v>0</v>
      </c>
      <c r="AU600" s="17">
        <f t="shared" si="383"/>
        <v>0</v>
      </c>
      <c r="AV600" s="28">
        <f t="shared" si="384"/>
        <v>0</v>
      </c>
      <c r="AW600" s="17">
        <f t="shared" si="371"/>
        <v>0</v>
      </c>
      <c r="AX600" s="28">
        <f t="shared" si="372"/>
        <v>0</v>
      </c>
      <c r="AY600" s="17">
        <f t="shared" si="373"/>
        <v>0</v>
      </c>
      <c r="AZ600" s="28">
        <f t="shared" si="374"/>
        <v>0</v>
      </c>
      <c r="BA600" s="27">
        <f t="shared" si="359"/>
        <v>0</v>
      </c>
      <c r="BB600" s="27">
        <f t="shared" si="376"/>
        <v>178000</v>
      </c>
      <c r="BC600" s="27">
        <f t="shared" si="378"/>
        <v>0</v>
      </c>
      <c r="BD600" s="27">
        <f t="shared" si="379"/>
        <v>0</v>
      </c>
      <c r="BE600" s="27">
        <f t="shared" si="380"/>
        <v>0</v>
      </c>
      <c r="BF600" s="29">
        <f t="shared" si="358"/>
        <v>178000</v>
      </c>
      <c r="BH600" s="30">
        <f t="shared" si="375"/>
        <v>2</v>
      </c>
      <c r="BM600" s="2">
        <f t="shared" si="391"/>
        <v>2</v>
      </c>
      <c r="BP600" s="2">
        <f t="shared" si="392"/>
        <v>2</v>
      </c>
    </row>
    <row r="601" spans="1:68" ht="14.45" hidden="1" customHeight="1" x14ac:dyDescent="0.25">
      <c r="A601" s="33" t="s">
        <v>615</v>
      </c>
      <c r="B601" s="23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13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5"/>
      <c r="AD601" s="39">
        <f t="shared" si="388"/>
        <v>0</v>
      </c>
      <c r="AE601" s="26" t="s">
        <v>42</v>
      </c>
      <c r="AF601" s="27"/>
      <c r="AG601" s="17">
        <f t="shared" si="366"/>
        <v>0</v>
      </c>
      <c r="AH601" s="28">
        <f t="shared" si="367"/>
        <v>0</v>
      </c>
      <c r="AI601" s="17">
        <f t="shared" si="368"/>
        <v>0</v>
      </c>
      <c r="AJ601" s="28">
        <f t="shared" si="369"/>
        <v>0</v>
      </c>
      <c r="AK601" s="17">
        <f t="shared" si="377"/>
        <v>0</v>
      </c>
      <c r="AL601" s="28">
        <f t="shared" si="370"/>
        <v>0</v>
      </c>
      <c r="AM601" s="17">
        <f t="shared" si="385"/>
        <v>0</v>
      </c>
      <c r="AN601" s="28">
        <f t="shared" si="357"/>
        <v>0</v>
      </c>
      <c r="AO601" s="17">
        <f t="shared" si="386"/>
        <v>0</v>
      </c>
      <c r="AP601" s="28">
        <f t="shared" si="389"/>
        <v>0</v>
      </c>
      <c r="AQ601" s="17">
        <f t="shared" si="387"/>
        <v>0</v>
      </c>
      <c r="AR601" s="28">
        <f t="shared" si="390"/>
        <v>0</v>
      </c>
      <c r="AS601" s="17">
        <f t="shared" si="381"/>
        <v>0</v>
      </c>
      <c r="AT601" s="28">
        <f t="shared" si="382"/>
        <v>0</v>
      </c>
      <c r="AU601" s="17">
        <f t="shared" si="383"/>
        <v>0</v>
      </c>
      <c r="AV601" s="28">
        <f t="shared" si="384"/>
        <v>0</v>
      </c>
      <c r="AW601" s="17">
        <f t="shared" si="371"/>
        <v>0</v>
      </c>
      <c r="AX601" s="28">
        <f t="shared" si="372"/>
        <v>0</v>
      </c>
      <c r="AY601" s="17">
        <f t="shared" si="373"/>
        <v>0</v>
      </c>
      <c r="AZ601" s="28">
        <f t="shared" si="374"/>
        <v>0</v>
      </c>
      <c r="BA601" s="27">
        <f t="shared" si="359"/>
        <v>0</v>
      </c>
      <c r="BB601" s="27">
        <f t="shared" si="376"/>
        <v>0</v>
      </c>
      <c r="BC601" s="27">
        <f t="shared" si="378"/>
        <v>0</v>
      </c>
      <c r="BD601" s="27">
        <f t="shared" si="379"/>
        <v>0</v>
      </c>
      <c r="BE601" s="27">
        <f t="shared" si="380"/>
        <v>0</v>
      </c>
      <c r="BF601" s="29">
        <f t="shared" si="358"/>
        <v>0</v>
      </c>
      <c r="BH601" s="30">
        <f t="shared" si="375"/>
        <v>0</v>
      </c>
      <c r="BM601" s="2">
        <f t="shared" si="391"/>
        <v>0</v>
      </c>
      <c r="BP601" s="2">
        <f t="shared" si="392"/>
        <v>0</v>
      </c>
    </row>
    <row r="602" spans="1:68" x14ac:dyDescent="0.25">
      <c r="A602" s="33" t="s">
        <v>616</v>
      </c>
      <c r="B602" s="23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13">
        <v>23</v>
      </c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5"/>
      <c r="AD602" s="39">
        <f t="shared" si="388"/>
        <v>23</v>
      </c>
      <c r="AE602" s="26" t="s">
        <v>42</v>
      </c>
      <c r="AF602" s="34">
        <v>82000</v>
      </c>
      <c r="AG602" s="17">
        <f t="shared" si="366"/>
        <v>0</v>
      </c>
      <c r="AH602" s="28">
        <f t="shared" si="367"/>
        <v>0</v>
      </c>
      <c r="AI602" s="17">
        <f t="shared" si="368"/>
        <v>0</v>
      </c>
      <c r="AJ602" s="28">
        <f t="shared" si="369"/>
        <v>0</v>
      </c>
      <c r="AK602" s="17">
        <f t="shared" si="377"/>
        <v>23</v>
      </c>
      <c r="AL602" s="28">
        <f t="shared" si="370"/>
        <v>1886000</v>
      </c>
      <c r="AM602" s="17">
        <f t="shared" si="385"/>
        <v>0</v>
      </c>
      <c r="AN602" s="28">
        <f t="shared" si="357"/>
        <v>0</v>
      </c>
      <c r="AO602" s="17">
        <f t="shared" si="386"/>
        <v>0</v>
      </c>
      <c r="AP602" s="28">
        <f t="shared" si="389"/>
        <v>0</v>
      </c>
      <c r="AQ602" s="17">
        <f t="shared" si="387"/>
        <v>0</v>
      </c>
      <c r="AR602" s="28">
        <f t="shared" si="390"/>
        <v>0</v>
      </c>
      <c r="AS602" s="17">
        <f t="shared" si="381"/>
        <v>0</v>
      </c>
      <c r="AT602" s="28">
        <f t="shared" si="382"/>
        <v>0</v>
      </c>
      <c r="AU602" s="17">
        <f t="shared" si="383"/>
        <v>0</v>
      </c>
      <c r="AV602" s="28">
        <f t="shared" si="384"/>
        <v>0</v>
      </c>
      <c r="AW602" s="17">
        <f t="shared" si="371"/>
        <v>0</v>
      </c>
      <c r="AX602" s="28">
        <f t="shared" si="372"/>
        <v>0</v>
      </c>
      <c r="AY602" s="17">
        <f t="shared" si="373"/>
        <v>0</v>
      </c>
      <c r="AZ602" s="28">
        <f t="shared" si="374"/>
        <v>0</v>
      </c>
      <c r="BA602" s="27">
        <f t="shared" si="359"/>
        <v>0</v>
      </c>
      <c r="BB602" s="27">
        <f t="shared" si="376"/>
        <v>1886000</v>
      </c>
      <c r="BC602" s="27">
        <f t="shared" si="378"/>
        <v>0</v>
      </c>
      <c r="BD602" s="27">
        <f t="shared" si="379"/>
        <v>0</v>
      </c>
      <c r="BE602" s="27">
        <f t="shared" si="380"/>
        <v>0</v>
      </c>
      <c r="BF602" s="29">
        <f t="shared" si="358"/>
        <v>1886000</v>
      </c>
      <c r="BH602" s="30">
        <f t="shared" si="375"/>
        <v>23</v>
      </c>
      <c r="BM602" s="2">
        <f t="shared" si="391"/>
        <v>23</v>
      </c>
      <c r="BP602" s="2">
        <f t="shared" si="392"/>
        <v>23</v>
      </c>
    </row>
    <row r="603" spans="1:68" x14ac:dyDescent="0.25">
      <c r="A603" s="33" t="s">
        <v>617</v>
      </c>
      <c r="B603" s="23"/>
      <c r="C603" s="24"/>
      <c r="D603" s="24">
        <v>2</v>
      </c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13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5"/>
      <c r="AD603" s="39">
        <f t="shared" si="388"/>
        <v>2</v>
      </c>
      <c r="AE603" s="26" t="s">
        <v>42</v>
      </c>
      <c r="AF603" s="34">
        <v>60000</v>
      </c>
      <c r="AG603" s="17">
        <f t="shared" si="366"/>
        <v>0</v>
      </c>
      <c r="AH603" s="28">
        <f t="shared" si="367"/>
        <v>0</v>
      </c>
      <c r="AI603" s="17">
        <f t="shared" si="368"/>
        <v>0</v>
      </c>
      <c r="AJ603" s="28">
        <f t="shared" si="369"/>
        <v>0</v>
      </c>
      <c r="AK603" s="17">
        <f t="shared" si="377"/>
        <v>0</v>
      </c>
      <c r="AL603" s="28">
        <f t="shared" si="370"/>
        <v>0</v>
      </c>
      <c r="AM603" s="17">
        <f t="shared" si="385"/>
        <v>0</v>
      </c>
      <c r="AN603" s="28">
        <f t="shared" si="357"/>
        <v>0</v>
      </c>
      <c r="AO603" s="17">
        <f t="shared" si="386"/>
        <v>0</v>
      </c>
      <c r="AP603" s="28">
        <f t="shared" si="389"/>
        <v>0</v>
      </c>
      <c r="AQ603" s="17">
        <f t="shared" si="387"/>
        <v>0</v>
      </c>
      <c r="AR603" s="28">
        <f t="shared" si="390"/>
        <v>0</v>
      </c>
      <c r="AS603" s="17">
        <f t="shared" si="381"/>
        <v>0</v>
      </c>
      <c r="AT603" s="28">
        <f t="shared" si="382"/>
        <v>0</v>
      </c>
      <c r="AU603" s="17">
        <f t="shared" si="383"/>
        <v>0</v>
      </c>
      <c r="AV603" s="28">
        <f t="shared" si="384"/>
        <v>0</v>
      </c>
      <c r="AW603" s="17">
        <f t="shared" si="371"/>
        <v>2</v>
      </c>
      <c r="AX603" s="28">
        <f t="shared" si="372"/>
        <v>120000</v>
      </c>
      <c r="AY603" s="17">
        <f t="shared" si="373"/>
        <v>0</v>
      </c>
      <c r="AZ603" s="28">
        <f t="shared" si="374"/>
        <v>0</v>
      </c>
      <c r="BA603" s="27">
        <f t="shared" si="359"/>
        <v>0</v>
      </c>
      <c r="BB603" s="27">
        <f t="shared" si="376"/>
        <v>0</v>
      </c>
      <c r="BC603" s="27">
        <f t="shared" si="378"/>
        <v>0</v>
      </c>
      <c r="BD603" s="27">
        <f t="shared" si="379"/>
        <v>0</v>
      </c>
      <c r="BE603" s="27">
        <f t="shared" si="380"/>
        <v>120000</v>
      </c>
      <c r="BF603" s="29">
        <f t="shared" si="358"/>
        <v>0</v>
      </c>
      <c r="BH603" s="30">
        <f t="shared" si="375"/>
        <v>0</v>
      </c>
      <c r="BM603" s="2">
        <f t="shared" si="391"/>
        <v>2</v>
      </c>
      <c r="BP603" s="2">
        <f t="shared" si="392"/>
        <v>2</v>
      </c>
    </row>
    <row r="604" spans="1:68" x14ac:dyDescent="0.25">
      <c r="A604" s="33" t="s">
        <v>618</v>
      </c>
      <c r="B604" s="23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13">
        <v>74</v>
      </c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5"/>
      <c r="AD604" s="39"/>
      <c r="AE604" s="26" t="s">
        <v>42</v>
      </c>
      <c r="AF604" s="34">
        <v>107000</v>
      </c>
      <c r="AG604" s="17">
        <f t="shared" si="366"/>
        <v>0</v>
      </c>
      <c r="AH604" s="28">
        <f t="shared" si="367"/>
        <v>0</v>
      </c>
      <c r="AI604" s="17">
        <f t="shared" si="368"/>
        <v>0</v>
      </c>
      <c r="AJ604" s="28">
        <f t="shared" si="369"/>
        <v>0</v>
      </c>
      <c r="AK604" s="17">
        <f t="shared" si="377"/>
        <v>74</v>
      </c>
      <c r="AL604" s="28">
        <f t="shared" si="370"/>
        <v>7918000</v>
      </c>
      <c r="AM604" s="17">
        <f t="shared" si="385"/>
        <v>0</v>
      </c>
      <c r="AN604" s="28">
        <f t="shared" si="357"/>
        <v>0</v>
      </c>
      <c r="AO604" s="17">
        <f t="shared" si="386"/>
        <v>0</v>
      </c>
      <c r="AP604" s="28"/>
      <c r="AQ604" s="17">
        <f t="shared" si="387"/>
        <v>0</v>
      </c>
      <c r="AR604" s="28"/>
      <c r="AS604" s="17">
        <f t="shared" si="381"/>
        <v>0</v>
      </c>
      <c r="AT604" s="28">
        <f t="shared" si="382"/>
        <v>0</v>
      </c>
      <c r="AU604" s="17">
        <f t="shared" si="383"/>
        <v>0</v>
      </c>
      <c r="AV604" s="28">
        <f t="shared" si="384"/>
        <v>0</v>
      </c>
      <c r="AW604" s="17">
        <f t="shared" si="371"/>
        <v>0</v>
      </c>
      <c r="AX604" s="28">
        <f t="shared" si="372"/>
        <v>0</v>
      </c>
      <c r="AY604" s="17">
        <f t="shared" si="373"/>
        <v>0</v>
      </c>
      <c r="AZ604" s="28">
        <f t="shared" si="374"/>
        <v>0</v>
      </c>
      <c r="BA604" s="27">
        <f t="shared" si="359"/>
        <v>0</v>
      </c>
      <c r="BB604" s="27">
        <f t="shared" si="376"/>
        <v>7918000</v>
      </c>
      <c r="BC604" s="27">
        <f t="shared" si="378"/>
        <v>0</v>
      </c>
      <c r="BD604" s="27">
        <f t="shared" si="379"/>
        <v>0</v>
      </c>
      <c r="BE604" s="27">
        <f t="shared" si="380"/>
        <v>0</v>
      </c>
      <c r="BF604" s="29">
        <f t="shared" si="358"/>
        <v>7918000</v>
      </c>
      <c r="BH604" s="30">
        <f t="shared" si="375"/>
        <v>74</v>
      </c>
    </row>
    <row r="605" spans="1:68" x14ac:dyDescent="0.25">
      <c r="A605" s="33" t="s">
        <v>619</v>
      </c>
      <c r="B605" s="23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13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5"/>
      <c r="AD605" s="39">
        <f>SUM(B605:S605)</f>
        <v>0</v>
      </c>
      <c r="AE605" s="26" t="s">
        <v>42</v>
      </c>
      <c r="AF605" s="34">
        <v>175000</v>
      </c>
      <c r="AG605" s="17">
        <f t="shared" si="366"/>
        <v>0</v>
      </c>
      <c r="AH605" s="28">
        <f t="shared" si="367"/>
        <v>0</v>
      </c>
      <c r="AI605" s="17">
        <f t="shared" si="368"/>
        <v>0</v>
      </c>
      <c r="AJ605" s="28">
        <f t="shared" si="369"/>
        <v>0</v>
      </c>
      <c r="AK605" s="17">
        <f t="shared" si="377"/>
        <v>0</v>
      </c>
      <c r="AL605" s="28">
        <f t="shared" si="370"/>
        <v>0</v>
      </c>
      <c r="AM605" s="17">
        <f t="shared" si="385"/>
        <v>0</v>
      </c>
      <c r="AN605" s="28">
        <f t="shared" si="357"/>
        <v>0</v>
      </c>
      <c r="AO605" s="17">
        <f t="shared" si="386"/>
        <v>0</v>
      </c>
      <c r="AP605" s="28">
        <f>+AO605*AF605</f>
        <v>0</v>
      </c>
      <c r="AQ605" s="17">
        <f t="shared" si="387"/>
        <v>0</v>
      </c>
      <c r="AR605" s="28">
        <f>+AQ605*AF605</f>
        <v>0</v>
      </c>
      <c r="AS605" s="17">
        <f t="shared" si="381"/>
        <v>0</v>
      </c>
      <c r="AT605" s="28">
        <f t="shared" si="382"/>
        <v>0</v>
      </c>
      <c r="AU605" s="17">
        <f t="shared" si="383"/>
        <v>0</v>
      </c>
      <c r="AV605" s="28">
        <f t="shared" si="384"/>
        <v>0</v>
      </c>
      <c r="AW605" s="17">
        <f t="shared" si="371"/>
        <v>0</v>
      </c>
      <c r="AX605" s="28">
        <f t="shared" si="372"/>
        <v>0</v>
      </c>
      <c r="AY605" s="17">
        <f t="shared" si="373"/>
        <v>0</v>
      </c>
      <c r="AZ605" s="28">
        <f t="shared" si="374"/>
        <v>0</v>
      </c>
      <c r="BA605" s="27">
        <f t="shared" si="359"/>
        <v>0</v>
      </c>
      <c r="BB605" s="27">
        <f t="shared" si="376"/>
        <v>0</v>
      </c>
      <c r="BC605" s="27">
        <f t="shared" si="378"/>
        <v>0</v>
      </c>
      <c r="BD605" s="27">
        <f t="shared" si="379"/>
        <v>0</v>
      </c>
      <c r="BE605" s="27">
        <f t="shared" si="380"/>
        <v>0</v>
      </c>
      <c r="BF605" s="29">
        <f t="shared" si="358"/>
        <v>0</v>
      </c>
      <c r="BH605" s="30">
        <f t="shared" si="375"/>
        <v>0</v>
      </c>
      <c r="BM605" s="2">
        <f>SUM(B605:S605)</f>
        <v>0</v>
      </c>
      <c r="BP605" s="2">
        <f>SUM(B605:S605)</f>
        <v>0</v>
      </c>
    </row>
    <row r="606" spans="1:68" x14ac:dyDescent="0.25">
      <c r="A606" s="33" t="s">
        <v>620</v>
      </c>
      <c r="B606" s="23"/>
      <c r="C606" s="24"/>
      <c r="D606" s="24">
        <v>4</v>
      </c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13">
        <v>173</v>
      </c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5"/>
      <c r="AD606" s="39">
        <f>SUM(B606:S606)</f>
        <v>177</v>
      </c>
      <c r="AE606" s="26" t="s">
        <v>42</v>
      </c>
      <c r="AF606" s="34">
        <v>60000</v>
      </c>
      <c r="AG606" s="17">
        <f t="shared" si="366"/>
        <v>0</v>
      </c>
      <c r="AH606" s="28">
        <f t="shared" si="367"/>
        <v>0</v>
      </c>
      <c r="AI606" s="17">
        <f t="shared" si="368"/>
        <v>0</v>
      </c>
      <c r="AJ606" s="28">
        <f t="shared" si="369"/>
        <v>0</v>
      </c>
      <c r="AK606" s="17">
        <f t="shared" si="377"/>
        <v>173</v>
      </c>
      <c r="AL606" s="28">
        <f t="shared" si="370"/>
        <v>10380000</v>
      </c>
      <c r="AM606" s="17">
        <f t="shared" si="385"/>
        <v>0</v>
      </c>
      <c r="AN606" s="28">
        <f t="shared" si="357"/>
        <v>0</v>
      </c>
      <c r="AO606" s="17">
        <f t="shared" si="386"/>
        <v>0</v>
      </c>
      <c r="AP606" s="28">
        <f>+AO606*AF606</f>
        <v>0</v>
      </c>
      <c r="AQ606" s="17">
        <f t="shared" si="387"/>
        <v>0</v>
      </c>
      <c r="AR606" s="28">
        <f>+AQ606*AF606</f>
        <v>0</v>
      </c>
      <c r="AS606" s="17">
        <f t="shared" si="381"/>
        <v>0</v>
      </c>
      <c r="AT606" s="28">
        <f t="shared" si="382"/>
        <v>0</v>
      </c>
      <c r="AU606" s="17">
        <f t="shared" si="383"/>
        <v>0</v>
      </c>
      <c r="AV606" s="28">
        <f t="shared" si="384"/>
        <v>0</v>
      </c>
      <c r="AW606" s="17">
        <f t="shared" si="371"/>
        <v>4</v>
      </c>
      <c r="AX606" s="28">
        <f t="shared" si="372"/>
        <v>240000</v>
      </c>
      <c r="AY606" s="17">
        <f t="shared" si="373"/>
        <v>0</v>
      </c>
      <c r="AZ606" s="28">
        <f t="shared" si="374"/>
        <v>0</v>
      </c>
      <c r="BA606" s="27">
        <f t="shared" si="359"/>
        <v>0</v>
      </c>
      <c r="BB606" s="27">
        <f t="shared" si="376"/>
        <v>10380000</v>
      </c>
      <c r="BC606" s="27">
        <f t="shared" si="378"/>
        <v>0</v>
      </c>
      <c r="BD606" s="27">
        <f t="shared" si="379"/>
        <v>0</v>
      </c>
      <c r="BE606" s="27">
        <f t="shared" si="380"/>
        <v>240000</v>
      </c>
      <c r="BF606" s="29">
        <f t="shared" si="358"/>
        <v>10380000</v>
      </c>
      <c r="BH606" s="30">
        <f t="shared" si="375"/>
        <v>173</v>
      </c>
      <c r="BM606" s="2">
        <f>SUM(B606:S606)</f>
        <v>177</v>
      </c>
      <c r="BP606" s="2">
        <f>SUM(B606:S606)</f>
        <v>177</v>
      </c>
    </row>
    <row r="607" spans="1:68" ht="14.45" hidden="1" customHeight="1" x14ac:dyDescent="0.25">
      <c r="A607" s="33" t="s">
        <v>621</v>
      </c>
      <c r="B607" s="23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13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5"/>
      <c r="AD607" s="25">
        <f>SUM(B607:S607)</f>
        <v>0</v>
      </c>
      <c r="AE607" s="26" t="s">
        <v>42</v>
      </c>
      <c r="AF607" s="34"/>
      <c r="AG607" s="17">
        <f t="shared" si="366"/>
        <v>0</v>
      </c>
      <c r="AH607" s="28">
        <f t="shared" si="367"/>
        <v>0</v>
      </c>
      <c r="AI607" s="17">
        <f t="shared" si="368"/>
        <v>0</v>
      </c>
      <c r="AJ607" s="28">
        <f t="shared" si="369"/>
        <v>0</v>
      </c>
      <c r="AK607" s="17">
        <f t="shared" si="377"/>
        <v>0</v>
      </c>
      <c r="AL607" s="28">
        <f t="shared" si="370"/>
        <v>0</v>
      </c>
      <c r="AM607" s="17">
        <f t="shared" si="385"/>
        <v>0</v>
      </c>
      <c r="AN607" s="28">
        <f t="shared" si="357"/>
        <v>0</v>
      </c>
      <c r="AO607" s="17">
        <f t="shared" si="386"/>
        <v>0</v>
      </c>
      <c r="AP607" s="28">
        <f>+AO607*AF607</f>
        <v>0</v>
      </c>
      <c r="AQ607" s="17">
        <f t="shared" si="387"/>
        <v>0</v>
      </c>
      <c r="AR607" s="28">
        <f>+AQ607*AF607</f>
        <v>0</v>
      </c>
      <c r="AS607" s="17">
        <f t="shared" si="381"/>
        <v>0</v>
      </c>
      <c r="AT607" s="28">
        <f t="shared" si="382"/>
        <v>0</v>
      </c>
      <c r="AU607" s="17">
        <f t="shared" si="383"/>
        <v>0</v>
      </c>
      <c r="AV607" s="28">
        <f t="shared" si="384"/>
        <v>0</v>
      </c>
      <c r="AW607" s="17">
        <f t="shared" si="371"/>
        <v>0</v>
      </c>
      <c r="AX607" s="28">
        <f t="shared" si="372"/>
        <v>0</v>
      </c>
      <c r="AY607" s="17">
        <f t="shared" si="373"/>
        <v>0</v>
      </c>
      <c r="AZ607" s="28">
        <f t="shared" si="374"/>
        <v>0</v>
      </c>
      <c r="BA607" s="27">
        <f t="shared" si="359"/>
        <v>0</v>
      </c>
      <c r="BB607" s="27">
        <f t="shared" si="376"/>
        <v>0</v>
      </c>
      <c r="BC607" s="27">
        <f t="shared" si="378"/>
        <v>0</v>
      </c>
      <c r="BD607" s="27">
        <f t="shared" si="379"/>
        <v>0</v>
      </c>
      <c r="BE607" s="27">
        <f t="shared" si="380"/>
        <v>0</v>
      </c>
      <c r="BF607" s="29">
        <f t="shared" si="358"/>
        <v>0</v>
      </c>
      <c r="BH607" s="30">
        <f t="shared" si="375"/>
        <v>0</v>
      </c>
      <c r="BM607" s="2">
        <f>SUM(B607:S607)</f>
        <v>0</v>
      </c>
      <c r="BP607" s="2">
        <f>SUM(B607:S607)</f>
        <v>0</v>
      </c>
    </row>
    <row r="608" spans="1:68" ht="14.45" hidden="1" customHeight="1" x14ac:dyDescent="0.25">
      <c r="A608" s="33" t="s">
        <v>622</v>
      </c>
      <c r="B608" s="23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13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5"/>
      <c r="AD608" s="25">
        <f>SUM(B608:S608)</f>
        <v>0</v>
      </c>
      <c r="AE608" s="26" t="s">
        <v>42</v>
      </c>
      <c r="AF608" s="34"/>
      <c r="AG608" s="17">
        <f t="shared" si="366"/>
        <v>0</v>
      </c>
      <c r="AH608" s="28">
        <f t="shared" si="367"/>
        <v>0</v>
      </c>
      <c r="AI608" s="17">
        <f t="shared" si="368"/>
        <v>0</v>
      </c>
      <c r="AJ608" s="28">
        <f t="shared" si="369"/>
        <v>0</v>
      </c>
      <c r="AK608" s="17">
        <f t="shared" si="377"/>
        <v>0</v>
      </c>
      <c r="AL608" s="28">
        <f t="shared" si="370"/>
        <v>0</v>
      </c>
      <c r="AM608" s="17">
        <f t="shared" si="385"/>
        <v>0</v>
      </c>
      <c r="AN608" s="28">
        <f t="shared" si="357"/>
        <v>0</v>
      </c>
      <c r="AO608" s="17">
        <f t="shared" si="386"/>
        <v>0</v>
      </c>
      <c r="AP608" s="28">
        <f>+AO608*AF608</f>
        <v>0</v>
      </c>
      <c r="AQ608" s="17">
        <f t="shared" si="387"/>
        <v>0</v>
      </c>
      <c r="AR608" s="28">
        <f>+AQ608*AF608</f>
        <v>0</v>
      </c>
      <c r="AS608" s="17">
        <f t="shared" si="381"/>
        <v>0</v>
      </c>
      <c r="AT608" s="28">
        <f t="shared" si="382"/>
        <v>0</v>
      </c>
      <c r="AU608" s="17">
        <f t="shared" si="383"/>
        <v>0</v>
      </c>
      <c r="AV608" s="28">
        <f t="shared" si="384"/>
        <v>0</v>
      </c>
      <c r="AW608" s="17">
        <f t="shared" si="371"/>
        <v>0</v>
      </c>
      <c r="AX608" s="28">
        <f t="shared" si="372"/>
        <v>0</v>
      </c>
      <c r="AY608" s="17">
        <f t="shared" si="373"/>
        <v>0</v>
      </c>
      <c r="AZ608" s="28">
        <f t="shared" si="374"/>
        <v>0</v>
      </c>
      <c r="BA608" s="27">
        <f t="shared" si="359"/>
        <v>0</v>
      </c>
      <c r="BB608" s="27">
        <f t="shared" si="376"/>
        <v>0</v>
      </c>
      <c r="BC608" s="27">
        <f t="shared" si="378"/>
        <v>0</v>
      </c>
      <c r="BD608" s="27">
        <f t="shared" si="379"/>
        <v>0</v>
      </c>
      <c r="BE608" s="27">
        <f t="shared" si="380"/>
        <v>0</v>
      </c>
      <c r="BF608" s="29">
        <f t="shared" si="358"/>
        <v>0</v>
      </c>
      <c r="BH608" s="30">
        <f t="shared" si="375"/>
        <v>0</v>
      </c>
      <c r="BM608" s="2">
        <f>SUM(B608:S608)</f>
        <v>0</v>
      </c>
      <c r="BP608" s="2">
        <f>SUM(B608:S608)</f>
        <v>0</v>
      </c>
    </row>
    <row r="609" spans="1:68" ht="14.45" customHeight="1" x14ac:dyDescent="0.25">
      <c r="A609" s="33" t="s">
        <v>623</v>
      </c>
      <c r="B609" s="23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13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5"/>
      <c r="AD609" s="25"/>
      <c r="AE609" s="26" t="s">
        <v>42</v>
      </c>
      <c r="AF609" s="34">
        <v>107000</v>
      </c>
      <c r="AG609" s="17">
        <f t="shared" si="366"/>
        <v>0</v>
      </c>
      <c r="AH609" s="28">
        <f t="shared" si="367"/>
        <v>0</v>
      </c>
      <c r="AI609" s="17">
        <f t="shared" si="368"/>
        <v>0</v>
      </c>
      <c r="AJ609" s="28">
        <f t="shared" si="369"/>
        <v>0</v>
      </c>
      <c r="AK609" s="17">
        <f t="shared" si="377"/>
        <v>0</v>
      </c>
      <c r="AL609" s="28">
        <f t="shared" si="370"/>
        <v>0</v>
      </c>
      <c r="AM609" s="17">
        <f t="shared" si="385"/>
        <v>0</v>
      </c>
      <c r="AN609" s="28">
        <f t="shared" si="357"/>
        <v>0</v>
      </c>
      <c r="AO609" s="17">
        <f t="shared" si="386"/>
        <v>0</v>
      </c>
      <c r="AP609" s="28"/>
      <c r="AQ609" s="17">
        <f t="shared" si="387"/>
        <v>0</v>
      </c>
      <c r="AR609" s="28"/>
      <c r="AS609" s="17">
        <f t="shared" si="381"/>
        <v>0</v>
      </c>
      <c r="AT609" s="28">
        <f t="shared" si="382"/>
        <v>0</v>
      </c>
      <c r="AU609" s="17">
        <f t="shared" si="383"/>
        <v>0</v>
      </c>
      <c r="AV609" s="28">
        <f t="shared" si="384"/>
        <v>0</v>
      </c>
      <c r="AW609" s="17">
        <f t="shared" si="371"/>
        <v>0</v>
      </c>
      <c r="AX609" s="28">
        <f t="shared" si="372"/>
        <v>0</v>
      </c>
      <c r="AY609" s="17">
        <f t="shared" si="373"/>
        <v>0</v>
      </c>
      <c r="AZ609" s="28">
        <f t="shared" si="374"/>
        <v>0</v>
      </c>
      <c r="BA609" s="27">
        <f t="shared" si="359"/>
        <v>0</v>
      </c>
      <c r="BB609" s="27">
        <f t="shared" si="376"/>
        <v>0</v>
      </c>
      <c r="BC609" s="27">
        <f t="shared" si="378"/>
        <v>0</v>
      </c>
      <c r="BD609" s="27">
        <f t="shared" si="379"/>
        <v>0</v>
      </c>
      <c r="BE609" s="27">
        <f t="shared" si="380"/>
        <v>0</v>
      </c>
      <c r="BF609" s="29">
        <f t="shared" si="358"/>
        <v>0</v>
      </c>
      <c r="BH609" s="30">
        <f t="shared" si="375"/>
        <v>0</v>
      </c>
    </row>
    <row r="610" spans="1:68" ht="14.45" customHeight="1" x14ac:dyDescent="0.25">
      <c r="A610" s="33" t="s">
        <v>624</v>
      </c>
      <c r="B610" s="23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13">
        <v>6</v>
      </c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5"/>
      <c r="AD610" s="25"/>
      <c r="AE610" s="26" t="s">
        <v>42</v>
      </c>
      <c r="AF610" s="34">
        <v>110000</v>
      </c>
      <c r="AG610" s="17">
        <f t="shared" si="366"/>
        <v>0</v>
      </c>
      <c r="AH610" s="28">
        <f t="shared" si="367"/>
        <v>0</v>
      </c>
      <c r="AI610" s="17">
        <f t="shared" si="368"/>
        <v>0</v>
      </c>
      <c r="AJ610" s="28">
        <f t="shared" si="369"/>
        <v>0</v>
      </c>
      <c r="AK610" s="17">
        <f t="shared" si="377"/>
        <v>6</v>
      </c>
      <c r="AL610" s="28">
        <f t="shared" si="370"/>
        <v>660000</v>
      </c>
      <c r="AM610" s="17">
        <f t="shared" si="385"/>
        <v>0</v>
      </c>
      <c r="AN610" s="28">
        <f t="shared" si="357"/>
        <v>0</v>
      </c>
      <c r="AO610" s="17">
        <f t="shared" si="386"/>
        <v>0</v>
      </c>
      <c r="AP610" s="28"/>
      <c r="AQ610" s="17">
        <f t="shared" si="387"/>
        <v>0</v>
      </c>
      <c r="AR610" s="28"/>
      <c r="AS610" s="17">
        <f t="shared" si="381"/>
        <v>0</v>
      </c>
      <c r="AT610" s="28">
        <f t="shared" si="382"/>
        <v>0</v>
      </c>
      <c r="AU610" s="17">
        <f t="shared" si="383"/>
        <v>0</v>
      </c>
      <c r="AV610" s="28">
        <f t="shared" si="384"/>
        <v>0</v>
      </c>
      <c r="AW610" s="17">
        <f t="shared" si="371"/>
        <v>0</v>
      </c>
      <c r="AX610" s="28">
        <f t="shared" si="372"/>
        <v>0</v>
      </c>
      <c r="AY610" s="17">
        <f t="shared" si="373"/>
        <v>0</v>
      </c>
      <c r="AZ610" s="28">
        <f t="shared" si="374"/>
        <v>0</v>
      </c>
      <c r="BA610" s="27">
        <f t="shared" si="359"/>
        <v>0</v>
      </c>
      <c r="BB610" s="27">
        <f t="shared" si="376"/>
        <v>660000</v>
      </c>
      <c r="BC610" s="27">
        <f t="shared" si="378"/>
        <v>0</v>
      </c>
      <c r="BD610" s="27">
        <f t="shared" si="379"/>
        <v>0</v>
      </c>
      <c r="BE610" s="27">
        <f t="shared" si="380"/>
        <v>0</v>
      </c>
      <c r="BF610" s="29">
        <f t="shared" si="358"/>
        <v>660000</v>
      </c>
      <c r="BH610" s="30">
        <f t="shared" si="375"/>
        <v>6</v>
      </c>
    </row>
    <row r="611" spans="1:68" x14ac:dyDescent="0.25">
      <c r="A611" s="33" t="s">
        <v>625</v>
      </c>
      <c r="B611" s="23"/>
      <c r="C611" s="24"/>
      <c r="D611" s="24"/>
      <c r="E611" s="24"/>
      <c r="F611" s="24"/>
      <c r="G611" s="24">
        <v>28</v>
      </c>
      <c r="H611" s="24"/>
      <c r="I611" s="24"/>
      <c r="J611" s="24"/>
      <c r="K611" s="24"/>
      <c r="L611" s="24"/>
      <c r="M611" s="24"/>
      <c r="N611" s="24"/>
      <c r="O611" s="13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5"/>
      <c r="AD611" s="39">
        <f t="shared" ref="AD611:AD635" si="393">SUM(B611:AB611)</f>
        <v>28</v>
      </c>
      <c r="AE611" s="26" t="s">
        <v>42</v>
      </c>
      <c r="AF611" s="27">
        <v>61577</v>
      </c>
      <c r="AG611" s="17">
        <f t="shared" si="366"/>
        <v>0</v>
      </c>
      <c r="AH611" s="28">
        <f t="shared" si="367"/>
        <v>0</v>
      </c>
      <c r="AI611" s="17">
        <f t="shared" si="368"/>
        <v>0</v>
      </c>
      <c r="AJ611" s="28">
        <f t="shared" si="369"/>
        <v>0</v>
      </c>
      <c r="AK611" s="17">
        <f t="shared" si="377"/>
        <v>28</v>
      </c>
      <c r="AL611" s="28">
        <f t="shared" si="370"/>
        <v>1724156</v>
      </c>
      <c r="AM611" s="17">
        <f t="shared" si="385"/>
        <v>0</v>
      </c>
      <c r="AN611" s="28">
        <f t="shared" si="357"/>
        <v>0</v>
      </c>
      <c r="AO611" s="17">
        <f t="shared" si="386"/>
        <v>0</v>
      </c>
      <c r="AP611" s="28">
        <f t="shared" ref="AP611:AP634" si="394">+AO611*AF611</f>
        <v>0</v>
      </c>
      <c r="AQ611" s="17">
        <f t="shared" si="387"/>
        <v>0</v>
      </c>
      <c r="AR611" s="28">
        <f t="shared" ref="AR611:AR634" si="395">+AQ611*AF611</f>
        <v>0</v>
      </c>
      <c r="AS611" s="17">
        <f t="shared" si="381"/>
        <v>0</v>
      </c>
      <c r="AT611" s="28">
        <f t="shared" si="382"/>
        <v>0</v>
      </c>
      <c r="AU611" s="17">
        <f t="shared" si="383"/>
        <v>0</v>
      </c>
      <c r="AV611" s="28">
        <f t="shared" si="384"/>
        <v>0</v>
      </c>
      <c r="AW611" s="17">
        <f t="shared" si="371"/>
        <v>0</v>
      </c>
      <c r="AX611" s="28">
        <f t="shared" si="372"/>
        <v>0</v>
      </c>
      <c r="AY611" s="17">
        <f t="shared" si="373"/>
        <v>0</v>
      </c>
      <c r="AZ611" s="28">
        <f t="shared" si="374"/>
        <v>0</v>
      </c>
      <c r="BA611" s="27">
        <f t="shared" si="359"/>
        <v>0</v>
      </c>
      <c r="BB611" s="27">
        <f t="shared" si="376"/>
        <v>1724156</v>
      </c>
      <c r="BC611" s="27">
        <f t="shared" si="378"/>
        <v>0</v>
      </c>
      <c r="BD611" s="27">
        <f t="shared" si="379"/>
        <v>0</v>
      </c>
      <c r="BE611" s="27">
        <f t="shared" si="380"/>
        <v>0</v>
      </c>
      <c r="BF611" s="29">
        <f t="shared" si="358"/>
        <v>1724156</v>
      </c>
      <c r="BH611" s="30">
        <f t="shared" si="375"/>
        <v>28</v>
      </c>
      <c r="BM611" s="2">
        <f t="shared" ref="BM611:BM634" si="396">SUM(B611:S611)</f>
        <v>28</v>
      </c>
      <c r="BP611" s="2">
        <f t="shared" ref="BP611:BP634" si="397">SUM(B611:S611)</f>
        <v>28</v>
      </c>
    </row>
    <row r="612" spans="1:68" ht="14.45" hidden="1" customHeight="1" x14ac:dyDescent="0.25">
      <c r="A612" s="33" t="s">
        <v>626</v>
      </c>
      <c r="B612" s="23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13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5"/>
      <c r="AD612" s="39">
        <f t="shared" si="393"/>
        <v>0</v>
      </c>
      <c r="AE612" s="26" t="s">
        <v>42</v>
      </c>
      <c r="AF612" s="27"/>
      <c r="AG612" s="17">
        <f t="shared" si="366"/>
        <v>0</v>
      </c>
      <c r="AH612" s="28">
        <f t="shared" si="367"/>
        <v>0</v>
      </c>
      <c r="AI612" s="17">
        <f t="shared" si="368"/>
        <v>0</v>
      </c>
      <c r="AJ612" s="28">
        <f t="shared" si="369"/>
        <v>0</v>
      </c>
      <c r="AK612" s="17">
        <f t="shared" si="377"/>
        <v>0</v>
      </c>
      <c r="AL612" s="28">
        <f t="shared" si="370"/>
        <v>0</v>
      </c>
      <c r="AM612" s="17">
        <f t="shared" si="385"/>
        <v>0</v>
      </c>
      <c r="AN612" s="28">
        <f t="shared" si="357"/>
        <v>0</v>
      </c>
      <c r="AO612" s="17">
        <f t="shared" si="386"/>
        <v>0</v>
      </c>
      <c r="AP612" s="28">
        <f t="shared" si="394"/>
        <v>0</v>
      </c>
      <c r="AQ612" s="17">
        <f t="shared" si="387"/>
        <v>0</v>
      </c>
      <c r="AR612" s="28">
        <f t="shared" si="395"/>
        <v>0</v>
      </c>
      <c r="AS612" s="17">
        <f t="shared" si="381"/>
        <v>0</v>
      </c>
      <c r="AT612" s="28">
        <f t="shared" si="382"/>
        <v>0</v>
      </c>
      <c r="AU612" s="17">
        <f t="shared" si="383"/>
        <v>0</v>
      </c>
      <c r="AV612" s="28">
        <f t="shared" si="384"/>
        <v>0</v>
      </c>
      <c r="AW612" s="17">
        <f t="shared" si="371"/>
        <v>0</v>
      </c>
      <c r="AX612" s="28">
        <f t="shared" si="372"/>
        <v>0</v>
      </c>
      <c r="AY612" s="17">
        <f t="shared" si="373"/>
        <v>0</v>
      </c>
      <c r="AZ612" s="28">
        <f t="shared" si="374"/>
        <v>0</v>
      </c>
      <c r="BA612" s="27">
        <f t="shared" si="359"/>
        <v>0</v>
      </c>
      <c r="BB612" s="27">
        <f t="shared" si="376"/>
        <v>0</v>
      </c>
      <c r="BC612" s="27">
        <f t="shared" si="378"/>
        <v>0</v>
      </c>
      <c r="BD612" s="27">
        <f t="shared" si="379"/>
        <v>0</v>
      </c>
      <c r="BE612" s="27">
        <f t="shared" si="380"/>
        <v>0</v>
      </c>
      <c r="BF612" s="29">
        <f t="shared" si="358"/>
        <v>0</v>
      </c>
      <c r="BH612" s="30">
        <f t="shared" si="375"/>
        <v>0</v>
      </c>
      <c r="BM612" s="2">
        <f t="shared" si="396"/>
        <v>0</v>
      </c>
      <c r="BP612" s="2">
        <f t="shared" si="397"/>
        <v>0</v>
      </c>
    </row>
    <row r="613" spans="1:68" ht="14.45" hidden="1" customHeight="1" x14ac:dyDescent="0.25">
      <c r="A613" s="33" t="s">
        <v>627</v>
      </c>
      <c r="B613" s="23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13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5"/>
      <c r="AD613" s="39">
        <f t="shared" si="393"/>
        <v>0</v>
      </c>
      <c r="AE613" s="26" t="s">
        <v>42</v>
      </c>
      <c r="AF613" s="27"/>
      <c r="AG613" s="17">
        <f t="shared" si="366"/>
        <v>0</v>
      </c>
      <c r="AH613" s="28">
        <f t="shared" si="367"/>
        <v>0</v>
      </c>
      <c r="AI613" s="17">
        <f t="shared" si="368"/>
        <v>0</v>
      </c>
      <c r="AJ613" s="28">
        <f t="shared" si="369"/>
        <v>0</v>
      </c>
      <c r="AK613" s="17">
        <f t="shared" si="377"/>
        <v>0</v>
      </c>
      <c r="AL613" s="28">
        <f t="shared" si="370"/>
        <v>0</v>
      </c>
      <c r="AM613" s="17">
        <f t="shared" si="385"/>
        <v>0</v>
      </c>
      <c r="AN613" s="28">
        <f t="shared" si="357"/>
        <v>0</v>
      </c>
      <c r="AO613" s="17">
        <f t="shared" si="386"/>
        <v>0</v>
      </c>
      <c r="AP613" s="28">
        <f t="shared" si="394"/>
        <v>0</v>
      </c>
      <c r="AQ613" s="17">
        <f t="shared" si="387"/>
        <v>0</v>
      </c>
      <c r="AR613" s="28">
        <f t="shared" si="395"/>
        <v>0</v>
      </c>
      <c r="AS613" s="17">
        <f t="shared" si="381"/>
        <v>0</v>
      </c>
      <c r="AT613" s="28">
        <f t="shared" si="382"/>
        <v>0</v>
      </c>
      <c r="AU613" s="17">
        <f t="shared" si="383"/>
        <v>0</v>
      </c>
      <c r="AV613" s="28">
        <f t="shared" si="384"/>
        <v>0</v>
      </c>
      <c r="AW613" s="17">
        <f t="shared" si="371"/>
        <v>0</v>
      </c>
      <c r="AX613" s="28">
        <f t="shared" si="372"/>
        <v>0</v>
      </c>
      <c r="AY613" s="17">
        <f t="shared" si="373"/>
        <v>0</v>
      </c>
      <c r="AZ613" s="28">
        <f t="shared" si="374"/>
        <v>0</v>
      </c>
      <c r="BA613" s="27">
        <f t="shared" si="359"/>
        <v>0</v>
      </c>
      <c r="BB613" s="27">
        <f t="shared" si="376"/>
        <v>0</v>
      </c>
      <c r="BC613" s="27">
        <f t="shared" si="378"/>
        <v>0</v>
      </c>
      <c r="BD613" s="27">
        <f t="shared" si="379"/>
        <v>0</v>
      </c>
      <c r="BE613" s="27">
        <f t="shared" si="380"/>
        <v>0</v>
      </c>
      <c r="BF613" s="29">
        <f t="shared" si="358"/>
        <v>0</v>
      </c>
      <c r="BH613" s="30">
        <f t="shared" si="375"/>
        <v>0</v>
      </c>
      <c r="BM613" s="2">
        <f t="shared" si="396"/>
        <v>0</v>
      </c>
      <c r="BP613" s="2">
        <f t="shared" si="397"/>
        <v>0</v>
      </c>
    </row>
    <row r="614" spans="1:68" ht="14.45" hidden="1" customHeight="1" x14ac:dyDescent="0.25">
      <c r="A614" s="33" t="s">
        <v>628</v>
      </c>
      <c r="B614" s="23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13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5"/>
      <c r="AD614" s="39">
        <f t="shared" si="393"/>
        <v>0</v>
      </c>
      <c r="AE614" s="26" t="s">
        <v>42</v>
      </c>
      <c r="AF614" s="27"/>
      <c r="AG614" s="17">
        <f t="shared" si="366"/>
        <v>0</v>
      </c>
      <c r="AH614" s="28">
        <f t="shared" si="367"/>
        <v>0</v>
      </c>
      <c r="AI614" s="17">
        <f t="shared" si="368"/>
        <v>0</v>
      </c>
      <c r="AJ614" s="28">
        <f t="shared" si="369"/>
        <v>0</v>
      </c>
      <c r="AK614" s="17">
        <f t="shared" si="377"/>
        <v>0</v>
      </c>
      <c r="AL614" s="28">
        <f t="shared" si="370"/>
        <v>0</v>
      </c>
      <c r="AM614" s="17">
        <f t="shared" si="385"/>
        <v>0</v>
      </c>
      <c r="AN614" s="28">
        <f t="shared" si="357"/>
        <v>0</v>
      </c>
      <c r="AO614" s="17">
        <f t="shared" si="386"/>
        <v>0</v>
      </c>
      <c r="AP614" s="28">
        <f t="shared" si="394"/>
        <v>0</v>
      </c>
      <c r="AQ614" s="17">
        <f t="shared" si="387"/>
        <v>0</v>
      </c>
      <c r="AR614" s="28">
        <f t="shared" si="395"/>
        <v>0</v>
      </c>
      <c r="AS614" s="17">
        <f t="shared" si="381"/>
        <v>0</v>
      </c>
      <c r="AT614" s="28">
        <f t="shared" si="382"/>
        <v>0</v>
      </c>
      <c r="AU614" s="17">
        <f t="shared" si="383"/>
        <v>0</v>
      </c>
      <c r="AV614" s="28">
        <f t="shared" si="384"/>
        <v>0</v>
      </c>
      <c r="AW614" s="17">
        <f t="shared" si="371"/>
        <v>0</v>
      </c>
      <c r="AX614" s="28">
        <f t="shared" si="372"/>
        <v>0</v>
      </c>
      <c r="AY614" s="17">
        <f t="shared" si="373"/>
        <v>0</v>
      </c>
      <c r="AZ614" s="28">
        <f t="shared" si="374"/>
        <v>0</v>
      </c>
      <c r="BA614" s="27">
        <f t="shared" si="359"/>
        <v>0</v>
      </c>
      <c r="BB614" s="27">
        <f t="shared" si="376"/>
        <v>0</v>
      </c>
      <c r="BC614" s="27">
        <f t="shared" si="378"/>
        <v>0</v>
      </c>
      <c r="BD614" s="27">
        <f t="shared" si="379"/>
        <v>0</v>
      </c>
      <c r="BE614" s="27">
        <f t="shared" si="380"/>
        <v>0</v>
      </c>
      <c r="BF614" s="29">
        <f t="shared" si="358"/>
        <v>0</v>
      </c>
      <c r="BH614" s="30">
        <f t="shared" si="375"/>
        <v>0</v>
      </c>
      <c r="BM614" s="2">
        <f t="shared" si="396"/>
        <v>0</v>
      </c>
      <c r="BP614" s="2">
        <f t="shared" si="397"/>
        <v>0</v>
      </c>
    </row>
    <row r="615" spans="1:68" ht="14.45" hidden="1" customHeight="1" x14ac:dyDescent="0.25">
      <c r="A615" s="33" t="s">
        <v>629</v>
      </c>
      <c r="B615" s="23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13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5"/>
      <c r="AD615" s="39">
        <f t="shared" si="393"/>
        <v>0</v>
      </c>
      <c r="AE615" s="26" t="s">
        <v>42</v>
      </c>
      <c r="AF615" s="27"/>
      <c r="AG615" s="17">
        <f t="shared" si="366"/>
        <v>0</v>
      </c>
      <c r="AH615" s="28">
        <f t="shared" si="367"/>
        <v>0</v>
      </c>
      <c r="AI615" s="17">
        <f t="shared" si="368"/>
        <v>0</v>
      </c>
      <c r="AJ615" s="28">
        <f t="shared" si="369"/>
        <v>0</v>
      </c>
      <c r="AK615" s="17">
        <f t="shared" si="377"/>
        <v>0</v>
      </c>
      <c r="AL615" s="28">
        <f t="shared" si="370"/>
        <v>0</v>
      </c>
      <c r="AM615" s="17">
        <f t="shared" si="385"/>
        <v>0</v>
      </c>
      <c r="AN615" s="28">
        <f t="shared" si="357"/>
        <v>0</v>
      </c>
      <c r="AO615" s="17">
        <f t="shared" si="386"/>
        <v>0</v>
      </c>
      <c r="AP615" s="28">
        <f t="shared" si="394"/>
        <v>0</v>
      </c>
      <c r="AQ615" s="17">
        <f t="shared" si="387"/>
        <v>0</v>
      </c>
      <c r="AR615" s="28">
        <f t="shared" si="395"/>
        <v>0</v>
      </c>
      <c r="AS615" s="17">
        <f t="shared" si="381"/>
        <v>0</v>
      </c>
      <c r="AT615" s="28">
        <f t="shared" si="382"/>
        <v>0</v>
      </c>
      <c r="AU615" s="17">
        <f t="shared" si="383"/>
        <v>0</v>
      </c>
      <c r="AV615" s="28">
        <f t="shared" si="384"/>
        <v>0</v>
      </c>
      <c r="AW615" s="17">
        <f t="shared" si="371"/>
        <v>0</v>
      </c>
      <c r="AX615" s="28">
        <f t="shared" si="372"/>
        <v>0</v>
      </c>
      <c r="AY615" s="17">
        <f t="shared" si="373"/>
        <v>0</v>
      </c>
      <c r="AZ615" s="28">
        <f t="shared" si="374"/>
        <v>0</v>
      </c>
      <c r="BA615" s="27">
        <f t="shared" si="359"/>
        <v>0</v>
      </c>
      <c r="BB615" s="27">
        <f t="shared" si="376"/>
        <v>0</v>
      </c>
      <c r="BC615" s="27">
        <f t="shared" si="378"/>
        <v>0</v>
      </c>
      <c r="BD615" s="27">
        <f t="shared" si="379"/>
        <v>0</v>
      </c>
      <c r="BE615" s="27">
        <f t="shared" si="380"/>
        <v>0</v>
      </c>
      <c r="BF615" s="29">
        <f t="shared" si="358"/>
        <v>0</v>
      </c>
      <c r="BH615" s="30">
        <f t="shared" si="375"/>
        <v>0</v>
      </c>
      <c r="BM615" s="2">
        <f t="shared" si="396"/>
        <v>0</v>
      </c>
      <c r="BP615" s="2">
        <f t="shared" si="397"/>
        <v>0</v>
      </c>
    </row>
    <row r="616" spans="1:68" ht="14.45" hidden="1" customHeight="1" x14ac:dyDescent="0.25">
      <c r="A616" s="33" t="s">
        <v>630</v>
      </c>
      <c r="B616" s="23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13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5"/>
      <c r="AD616" s="39">
        <f t="shared" si="393"/>
        <v>0</v>
      </c>
      <c r="AE616" s="26" t="s">
        <v>42</v>
      </c>
      <c r="AF616" s="27"/>
      <c r="AG616" s="17">
        <f t="shared" si="366"/>
        <v>0</v>
      </c>
      <c r="AH616" s="28">
        <f t="shared" si="367"/>
        <v>0</v>
      </c>
      <c r="AI616" s="17">
        <f t="shared" si="368"/>
        <v>0</v>
      </c>
      <c r="AJ616" s="28">
        <f t="shared" si="369"/>
        <v>0</v>
      </c>
      <c r="AK616" s="17">
        <f t="shared" si="377"/>
        <v>0</v>
      </c>
      <c r="AL616" s="28">
        <f t="shared" si="370"/>
        <v>0</v>
      </c>
      <c r="AM616" s="17">
        <f t="shared" si="385"/>
        <v>0</v>
      </c>
      <c r="AN616" s="28">
        <f t="shared" si="357"/>
        <v>0</v>
      </c>
      <c r="AO616" s="17">
        <f t="shared" si="386"/>
        <v>0</v>
      </c>
      <c r="AP616" s="28">
        <f t="shared" si="394"/>
        <v>0</v>
      </c>
      <c r="AQ616" s="17">
        <f t="shared" si="387"/>
        <v>0</v>
      </c>
      <c r="AR616" s="28">
        <f t="shared" si="395"/>
        <v>0</v>
      </c>
      <c r="AS616" s="17">
        <f t="shared" si="381"/>
        <v>0</v>
      </c>
      <c r="AT616" s="28">
        <f t="shared" si="382"/>
        <v>0</v>
      </c>
      <c r="AU616" s="17">
        <f t="shared" si="383"/>
        <v>0</v>
      </c>
      <c r="AV616" s="28">
        <f t="shared" si="384"/>
        <v>0</v>
      </c>
      <c r="AW616" s="17">
        <f t="shared" si="371"/>
        <v>0</v>
      </c>
      <c r="AX616" s="28">
        <f t="shared" si="372"/>
        <v>0</v>
      </c>
      <c r="AY616" s="17">
        <f t="shared" si="373"/>
        <v>0</v>
      </c>
      <c r="AZ616" s="28">
        <f t="shared" si="374"/>
        <v>0</v>
      </c>
      <c r="BA616" s="27">
        <f t="shared" si="359"/>
        <v>0</v>
      </c>
      <c r="BB616" s="27">
        <f t="shared" si="376"/>
        <v>0</v>
      </c>
      <c r="BC616" s="27">
        <f t="shared" si="378"/>
        <v>0</v>
      </c>
      <c r="BD616" s="27">
        <f t="shared" si="379"/>
        <v>0</v>
      </c>
      <c r="BE616" s="27">
        <f t="shared" si="380"/>
        <v>0</v>
      </c>
      <c r="BF616" s="29">
        <f t="shared" si="358"/>
        <v>0</v>
      </c>
      <c r="BH616" s="30">
        <f t="shared" si="375"/>
        <v>0</v>
      </c>
      <c r="BM616" s="2">
        <f t="shared" si="396"/>
        <v>0</v>
      </c>
      <c r="BP616" s="2">
        <f t="shared" si="397"/>
        <v>0</v>
      </c>
    </row>
    <row r="617" spans="1:68" ht="14.45" hidden="1" customHeight="1" x14ac:dyDescent="0.25">
      <c r="A617" s="33" t="s">
        <v>631</v>
      </c>
      <c r="B617" s="23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13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5"/>
      <c r="AD617" s="39">
        <f t="shared" si="393"/>
        <v>0</v>
      </c>
      <c r="AE617" s="26" t="s">
        <v>42</v>
      </c>
      <c r="AF617" s="27"/>
      <c r="AG617" s="17">
        <f t="shared" si="366"/>
        <v>0</v>
      </c>
      <c r="AH617" s="28">
        <f t="shared" si="367"/>
        <v>0</v>
      </c>
      <c r="AI617" s="17">
        <f t="shared" si="368"/>
        <v>0</v>
      </c>
      <c r="AJ617" s="28">
        <f t="shared" si="369"/>
        <v>0</v>
      </c>
      <c r="AK617" s="17">
        <f t="shared" si="377"/>
        <v>0</v>
      </c>
      <c r="AL617" s="28">
        <f t="shared" si="370"/>
        <v>0</v>
      </c>
      <c r="AM617" s="17">
        <f t="shared" si="385"/>
        <v>0</v>
      </c>
      <c r="AN617" s="28">
        <f t="shared" si="357"/>
        <v>0</v>
      </c>
      <c r="AO617" s="17">
        <f t="shared" si="386"/>
        <v>0</v>
      </c>
      <c r="AP617" s="28">
        <f t="shared" si="394"/>
        <v>0</v>
      </c>
      <c r="AQ617" s="17">
        <f t="shared" si="387"/>
        <v>0</v>
      </c>
      <c r="AR617" s="28">
        <f t="shared" si="395"/>
        <v>0</v>
      </c>
      <c r="AS617" s="17">
        <f t="shared" si="381"/>
        <v>0</v>
      </c>
      <c r="AT617" s="28">
        <f t="shared" si="382"/>
        <v>0</v>
      </c>
      <c r="AU617" s="17">
        <f t="shared" si="383"/>
        <v>0</v>
      </c>
      <c r="AV617" s="28">
        <f t="shared" si="384"/>
        <v>0</v>
      </c>
      <c r="AW617" s="17">
        <f t="shared" si="371"/>
        <v>0</v>
      </c>
      <c r="AX617" s="28">
        <f t="shared" si="372"/>
        <v>0</v>
      </c>
      <c r="AY617" s="17">
        <f t="shared" si="373"/>
        <v>0</v>
      </c>
      <c r="AZ617" s="28">
        <f t="shared" si="374"/>
        <v>0</v>
      </c>
      <c r="BA617" s="27">
        <f t="shared" si="359"/>
        <v>0</v>
      </c>
      <c r="BB617" s="27">
        <f t="shared" si="376"/>
        <v>0</v>
      </c>
      <c r="BC617" s="27">
        <f t="shared" si="378"/>
        <v>0</v>
      </c>
      <c r="BD617" s="27">
        <f t="shared" si="379"/>
        <v>0</v>
      </c>
      <c r="BE617" s="27">
        <f t="shared" si="380"/>
        <v>0</v>
      </c>
      <c r="BF617" s="29">
        <f t="shared" si="358"/>
        <v>0</v>
      </c>
      <c r="BH617" s="30">
        <f t="shared" si="375"/>
        <v>0</v>
      </c>
      <c r="BM617" s="2">
        <f t="shared" si="396"/>
        <v>0</v>
      </c>
      <c r="BP617" s="2">
        <f t="shared" si="397"/>
        <v>0</v>
      </c>
    </row>
    <row r="618" spans="1:68" ht="14.45" hidden="1" customHeight="1" x14ac:dyDescent="0.25">
      <c r="A618" s="33" t="s">
        <v>632</v>
      </c>
      <c r="B618" s="23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13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5"/>
      <c r="AD618" s="39">
        <f t="shared" si="393"/>
        <v>0</v>
      </c>
      <c r="AE618" s="26" t="s">
        <v>42</v>
      </c>
      <c r="AF618" s="27"/>
      <c r="AG618" s="17">
        <f t="shared" si="366"/>
        <v>0</v>
      </c>
      <c r="AH618" s="28">
        <f t="shared" si="367"/>
        <v>0</v>
      </c>
      <c r="AI618" s="17">
        <f t="shared" si="368"/>
        <v>0</v>
      </c>
      <c r="AJ618" s="28">
        <f t="shared" si="369"/>
        <v>0</v>
      </c>
      <c r="AK618" s="17">
        <f t="shared" si="377"/>
        <v>0</v>
      </c>
      <c r="AL618" s="28">
        <f t="shared" si="370"/>
        <v>0</v>
      </c>
      <c r="AM618" s="17">
        <f t="shared" si="385"/>
        <v>0</v>
      </c>
      <c r="AN618" s="28">
        <f t="shared" si="357"/>
        <v>0</v>
      </c>
      <c r="AO618" s="17">
        <f t="shared" si="386"/>
        <v>0</v>
      </c>
      <c r="AP618" s="28">
        <f t="shared" si="394"/>
        <v>0</v>
      </c>
      <c r="AQ618" s="17">
        <f t="shared" si="387"/>
        <v>0</v>
      </c>
      <c r="AR618" s="28">
        <f t="shared" si="395"/>
        <v>0</v>
      </c>
      <c r="AS618" s="17">
        <f t="shared" si="381"/>
        <v>0</v>
      </c>
      <c r="AT618" s="28">
        <f t="shared" si="382"/>
        <v>0</v>
      </c>
      <c r="AU618" s="17">
        <f t="shared" si="383"/>
        <v>0</v>
      </c>
      <c r="AV618" s="28">
        <f t="shared" si="384"/>
        <v>0</v>
      </c>
      <c r="AW618" s="17">
        <f t="shared" si="371"/>
        <v>0</v>
      </c>
      <c r="AX618" s="28">
        <f t="shared" si="372"/>
        <v>0</v>
      </c>
      <c r="AY618" s="17">
        <f t="shared" si="373"/>
        <v>0</v>
      </c>
      <c r="AZ618" s="28">
        <f t="shared" si="374"/>
        <v>0</v>
      </c>
      <c r="BA618" s="27">
        <f t="shared" si="359"/>
        <v>0</v>
      </c>
      <c r="BB618" s="27">
        <f t="shared" si="376"/>
        <v>0</v>
      </c>
      <c r="BC618" s="27">
        <f t="shared" si="378"/>
        <v>0</v>
      </c>
      <c r="BD618" s="27">
        <f t="shared" si="379"/>
        <v>0</v>
      </c>
      <c r="BE618" s="27">
        <f t="shared" si="380"/>
        <v>0</v>
      </c>
      <c r="BF618" s="29">
        <f t="shared" si="358"/>
        <v>0</v>
      </c>
      <c r="BH618" s="30">
        <f t="shared" si="375"/>
        <v>0</v>
      </c>
      <c r="BM618" s="2">
        <f t="shared" si="396"/>
        <v>0</v>
      </c>
      <c r="BP618" s="2">
        <f t="shared" si="397"/>
        <v>0</v>
      </c>
    </row>
    <row r="619" spans="1:68" ht="14.45" hidden="1" customHeight="1" x14ac:dyDescent="0.25">
      <c r="A619" s="33" t="s">
        <v>633</v>
      </c>
      <c r="B619" s="23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13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5"/>
      <c r="AD619" s="39">
        <f t="shared" si="393"/>
        <v>0</v>
      </c>
      <c r="AE619" s="26" t="s">
        <v>42</v>
      </c>
      <c r="AF619" s="27"/>
      <c r="AG619" s="17">
        <f t="shared" si="366"/>
        <v>0</v>
      </c>
      <c r="AH619" s="28">
        <f t="shared" si="367"/>
        <v>0</v>
      </c>
      <c r="AI619" s="17">
        <f t="shared" si="368"/>
        <v>0</v>
      </c>
      <c r="AJ619" s="28">
        <f t="shared" si="369"/>
        <v>0</v>
      </c>
      <c r="AK619" s="17">
        <f t="shared" si="377"/>
        <v>0</v>
      </c>
      <c r="AL619" s="28">
        <f t="shared" si="370"/>
        <v>0</v>
      </c>
      <c r="AM619" s="17">
        <f t="shared" si="385"/>
        <v>0</v>
      </c>
      <c r="AN619" s="28">
        <f t="shared" si="357"/>
        <v>0</v>
      </c>
      <c r="AO619" s="17">
        <f t="shared" si="386"/>
        <v>0</v>
      </c>
      <c r="AP619" s="28">
        <f t="shared" si="394"/>
        <v>0</v>
      </c>
      <c r="AQ619" s="17">
        <f t="shared" si="387"/>
        <v>0</v>
      </c>
      <c r="AR619" s="28">
        <f t="shared" si="395"/>
        <v>0</v>
      </c>
      <c r="AS619" s="17">
        <f t="shared" si="381"/>
        <v>0</v>
      </c>
      <c r="AT619" s="28">
        <f t="shared" si="382"/>
        <v>0</v>
      </c>
      <c r="AU619" s="17">
        <f t="shared" si="383"/>
        <v>0</v>
      </c>
      <c r="AV619" s="28">
        <f t="shared" si="384"/>
        <v>0</v>
      </c>
      <c r="AW619" s="17">
        <f t="shared" si="371"/>
        <v>0</v>
      </c>
      <c r="AX619" s="28">
        <f t="shared" si="372"/>
        <v>0</v>
      </c>
      <c r="AY619" s="17">
        <f t="shared" si="373"/>
        <v>0</v>
      </c>
      <c r="AZ619" s="28">
        <f t="shared" si="374"/>
        <v>0</v>
      </c>
      <c r="BA619" s="27">
        <f t="shared" si="359"/>
        <v>0</v>
      </c>
      <c r="BB619" s="27">
        <f t="shared" si="376"/>
        <v>0</v>
      </c>
      <c r="BC619" s="27">
        <f t="shared" si="378"/>
        <v>0</v>
      </c>
      <c r="BD619" s="27">
        <f t="shared" si="379"/>
        <v>0</v>
      </c>
      <c r="BE619" s="27">
        <f t="shared" si="380"/>
        <v>0</v>
      </c>
      <c r="BF619" s="29">
        <f t="shared" si="358"/>
        <v>0</v>
      </c>
      <c r="BH619" s="30">
        <f t="shared" si="375"/>
        <v>0</v>
      </c>
      <c r="BM619" s="2">
        <f t="shared" si="396"/>
        <v>0</v>
      </c>
      <c r="BP619" s="2">
        <f t="shared" si="397"/>
        <v>0</v>
      </c>
    </row>
    <row r="620" spans="1:68" ht="14.45" hidden="1" customHeight="1" x14ac:dyDescent="0.25">
      <c r="A620" s="33" t="s">
        <v>632</v>
      </c>
      <c r="B620" s="23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13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5"/>
      <c r="AD620" s="39">
        <f t="shared" si="393"/>
        <v>0</v>
      </c>
      <c r="AE620" s="26" t="s">
        <v>42</v>
      </c>
      <c r="AF620" s="27"/>
      <c r="AG620" s="17">
        <f t="shared" si="366"/>
        <v>0</v>
      </c>
      <c r="AH620" s="28">
        <f t="shared" si="367"/>
        <v>0</v>
      </c>
      <c r="AI620" s="17">
        <f t="shared" si="368"/>
        <v>0</v>
      </c>
      <c r="AJ620" s="28">
        <f t="shared" si="369"/>
        <v>0</v>
      </c>
      <c r="AK620" s="17">
        <f t="shared" si="377"/>
        <v>0</v>
      </c>
      <c r="AL620" s="28">
        <f t="shared" si="370"/>
        <v>0</v>
      </c>
      <c r="AM620" s="17">
        <f t="shared" si="385"/>
        <v>0</v>
      </c>
      <c r="AN620" s="28">
        <f t="shared" si="357"/>
        <v>0</v>
      </c>
      <c r="AO620" s="17">
        <f t="shared" si="386"/>
        <v>0</v>
      </c>
      <c r="AP620" s="28">
        <f t="shared" si="394"/>
        <v>0</v>
      </c>
      <c r="AQ620" s="17">
        <f t="shared" si="387"/>
        <v>0</v>
      </c>
      <c r="AR620" s="28">
        <f t="shared" si="395"/>
        <v>0</v>
      </c>
      <c r="AS620" s="17">
        <f t="shared" si="381"/>
        <v>0</v>
      </c>
      <c r="AT620" s="28">
        <f t="shared" si="382"/>
        <v>0</v>
      </c>
      <c r="AU620" s="17">
        <f t="shared" si="383"/>
        <v>0</v>
      </c>
      <c r="AV620" s="28">
        <f t="shared" si="384"/>
        <v>0</v>
      </c>
      <c r="AW620" s="17">
        <f t="shared" si="371"/>
        <v>0</v>
      </c>
      <c r="AX620" s="28">
        <f t="shared" si="372"/>
        <v>0</v>
      </c>
      <c r="AY620" s="17">
        <f t="shared" si="373"/>
        <v>0</v>
      </c>
      <c r="AZ620" s="28">
        <f t="shared" si="374"/>
        <v>0</v>
      </c>
      <c r="BA620" s="27">
        <f t="shared" si="359"/>
        <v>0</v>
      </c>
      <c r="BB620" s="27">
        <f t="shared" si="376"/>
        <v>0</v>
      </c>
      <c r="BC620" s="27">
        <f t="shared" si="378"/>
        <v>0</v>
      </c>
      <c r="BD620" s="27">
        <f t="shared" si="379"/>
        <v>0</v>
      </c>
      <c r="BE620" s="27">
        <f t="shared" si="380"/>
        <v>0</v>
      </c>
      <c r="BF620" s="29">
        <f t="shared" si="358"/>
        <v>0</v>
      </c>
      <c r="BH620" s="30">
        <f t="shared" si="375"/>
        <v>0</v>
      </c>
      <c r="BM620" s="2">
        <f t="shared" si="396"/>
        <v>0</v>
      </c>
      <c r="BP620" s="2">
        <f t="shared" si="397"/>
        <v>0</v>
      </c>
    </row>
    <row r="621" spans="1:68" ht="14.45" hidden="1" customHeight="1" x14ac:dyDescent="0.25">
      <c r="A621" s="33" t="s">
        <v>633</v>
      </c>
      <c r="B621" s="23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13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5"/>
      <c r="AD621" s="39">
        <f t="shared" si="393"/>
        <v>0</v>
      </c>
      <c r="AE621" s="26" t="s">
        <v>42</v>
      </c>
      <c r="AF621" s="27"/>
      <c r="AG621" s="17">
        <f t="shared" si="366"/>
        <v>0</v>
      </c>
      <c r="AH621" s="28">
        <f t="shared" si="367"/>
        <v>0</v>
      </c>
      <c r="AI621" s="17">
        <f t="shared" si="368"/>
        <v>0</v>
      </c>
      <c r="AJ621" s="28">
        <f t="shared" si="369"/>
        <v>0</v>
      </c>
      <c r="AK621" s="17">
        <f t="shared" si="377"/>
        <v>0</v>
      </c>
      <c r="AL621" s="28">
        <f t="shared" si="370"/>
        <v>0</v>
      </c>
      <c r="AM621" s="17">
        <f t="shared" si="385"/>
        <v>0</v>
      </c>
      <c r="AN621" s="28">
        <f t="shared" si="357"/>
        <v>0</v>
      </c>
      <c r="AO621" s="17">
        <f t="shared" si="386"/>
        <v>0</v>
      </c>
      <c r="AP621" s="28">
        <f t="shared" si="394"/>
        <v>0</v>
      </c>
      <c r="AQ621" s="17">
        <f t="shared" si="387"/>
        <v>0</v>
      </c>
      <c r="AR621" s="28">
        <f t="shared" si="395"/>
        <v>0</v>
      </c>
      <c r="AS621" s="17">
        <f t="shared" si="381"/>
        <v>0</v>
      </c>
      <c r="AT621" s="28">
        <f t="shared" si="382"/>
        <v>0</v>
      </c>
      <c r="AU621" s="17">
        <f t="shared" si="383"/>
        <v>0</v>
      </c>
      <c r="AV621" s="28">
        <f t="shared" si="384"/>
        <v>0</v>
      </c>
      <c r="AW621" s="17">
        <f t="shared" si="371"/>
        <v>0</v>
      </c>
      <c r="AX621" s="28">
        <f t="shared" si="372"/>
        <v>0</v>
      </c>
      <c r="AY621" s="17">
        <f t="shared" si="373"/>
        <v>0</v>
      </c>
      <c r="AZ621" s="28">
        <f t="shared" si="374"/>
        <v>0</v>
      </c>
      <c r="BA621" s="27">
        <f t="shared" si="359"/>
        <v>0</v>
      </c>
      <c r="BB621" s="27">
        <f t="shared" si="376"/>
        <v>0</v>
      </c>
      <c r="BC621" s="27">
        <f t="shared" si="378"/>
        <v>0</v>
      </c>
      <c r="BD621" s="27">
        <f t="shared" si="379"/>
        <v>0</v>
      </c>
      <c r="BE621" s="27">
        <f t="shared" si="380"/>
        <v>0</v>
      </c>
      <c r="BF621" s="29">
        <f t="shared" si="358"/>
        <v>0</v>
      </c>
      <c r="BH621" s="30">
        <f t="shared" si="375"/>
        <v>0</v>
      </c>
      <c r="BM621" s="2">
        <f t="shared" si="396"/>
        <v>0</v>
      </c>
      <c r="BP621" s="2">
        <f t="shared" si="397"/>
        <v>0</v>
      </c>
    </row>
    <row r="622" spans="1:68" ht="14.45" hidden="1" customHeight="1" x14ac:dyDescent="0.25">
      <c r="A622" s="33"/>
      <c r="B622" s="23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13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5"/>
      <c r="AD622" s="39">
        <f t="shared" si="393"/>
        <v>0</v>
      </c>
      <c r="AE622" s="26" t="s">
        <v>42</v>
      </c>
      <c r="AF622" s="27"/>
      <c r="AG622" s="17">
        <f t="shared" si="366"/>
        <v>0</v>
      </c>
      <c r="AH622" s="28">
        <f t="shared" si="367"/>
        <v>0</v>
      </c>
      <c r="AI622" s="17">
        <f t="shared" si="368"/>
        <v>0</v>
      </c>
      <c r="AJ622" s="28">
        <f t="shared" si="369"/>
        <v>0</v>
      </c>
      <c r="AK622" s="17">
        <f t="shared" si="377"/>
        <v>0</v>
      </c>
      <c r="AL622" s="28">
        <f t="shared" si="370"/>
        <v>0</v>
      </c>
      <c r="AM622" s="17">
        <f t="shared" si="385"/>
        <v>0</v>
      </c>
      <c r="AN622" s="28">
        <f t="shared" si="357"/>
        <v>0</v>
      </c>
      <c r="AO622" s="17">
        <f t="shared" si="386"/>
        <v>0</v>
      </c>
      <c r="AP622" s="28">
        <f t="shared" si="394"/>
        <v>0</v>
      </c>
      <c r="AQ622" s="17">
        <f t="shared" si="387"/>
        <v>0</v>
      </c>
      <c r="AR622" s="28">
        <f t="shared" si="395"/>
        <v>0</v>
      </c>
      <c r="AS622" s="17">
        <f t="shared" si="381"/>
        <v>0</v>
      </c>
      <c r="AT622" s="28">
        <f t="shared" si="382"/>
        <v>0</v>
      </c>
      <c r="AU622" s="17">
        <f t="shared" si="383"/>
        <v>0</v>
      </c>
      <c r="AV622" s="28">
        <f t="shared" si="384"/>
        <v>0</v>
      </c>
      <c r="AW622" s="17">
        <f t="shared" si="371"/>
        <v>0</v>
      </c>
      <c r="AX622" s="28">
        <f t="shared" si="372"/>
        <v>0</v>
      </c>
      <c r="AY622" s="17">
        <f t="shared" si="373"/>
        <v>0</v>
      </c>
      <c r="AZ622" s="28">
        <f t="shared" si="374"/>
        <v>0</v>
      </c>
      <c r="BA622" s="27">
        <f t="shared" si="359"/>
        <v>0</v>
      </c>
      <c r="BB622" s="27">
        <f t="shared" si="376"/>
        <v>0</v>
      </c>
      <c r="BC622" s="27">
        <f t="shared" si="378"/>
        <v>0</v>
      </c>
      <c r="BD622" s="27">
        <f t="shared" si="379"/>
        <v>0</v>
      </c>
      <c r="BE622" s="27">
        <f t="shared" si="380"/>
        <v>0</v>
      </c>
      <c r="BF622" s="29">
        <f t="shared" si="358"/>
        <v>0</v>
      </c>
      <c r="BH622" s="30">
        <f t="shared" si="375"/>
        <v>0</v>
      </c>
      <c r="BM622" s="2">
        <f t="shared" si="396"/>
        <v>0</v>
      </c>
      <c r="BP622" s="2">
        <f t="shared" si="397"/>
        <v>0</v>
      </c>
    </row>
    <row r="623" spans="1:68" ht="14.45" hidden="1" customHeight="1" x14ac:dyDescent="0.25">
      <c r="A623" s="33" t="s">
        <v>634</v>
      </c>
      <c r="B623" s="23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13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5"/>
      <c r="AD623" s="39">
        <f t="shared" si="393"/>
        <v>0</v>
      </c>
      <c r="AE623" s="26" t="s">
        <v>42</v>
      </c>
      <c r="AF623" s="27"/>
      <c r="AG623" s="17">
        <f t="shared" si="366"/>
        <v>0</v>
      </c>
      <c r="AH623" s="28">
        <f t="shared" si="367"/>
        <v>0</v>
      </c>
      <c r="AI623" s="17">
        <f t="shared" si="368"/>
        <v>0</v>
      </c>
      <c r="AJ623" s="28">
        <f t="shared" si="369"/>
        <v>0</v>
      </c>
      <c r="AK623" s="17">
        <f t="shared" si="377"/>
        <v>0</v>
      </c>
      <c r="AL623" s="28">
        <f t="shared" si="370"/>
        <v>0</v>
      </c>
      <c r="AM623" s="17">
        <f t="shared" si="385"/>
        <v>0</v>
      </c>
      <c r="AN623" s="28">
        <f t="shared" si="357"/>
        <v>0</v>
      </c>
      <c r="AO623" s="17">
        <f t="shared" si="386"/>
        <v>0</v>
      </c>
      <c r="AP623" s="28">
        <f t="shared" si="394"/>
        <v>0</v>
      </c>
      <c r="AQ623" s="17">
        <f t="shared" si="387"/>
        <v>0</v>
      </c>
      <c r="AR623" s="28">
        <f t="shared" si="395"/>
        <v>0</v>
      </c>
      <c r="AS623" s="17">
        <f t="shared" si="381"/>
        <v>0</v>
      </c>
      <c r="AT623" s="28">
        <f t="shared" si="382"/>
        <v>0</v>
      </c>
      <c r="AU623" s="17">
        <f t="shared" si="383"/>
        <v>0</v>
      </c>
      <c r="AV623" s="28">
        <f t="shared" si="384"/>
        <v>0</v>
      </c>
      <c r="AW623" s="17">
        <f t="shared" si="371"/>
        <v>0</v>
      </c>
      <c r="AX623" s="28">
        <f t="shared" si="372"/>
        <v>0</v>
      </c>
      <c r="AY623" s="17">
        <f t="shared" si="373"/>
        <v>0</v>
      </c>
      <c r="AZ623" s="28">
        <f t="shared" si="374"/>
        <v>0</v>
      </c>
      <c r="BA623" s="27">
        <f t="shared" si="359"/>
        <v>0</v>
      </c>
      <c r="BB623" s="27">
        <f t="shared" si="376"/>
        <v>0</v>
      </c>
      <c r="BC623" s="27">
        <f t="shared" si="378"/>
        <v>0</v>
      </c>
      <c r="BD623" s="27">
        <f t="shared" si="379"/>
        <v>0</v>
      </c>
      <c r="BE623" s="27">
        <f t="shared" si="380"/>
        <v>0</v>
      </c>
      <c r="BF623" s="29">
        <f t="shared" si="358"/>
        <v>0</v>
      </c>
      <c r="BH623" s="30">
        <f t="shared" si="375"/>
        <v>0</v>
      </c>
      <c r="BM623" s="2">
        <f t="shared" si="396"/>
        <v>0</v>
      </c>
      <c r="BP623" s="2">
        <f t="shared" si="397"/>
        <v>0</v>
      </c>
    </row>
    <row r="624" spans="1:68" ht="14.45" hidden="1" customHeight="1" x14ac:dyDescent="0.25">
      <c r="A624" s="33" t="s">
        <v>635</v>
      </c>
      <c r="B624" s="23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13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5"/>
      <c r="AD624" s="39">
        <f t="shared" si="393"/>
        <v>0</v>
      </c>
      <c r="AE624" s="26" t="s">
        <v>42</v>
      </c>
      <c r="AF624" s="27"/>
      <c r="AG624" s="17">
        <f t="shared" si="366"/>
        <v>0</v>
      </c>
      <c r="AH624" s="28">
        <f t="shared" si="367"/>
        <v>0</v>
      </c>
      <c r="AI624" s="17">
        <f t="shared" si="368"/>
        <v>0</v>
      </c>
      <c r="AJ624" s="28">
        <f t="shared" si="369"/>
        <v>0</v>
      </c>
      <c r="AK624" s="17">
        <f t="shared" si="377"/>
        <v>0</v>
      </c>
      <c r="AL624" s="28">
        <f t="shared" si="370"/>
        <v>0</v>
      </c>
      <c r="AM624" s="17">
        <f t="shared" si="385"/>
        <v>0</v>
      </c>
      <c r="AN624" s="28">
        <f t="shared" si="357"/>
        <v>0</v>
      </c>
      <c r="AO624" s="17">
        <f t="shared" si="386"/>
        <v>0</v>
      </c>
      <c r="AP624" s="28">
        <f t="shared" si="394"/>
        <v>0</v>
      </c>
      <c r="AQ624" s="17">
        <f t="shared" si="387"/>
        <v>0</v>
      </c>
      <c r="AR624" s="28">
        <f t="shared" si="395"/>
        <v>0</v>
      </c>
      <c r="AS624" s="17">
        <f t="shared" si="381"/>
        <v>0</v>
      </c>
      <c r="AT624" s="28">
        <f t="shared" si="382"/>
        <v>0</v>
      </c>
      <c r="AU624" s="17">
        <f t="shared" si="383"/>
        <v>0</v>
      </c>
      <c r="AV624" s="28">
        <f t="shared" si="384"/>
        <v>0</v>
      </c>
      <c r="AW624" s="17">
        <f t="shared" si="371"/>
        <v>0</v>
      </c>
      <c r="AX624" s="28">
        <f t="shared" si="372"/>
        <v>0</v>
      </c>
      <c r="AY624" s="17">
        <f t="shared" si="373"/>
        <v>0</v>
      </c>
      <c r="AZ624" s="28">
        <f t="shared" si="374"/>
        <v>0</v>
      </c>
      <c r="BA624" s="27">
        <f t="shared" si="359"/>
        <v>0</v>
      </c>
      <c r="BB624" s="27">
        <f t="shared" si="376"/>
        <v>0</v>
      </c>
      <c r="BC624" s="27">
        <f t="shared" si="378"/>
        <v>0</v>
      </c>
      <c r="BD624" s="27">
        <f t="shared" si="379"/>
        <v>0</v>
      </c>
      <c r="BE624" s="27">
        <f t="shared" si="380"/>
        <v>0</v>
      </c>
      <c r="BF624" s="29">
        <f t="shared" si="358"/>
        <v>0</v>
      </c>
      <c r="BH624" s="30">
        <f t="shared" si="375"/>
        <v>0</v>
      </c>
      <c r="BM624" s="2">
        <f t="shared" si="396"/>
        <v>0</v>
      </c>
      <c r="BP624" s="2">
        <f t="shared" si="397"/>
        <v>0</v>
      </c>
    </row>
    <row r="625" spans="1:68" ht="14.45" hidden="1" customHeight="1" x14ac:dyDescent="0.25">
      <c r="A625" s="33" t="s">
        <v>636</v>
      </c>
      <c r="B625" s="23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13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5"/>
      <c r="AD625" s="39">
        <f t="shared" si="393"/>
        <v>0</v>
      </c>
      <c r="AE625" s="26" t="s">
        <v>42</v>
      </c>
      <c r="AF625" s="27"/>
      <c r="AG625" s="17">
        <f t="shared" si="366"/>
        <v>0</v>
      </c>
      <c r="AH625" s="28">
        <f t="shared" si="367"/>
        <v>0</v>
      </c>
      <c r="AI625" s="17">
        <f t="shared" si="368"/>
        <v>0</v>
      </c>
      <c r="AJ625" s="28">
        <f t="shared" si="369"/>
        <v>0</v>
      </c>
      <c r="AK625" s="17">
        <f t="shared" si="377"/>
        <v>0</v>
      </c>
      <c r="AL625" s="28">
        <f t="shared" si="370"/>
        <v>0</v>
      </c>
      <c r="AM625" s="17">
        <f t="shared" si="385"/>
        <v>0</v>
      </c>
      <c r="AN625" s="28">
        <f t="shared" ref="AN625:AN688" si="398">+AM625*AF625</f>
        <v>0</v>
      </c>
      <c r="AO625" s="17">
        <f t="shared" si="386"/>
        <v>0</v>
      </c>
      <c r="AP625" s="28">
        <f t="shared" si="394"/>
        <v>0</v>
      </c>
      <c r="AQ625" s="17">
        <f t="shared" si="387"/>
        <v>0</v>
      </c>
      <c r="AR625" s="28">
        <f t="shared" si="395"/>
        <v>0</v>
      </c>
      <c r="AS625" s="17">
        <f t="shared" si="381"/>
        <v>0</v>
      </c>
      <c r="AT625" s="28">
        <f t="shared" si="382"/>
        <v>0</v>
      </c>
      <c r="AU625" s="17">
        <f t="shared" si="383"/>
        <v>0</v>
      </c>
      <c r="AV625" s="28">
        <f t="shared" si="384"/>
        <v>0</v>
      </c>
      <c r="AW625" s="17">
        <f t="shared" si="371"/>
        <v>0</v>
      </c>
      <c r="AX625" s="28">
        <f t="shared" si="372"/>
        <v>0</v>
      </c>
      <c r="AY625" s="17">
        <f t="shared" si="373"/>
        <v>0</v>
      </c>
      <c r="AZ625" s="28">
        <f t="shared" si="374"/>
        <v>0</v>
      </c>
      <c r="BA625" s="27">
        <f t="shared" si="359"/>
        <v>0</v>
      </c>
      <c r="BB625" s="27">
        <f t="shared" si="376"/>
        <v>0</v>
      </c>
      <c r="BC625" s="27">
        <f t="shared" si="378"/>
        <v>0</v>
      </c>
      <c r="BD625" s="27">
        <f t="shared" si="379"/>
        <v>0</v>
      </c>
      <c r="BE625" s="27">
        <f t="shared" si="380"/>
        <v>0</v>
      </c>
      <c r="BF625" s="29">
        <f t="shared" si="358"/>
        <v>0</v>
      </c>
      <c r="BH625" s="30">
        <f t="shared" si="375"/>
        <v>0</v>
      </c>
      <c r="BM625" s="2">
        <f t="shared" si="396"/>
        <v>0</v>
      </c>
      <c r="BP625" s="2">
        <f t="shared" si="397"/>
        <v>0</v>
      </c>
    </row>
    <row r="626" spans="1:68" ht="14.45" hidden="1" customHeight="1" x14ac:dyDescent="0.25">
      <c r="A626" s="33" t="s">
        <v>637</v>
      </c>
      <c r="B626" s="23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13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5"/>
      <c r="AD626" s="39">
        <f t="shared" si="393"/>
        <v>0</v>
      </c>
      <c r="AE626" s="26" t="s">
        <v>42</v>
      </c>
      <c r="AF626" s="27"/>
      <c r="AG626" s="17">
        <f t="shared" si="366"/>
        <v>0</v>
      </c>
      <c r="AH626" s="28">
        <f t="shared" si="367"/>
        <v>0</v>
      </c>
      <c r="AI626" s="17">
        <f t="shared" si="368"/>
        <v>0</v>
      </c>
      <c r="AJ626" s="28">
        <f t="shared" si="369"/>
        <v>0</v>
      </c>
      <c r="AK626" s="17">
        <f t="shared" si="377"/>
        <v>0</v>
      </c>
      <c r="AL626" s="28">
        <f t="shared" si="370"/>
        <v>0</v>
      </c>
      <c r="AM626" s="17">
        <f t="shared" si="385"/>
        <v>0</v>
      </c>
      <c r="AN626" s="28">
        <f t="shared" si="398"/>
        <v>0</v>
      </c>
      <c r="AO626" s="17">
        <f t="shared" si="386"/>
        <v>0</v>
      </c>
      <c r="AP626" s="28">
        <f t="shared" si="394"/>
        <v>0</v>
      </c>
      <c r="AQ626" s="17">
        <f t="shared" si="387"/>
        <v>0</v>
      </c>
      <c r="AR626" s="28">
        <f t="shared" si="395"/>
        <v>0</v>
      </c>
      <c r="AS626" s="17">
        <f t="shared" si="381"/>
        <v>0</v>
      </c>
      <c r="AT626" s="28">
        <f t="shared" si="382"/>
        <v>0</v>
      </c>
      <c r="AU626" s="17">
        <f t="shared" si="383"/>
        <v>0</v>
      </c>
      <c r="AV626" s="28">
        <f t="shared" si="384"/>
        <v>0</v>
      </c>
      <c r="AW626" s="17">
        <f t="shared" si="371"/>
        <v>0</v>
      </c>
      <c r="AX626" s="28">
        <f t="shared" si="372"/>
        <v>0</v>
      </c>
      <c r="AY626" s="17">
        <f t="shared" si="373"/>
        <v>0</v>
      </c>
      <c r="AZ626" s="28">
        <f t="shared" si="374"/>
        <v>0</v>
      </c>
      <c r="BA626" s="27">
        <f t="shared" si="359"/>
        <v>0</v>
      </c>
      <c r="BB626" s="27">
        <f t="shared" si="376"/>
        <v>0</v>
      </c>
      <c r="BC626" s="27">
        <f t="shared" si="378"/>
        <v>0</v>
      </c>
      <c r="BD626" s="27">
        <f t="shared" si="379"/>
        <v>0</v>
      </c>
      <c r="BE626" s="27">
        <f t="shared" si="380"/>
        <v>0</v>
      </c>
      <c r="BF626" s="29">
        <f t="shared" si="358"/>
        <v>0</v>
      </c>
      <c r="BH626" s="30">
        <f t="shared" si="375"/>
        <v>0</v>
      </c>
      <c r="BM626" s="2">
        <f t="shared" si="396"/>
        <v>0</v>
      </c>
      <c r="BP626" s="2">
        <f t="shared" si="397"/>
        <v>0</v>
      </c>
    </row>
    <row r="627" spans="1:68" ht="14.45" hidden="1" customHeight="1" x14ac:dyDescent="0.25">
      <c r="A627" s="33" t="s">
        <v>638</v>
      </c>
      <c r="B627" s="23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13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5"/>
      <c r="AD627" s="39">
        <f t="shared" si="393"/>
        <v>0</v>
      </c>
      <c r="AE627" s="26" t="s">
        <v>42</v>
      </c>
      <c r="AF627" s="27"/>
      <c r="AG627" s="17">
        <f t="shared" si="366"/>
        <v>0</v>
      </c>
      <c r="AH627" s="28">
        <f t="shared" si="367"/>
        <v>0</v>
      </c>
      <c r="AI627" s="17">
        <f t="shared" si="368"/>
        <v>0</v>
      </c>
      <c r="AJ627" s="28">
        <f t="shared" si="369"/>
        <v>0</v>
      </c>
      <c r="AK627" s="17">
        <f t="shared" si="377"/>
        <v>0</v>
      </c>
      <c r="AL627" s="28">
        <f t="shared" si="370"/>
        <v>0</v>
      </c>
      <c r="AM627" s="17">
        <f t="shared" si="385"/>
        <v>0</v>
      </c>
      <c r="AN627" s="28">
        <f t="shared" si="398"/>
        <v>0</v>
      </c>
      <c r="AO627" s="17">
        <f t="shared" si="386"/>
        <v>0</v>
      </c>
      <c r="AP627" s="28">
        <f t="shared" si="394"/>
        <v>0</v>
      </c>
      <c r="AQ627" s="17">
        <f t="shared" si="387"/>
        <v>0</v>
      </c>
      <c r="AR627" s="28">
        <f t="shared" si="395"/>
        <v>0</v>
      </c>
      <c r="AS627" s="17">
        <f t="shared" si="381"/>
        <v>0</v>
      </c>
      <c r="AT627" s="28">
        <f t="shared" si="382"/>
        <v>0</v>
      </c>
      <c r="AU627" s="17">
        <f t="shared" si="383"/>
        <v>0</v>
      </c>
      <c r="AV627" s="28">
        <f t="shared" si="384"/>
        <v>0</v>
      </c>
      <c r="AW627" s="17">
        <f t="shared" si="371"/>
        <v>0</v>
      </c>
      <c r="AX627" s="28">
        <f t="shared" si="372"/>
        <v>0</v>
      </c>
      <c r="AY627" s="17">
        <f t="shared" si="373"/>
        <v>0</v>
      </c>
      <c r="AZ627" s="28">
        <f t="shared" si="374"/>
        <v>0</v>
      </c>
      <c r="BA627" s="27">
        <f t="shared" si="359"/>
        <v>0</v>
      </c>
      <c r="BB627" s="27">
        <f t="shared" si="376"/>
        <v>0</v>
      </c>
      <c r="BC627" s="27">
        <f t="shared" si="378"/>
        <v>0</v>
      </c>
      <c r="BD627" s="27">
        <f t="shared" si="379"/>
        <v>0</v>
      </c>
      <c r="BE627" s="27">
        <f t="shared" si="380"/>
        <v>0</v>
      </c>
      <c r="BF627" s="29">
        <f t="shared" si="358"/>
        <v>0</v>
      </c>
      <c r="BH627" s="30">
        <f t="shared" si="375"/>
        <v>0</v>
      </c>
      <c r="BM627" s="2">
        <f t="shared" si="396"/>
        <v>0</v>
      </c>
      <c r="BP627" s="2">
        <f t="shared" si="397"/>
        <v>0</v>
      </c>
    </row>
    <row r="628" spans="1:68" ht="14.45" hidden="1" customHeight="1" x14ac:dyDescent="0.25">
      <c r="A628" s="33" t="s">
        <v>639</v>
      </c>
      <c r="B628" s="23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13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5"/>
      <c r="AD628" s="39">
        <f t="shared" si="393"/>
        <v>0</v>
      </c>
      <c r="AE628" s="26" t="s">
        <v>42</v>
      </c>
      <c r="AF628" s="27"/>
      <c r="AG628" s="17">
        <f t="shared" si="366"/>
        <v>0</v>
      </c>
      <c r="AH628" s="28">
        <f t="shared" si="367"/>
        <v>0</v>
      </c>
      <c r="AI628" s="17">
        <f t="shared" si="368"/>
        <v>0</v>
      </c>
      <c r="AJ628" s="28">
        <f t="shared" si="369"/>
        <v>0</v>
      </c>
      <c r="AK628" s="17">
        <f t="shared" si="377"/>
        <v>0</v>
      </c>
      <c r="AL628" s="28">
        <f t="shared" si="370"/>
        <v>0</v>
      </c>
      <c r="AM628" s="17">
        <f t="shared" si="385"/>
        <v>0</v>
      </c>
      <c r="AN628" s="28">
        <f t="shared" si="398"/>
        <v>0</v>
      </c>
      <c r="AO628" s="17">
        <f t="shared" si="386"/>
        <v>0</v>
      </c>
      <c r="AP628" s="28">
        <f t="shared" si="394"/>
        <v>0</v>
      </c>
      <c r="AQ628" s="17">
        <f t="shared" si="387"/>
        <v>0</v>
      </c>
      <c r="AR628" s="28">
        <f t="shared" si="395"/>
        <v>0</v>
      </c>
      <c r="AS628" s="17">
        <f t="shared" si="381"/>
        <v>0</v>
      </c>
      <c r="AT628" s="28">
        <f t="shared" si="382"/>
        <v>0</v>
      </c>
      <c r="AU628" s="17">
        <f t="shared" si="383"/>
        <v>0</v>
      </c>
      <c r="AV628" s="28">
        <f t="shared" si="384"/>
        <v>0</v>
      </c>
      <c r="AW628" s="17">
        <f t="shared" si="371"/>
        <v>0</v>
      </c>
      <c r="AX628" s="28">
        <f t="shared" si="372"/>
        <v>0</v>
      </c>
      <c r="AY628" s="17">
        <f t="shared" si="373"/>
        <v>0</v>
      </c>
      <c r="AZ628" s="28">
        <f t="shared" si="374"/>
        <v>0</v>
      </c>
      <c r="BA628" s="27">
        <f t="shared" si="359"/>
        <v>0</v>
      </c>
      <c r="BB628" s="27">
        <f t="shared" si="376"/>
        <v>0</v>
      </c>
      <c r="BC628" s="27">
        <f t="shared" si="378"/>
        <v>0</v>
      </c>
      <c r="BD628" s="27">
        <f t="shared" si="379"/>
        <v>0</v>
      </c>
      <c r="BE628" s="27">
        <f t="shared" si="380"/>
        <v>0</v>
      </c>
      <c r="BF628" s="29">
        <f t="shared" ref="BF628:BF691" si="399">+BB628+BA628*5%+BD628*30%</f>
        <v>0</v>
      </c>
      <c r="BH628" s="30">
        <f t="shared" si="375"/>
        <v>0</v>
      </c>
      <c r="BM628" s="2">
        <f t="shared" si="396"/>
        <v>0</v>
      </c>
      <c r="BP628" s="2">
        <f t="shared" si="397"/>
        <v>0</v>
      </c>
    </row>
    <row r="629" spans="1:68" ht="14.45" hidden="1" customHeight="1" x14ac:dyDescent="0.25">
      <c r="A629" s="33" t="s">
        <v>640</v>
      </c>
      <c r="B629" s="23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13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5"/>
      <c r="AD629" s="39">
        <f t="shared" si="393"/>
        <v>0</v>
      </c>
      <c r="AE629" s="26" t="s">
        <v>42</v>
      </c>
      <c r="AF629" s="27"/>
      <c r="AG629" s="17">
        <f t="shared" si="366"/>
        <v>0</v>
      </c>
      <c r="AH629" s="28">
        <f t="shared" si="367"/>
        <v>0</v>
      </c>
      <c r="AI629" s="17">
        <f t="shared" si="368"/>
        <v>0</v>
      </c>
      <c r="AJ629" s="28">
        <f t="shared" si="369"/>
        <v>0</v>
      </c>
      <c r="AK629" s="17">
        <f t="shared" si="377"/>
        <v>0</v>
      </c>
      <c r="AL629" s="28">
        <f t="shared" si="370"/>
        <v>0</v>
      </c>
      <c r="AM629" s="17">
        <f t="shared" si="385"/>
        <v>0</v>
      </c>
      <c r="AN629" s="28">
        <f t="shared" si="398"/>
        <v>0</v>
      </c>
      <c r="AO629" s="17">
        <f t="shared" si="386"/>
        <v>0</v>
      </c>
      <c r="AP629" s="28">
        <f t="shared" si="394"/>
        <v>0</v>
      </c>
      <c r="AQ629" s="17">
        <f t="shared" si="387"/>
        <v>0</v>
      </c>
      <c r="AR629" s="28">
        <f t="shared" si="395"/>
        <v>0</v>
      </c>
      <c r="AS629" s="17">
        <f t="shared" si="381"/>
        <v>0</v>
      </c>
      <c r="AT629" s="28">
        <f t="shared" si="382"/>
        <v>0</v>
      </c>
      <c r="AU629" s="17">
        <f t="shared" si="383"/>
        <v>0</v>
      </c>
      <c r="AV629" s="28">
        <f t="shared" si="384"/>
        <v>0</v>
      </c>
      <c r="AW629" s="17">
        <f t="shared" si="371"/>
        <v>0</v>
      </c>
      <c r="AX629" s="28">
        <f t="shared" si="372"/>
        <v>0</v>
      </c>
      <c r="AY629" s="17">
        <f t="shared" si="373"/>
        <v>0</v>
      </c>
      <c r="AZ629" s="28">
        <f t="shared" si="374"/>
        <v>0</v>
      </c>
      <c r="BA629" s="27">
        <f t="shared" si="359"/>
        <v>0</v>
      </c>
      <c r="BB629" s="27">
        <f t="shared" si="376"/>
        <v>0</v>
      </c>
      <c r="BC629" s="27">
        <f t="shared" si="378"/>
        <v>0</v>
      </c>
      <c r="BD629" s="27">
        <f t="shared" si="379"/>
        <v>0</v>
      </c>
      <c r="BE629" s="27">
        <f t="shared" si="380"/>
        <v>0</v>
      </c>
      <c r="BF629" s="29">
        <f t="shared" si="399"/>
        <v>0</v>
      </c>
      <c r="BH629" s="30">
        <f t="shared" si="375"/>
        <v>0</v>
      </c>
      <c r="BM629" s="2">
        <f t="shared" si="396"/>
        <v>0</v>
      </c>
      <c r="BP629" s="2">
        <f t="shared" si="397"/>
        <v>0</v>
      </c>
    </row>
    <row r="630" spans="1:68" ht="14.45" hidden="1" customHeight="1" x14ac:dyDescent="0.25">
      <c r="A630" s="33" t="s">
        <v>641</v>
      </c>
      <c r="B630" s="23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13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5"/>
      <c r="AD630" s="39">
        <f t="shared" si="393"/>
        <v>0</v>
      </c>
      <c r="AE630" s="26" t="s">
        <v>42</v>
      </c>
      <c r="AF630" s="27"/>
      <c r="AG630" s="17">
        <f t="shared" si="366"/>
        <v>0</v>
      </c>
      <c r="AH630" s="28">
        <f t="shared" si="367"/>
        <v>0</v>
      </c>
      <c r="AI630" s="17">
        <f t="shared" si="368"/>
        <v>0</v>
      </c>
      <c r="AJ630" s="28">
        <f t="shared" si="369"/>
        <v>0</v>
      </c>
      <c r="AK630" s="17">
        <f t="shared" si="377"/>
        <v>0</v>
      </c>
      <c r="AL630" s="28">
        <f t="shared" si="370"/>
        <v>0</v>
      </c>
      <c r="AM630" s="17">
        <f t="shared" si="385"/>
        <v>0</v>
      </c>
      <c r="AN630" s="28">
        <f t="shared" si="398"/>
        <v>0</v>
      </c>
      <c r="AO630" s="17">
        <f t="shared" si="386"/>
        <v>0</v>
      </c>
      <c r="AP630" s="28">
        <f t="shared" si="394"/>
        <v>0</v>
      </c>
      <c r="AQ630" s="17">
        <f t="shared" si="387"/>
        <v>0</v>
      </c>
      <c r="AR630" s="28">
        <f t="shared" si="395"/>
        <v>0</v>
      </c>
      <c r="AS630" s="17">
        <f t="shared" si="381"/>
        <v>0</v>
      </c>
      <c r="AT630" s="28">
        <f t="shared" si="382"/>
        <v>0</v>
      </c>
      <c r="AU630" s="17">
        <f t="shared" si="383"/>
        <v>0</v>
      </c>
      <c r="AV630" s="28">
        <f t="shared" si="384"/>
        <v>0</v>
      </c>
      <c r="AW630" s="17">
        <f t="shared" si="371"/>
        <v>0</v>
      </c>
      <c r="AX630" s="28">
        <f t="shared" si="372"/>
        <v>0</v>
      </c>
      <c r="AY630" s="17">
        <f t="shared" si="373"/>
        <v>0</v>
      </c>
      <c r="AZ630" s="28">
        <f t="shared" si="374"/>
        <v>0</v>
      </c>
      <c r="BA630" s="27">
        <f t="shared" si="359"/>
        <v>0</v>
      </c>
      <c r="BB630" s="27">
        <f t="shared" si="376"/>
        <v>0</v>
      </c>
      <c r="BC630" s="27">
        <f t="shared" si="378"/>
        <v>0</v>
      </c>
      <c r="BD630" s="27">
        <f t="shared" si="379"/>
        <v>0</v>
      </c>
      <c r="BE630" s="27">
        <f t="shared" si="380"/>
        <v>0</v>
      </c>
      <c r="BF630" s="29">
        <f t="shared" si="399"/>
        <v>0</v>
      </c>
      <c r="BH630" s="30">
        <f t="shared" si="375"/>
        <v>0</v>
      </c>
      <c r="BM630" s="2">
        <f t="shared" si="396"/>
        <v>0</v>
      </c>
      <c r="BP630" s="2">
        <f t="shared" si="397"/>
        <v>0</v>
      </c>
    </row>
    <row r="631" spans="1:68" ht="14.45" hidden="1" customHeight="1" x14ac:dyDescent="0.25">
      <c r="A631" s="33" t="s">
        <v>642</v>
      </c>
      <c r="B631" s="23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13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5"/>
      <c r="AD631" s="39">
        <f t="shared" si="393"/>
        <v>0</v>
      </c>
      <c r="AE631" s="26" t="s">
        <v>42</v>
      </c>
      <c r="AF631" s="27"/>
      <c r="AG631" s="17">
        <f t="shared" si="366"/>
        <v>0</v>
      </c>
      <c r="AH631" s="28">
        <f t="shared" si="367"/>
        <v>0</v>
      </c>
      <c r="AI631" s="17">
        <f t="shared" si="368"/>
        <v>0</v>
      </c>
      <c r="AJ631" s="28">
        <f t="shared" si="369"/>
        <v>0</v>
      </c>
      <c r="AK631" s="17">
        <f t="shared" si="377"/>
        <v>0</v>
      </c>
      <c r="AL631" s="28">
        <f t="shared" si="370"/>
        <v>0</v>
      </c>
      <c r="AM631" s="17">
        <f t="shared" si="385"/>
        <v>0</v>
      </c>
      <c r="AN631" s="28">
        <f t="shared" si="398"/>
        <v>0</v>
      </c>
      <c r="AO631" s="17">
        <f t="shared" si="386"/>
        <v>0</v>
      </c>
      <c r="AP631" s="28">
        <f t="shared" si="394"/>
        <v>0</v>
      </c>
      <c r="AQ631" s="17">
        <f t="shared" si="387"/>
        <v>0</v>
      </c>
      <c r="AR631" s="28">
        <f t="shared" si="395"/>
        <v>0</v>
      </c>
      <c r="AS631" s="17">
        <f t="shared" si="381"/>
        <v>0</v>
      </c>
      <c r="AT631" s="28">
        <f t="shared" si="382"/>
        <v>0</v>
      </c>
      <c r="AU631" s="17">
        <f t="shared" si="383"/>
        <v>0</v>
      </c>
      <c r="AV631" s="28">
        <f t="shared" si="384"/>
        <v>0</v>
      </c>
      <c r="AW631" s="17">
        <f t="shared" si="371"/>
        <v>0</v>
      </c>
      <c r="AX631" s="28">
        <f t="shared" si="372"/>
        <v>0</v>
      </c>
      <c r="AY631" s="17">
        <f t="shared" si="373"/>
        <v>0</v>
      </c>
      <c r="AZ631" s="28">
        <f t="shared" si="374"/>
        <v>0</v>
      </c>
      <c r="BA631" s="27">
        <f t="shared" si="359"/>
        <v>0</v>
      </c>
      <c r="BB631" s="27">
        <f t="shared" si="376"/>
        <v>0</v>
      </c>
      <c r="BC631" s="27">
        <f t="shared" si="378"/>
        <v>0</v>
      </c>
      <c r="BD631" s="27">
        <f t="shared" si="379"/>
        <v>0</v>
      </c>
      <c r="BE631" s="27">
        <f t="shared" si="380"/>
        <v>0</v>
      </c>
      <c r="BF631" s="29">
        <f t="shared" si="399"/>
        <v>0</v>
      </c>
      <c r="BH631" s="30">
        <f t="shared" si="375"/>
        <v>0</v>
      </c>
      <c r="BM631" s="2">
        <f t="shared" si="396"/>
        <v>0</v>
      </c>
      <c r="BP631" s="2">
        <f t="shared" si="397"/>
        <v>0</v>
      </c>
    </row>
    <row r="632" spans="1:68" ht="14.45" hidden="1" customHeight="1" x14ac:dyDescent="0.25">
      <c r="A632" s="33" t="s">
        <v>643</v>
      </c>
      <c r="B632" s="23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13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5"/>
      <c r="AD632" s="39">
        <f t="shared" si="393"/>
        <v>0</v>
      </c>
      <c r="AE632" s="26" t="s">
        <v>42</v>
      </c>
      <c r="AF632" s="27"/>
      <c r="AG632" s="17">
        <f t="shared" si="366"/>
        <v>0</v>
      </c>
      <c r="AH632" s="28">
        <f t="shared" si="367"/>
        <v>0</v>
      </c>
      <c r="AI632" s="17">
        <f t="shared" si="368"/>
        <v>0</v>
      </c>
      <c r="AJ632" s="28">
        <f t="shared" si="369"/>
        <v>0</v>
      </c>
      <c r="AK632" s="17">
        <f t="shared" si="377"/>
        <v>0</v>
      </c>
      <c r="AL632" s="28">
        <f t="shared" si="370"/>
        <v>0</v>
      </c>
      <c r="AM632" s="17">
        <f t="shared" si="385"/>
        <v>0</v>
      </c>
      <c r="AN632" s="28">
        <f t="shared" si="398"/>
        <v>0</v>
      </c>
      <c r="AO632" s="17">
        <f t="shared" si="386"/>
        <v>0</v>
      </c>
      <c r="AP632" s="28">
        <f t="shared" si="394"/>
        <v>0</v>
      </c>
      <c r="AQ632" s="17">
        <f t="shared" si="387"/>
        <v>0</v>
      </c>
      <c r="AR632" s="28">
        <f t="shared" si="395"/>
        <v>0</v>
      </c>
      <c r="AS632" s="17">
        <f t="shared" si="381"/>
        <v>0</v>
      </c>
      <c r="AT632" s="28">
        <f t="shared" si="382"/>
        <v>0</v>
      </c>
      <c r="AU632" s="17">
        <f t="shared" si="383"/>
        <v>0</v>
      </c>
      <c r="AV632" s="28">
        <f t="shared" si="384"/>
        <v>0</v>
      </c>
      <c r="AW632" s="17">
        <f t="shared" si="371"/>
        <v>0</v>
      </c>
      <c r="AX632" s="28">
        <f t="shared" si="372"/>
        <v>0</v>
      </c>
      <c r="AY632" s="17">
        <f t="shared" si="373"/>
        <v>0</v>
      </c>
      <c r="AZ632" s="28">
        <f t="shared" si="374"/>
        <v>0</v>
      </c>
      <c r="BA632" s="27">
        <f t="shared" si="359"/>
        <v>0</v>
      </c>
      <c r="BB632" s="27">
        <f t="shared" si="376"/>
        <v>0</v>
      </c>
      <c r="BC632" s="27">
        <f t="shared" si="378"/>
        <v>0</v>
      </c>
      <c r="BD632" s="27">
        <f t="shared" si="379"/>
        <v>0</v>
      </c>
      <c r="BE632" s="27">
        <f t="shared" si="380"/>
        <v>0</v>
      </c>
      <c r="BF632" s="29">
        <f t="shared" si="399"/>
        <v>0</v>
      </c>
      <c r="BH632" s="30">
        <f t="shared" si="375"/>
        <v>0</v>
      </c>
      <c r="BM632" s="2">
        <f t="shared" si="396"/>
        <v>0</v>
      </c>
      <c r="BP632" s="2">
        <f t="shared" si="397"/>
        <v>0</v>
      </c>
    </row>
    <row r="633" spans="1:68" ht="14.45" hidden="1" customHeight="1" x14ac:dyDescent="0.25">
      <c r="A633" s="33" t="s">
        <v>644</v>
      </c>
      <c r="B633" s="23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13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5"/>
      <c r="AD633" s="39">
        <f t="shared" si="393"/>
        <v>0</v>
      </c>
      <c r="AE633" s="26" t="s">
        <v>42</v>
      </c>
      <c r="AF633" s="27"/>
      <c r="AG633" s="17">
        <f t="shared" si="366"/>
        <v>0</v>
      </c>
      <c r="AH633" s="28">
        <f t="shared" si="367"/>
        <v>0</v>
      </c>
      <c r="AI633" s="17">
        <f t="shared" si="368"/>
        <v>0</v>
      </c>
      <c r="AJ633" s="28">
        <f t="shared" si="369"/>
        <v>0</v>
      </c>
      <c r="AK633" s="17">
        <f t="shared" si="377"/>
        <v>0</v>
      </c>
      <c r="AL633" s="28">
        <f t="shared" si="370"/>
        <v>0</v>
      </c>
      <c r="AM633" s="17">
        <f t="shared" si="385"/>
        <v>0</v>
      </c>
      <c r="AN633" s="28">
        <f t="shared" si="398"/>
        <v>0</v>
      </c>
      <c r="AO633" s="17">
        <f t="shared" si="386"/>
        <v>0</v>
      </c>
      <c r="AP633" s="28">
        <f t="shared" si="394"/>
        <v>0</v>
      </c>
      <c r="AQ633" s="17">
        <f t="shared" si="387"/>
        <v>0</v>
      </c>
      <c r="AR633" s="28">
        <f t="shared" si="395"/>
        <v>0</v>
      </c>
      <c r="AS633" s="17">
        <f t="shared" si="381"/>
        <v>0</v>
      </c>
      <c r="AT633" s="28">
        <f t="shared" si="382"/>
        <v>0</v>
      </c>
      <c r="AU633" s="17">
        <f t="shared" si="383"/>
        <v>0</v>
      </c>
      <c r="AV633" s="28">
        <f t="shared" si="384"/>
        <v>0</v>
      </c>
      <c r="AW633" s="17">
        <f t="shared" si="371"/>
        <v>0</v>
      </c>
      <c r="AX633" s="28">
        <f t="shared" si="372"/>
        <v>0</v>
      </c>
      <c r="AY633" s="17">
        <f t="shared" si="373"/>
        <v>0</v>
      </c>
      <c r="AZ633" s="28">
        <f t="shared" si="374"/>
        <v>0</v>
      </c>
      <c r="BA633" s="27">
        <f t="shared" si="359"/>
        <v>0</v>
      </c>
      <c r="BB633" s="27">
        <f t="shared" si="376"/>
        <v>0</v>
      </c>
      <c r="BC633" s="27">
        <f t="shared" si="378"/>
        <v>0</v>
      </c>
      <c r="BD633" s="27">
        <f t="shared" si="379"/>
        <v>0</v>
      </c>
      <c r="BE633" s="27">
        <f t="shared" si="380"/>
        <v>0</v>
      </c>
      <c r="BF633" s="29">
        <f t="shared" si="399"/>
        <v>0</v>
      </c>
      <c r="BH633" s="30">
        <f t="shared" si="375"/>
        <v>0</v>
      </c>
      <c r="BM633" s="2">
        <f t="shared" si="396"/>
        <v>0</v>
      </c>
      <c r="BP633" s="2">
        <f t="shared" si="397"/>
        <v>0</v>
      </c>
    </row>
    <row r="634" spans="1:68" ht="14.45" hidden="1" customHeight="1" x14ac:dyDescent="0.25">
      <c r="A634" s="33" t="s">
        <v>645</v>
      </c>
      <c r="B634" s="23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13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5"/>
      <c r="AD634" s="39">
        <f t="shared" si="393"/>
        <v>0</v>
      </c>
      <c r="AE634" s="26" t="s">
        <v>42</v>
      </c>
      <c r="AF634" s="27"/>
      <c r="AG634" s="17">
        <f t="shared" si="366"/>
        <v>0</v>
      </c>
      <c r="AH634" s="28">
        <f t="shared" si="367"/>
        <v>0</v>
      </c>
      <c r="AI634" s="17">
        <f t="shared" si="368"/>
        <v>0</v>
      </c>
      <c r="AJ634" s="28">
        <f t="shared" si="369"/>
        <v>0</v>
      </c>
      <c r="AK634" s="17">
        <f t="shared" si="377"/>
        <v>0</v>
      </c>
      <c r="AL634" s="28">
        <f t="shared" si="370"/>
        <v>0</v>
      </c>
      <c r="AM634" s="17">
        <f t="shared" si="385"/>
        <v>0</v>
      </c>
      <c r="AN634" s="28">
        <f t="shared" si="398"/>
        <v>0</v>
      </c>
      <c r="AO634" s="17">
        <f t="shared" si="386"/>
        <v>0</v>
      </c>
      <c r="AP634" s="28">
        <f t="shared" si="394"/>
        <v>0</v>
      </c>
      <c r="AQ634" s="17">
        <f t="shared" si="387"/>
        <v>0</v>
      </c>
      <c r="AR634" s="28">
        <f t="shared" si="395"/>
        <v>0</v>
      </c>
      <c r="AS634" s="17">
        <f t="shared" si="381"/>
        <v>0</v>
      </c>
      <c r="AT634" s="28">
        <f t="shared" si="382"/>
        <v>0</v>
      </c>
      <c r="AU634" s="17">
        <f t="shared" si="383"/>
        <v>0</v>
      </c>
      <c r="AV634" s="28">
        <f t="shared" si="384"/>
        <v>0</v>
      </c>
      <c r="AW634" s="17">
        <f t="shared" si="371"/>
        <v>0</v>
      </c>
      <c r="AX634" s="28">
        <f t="shared" si="372"/>
        <v>0</v>
      </c>
      <c r="AY634" s="17">
        <f t="shared" si="373"/>
        <v>0</v>
      </c>
      <c r="AZ634" s="28">
        <f t="shared" si="374"/>
        <v>0</v>
      </c>
      <c r="BA634" s="27">
        <f t="shared" si="359"/>
        <v>0</v>
      </c>
      <c r="BB634" s="27">
        <f t="shared" si="376"/>
        <v>0</v>
      </c>
      <c r="BC634" s="27">
        <f t="shared" si="378"/>
        <v>0</v>
      </c>
      <c r="BD634" s="27">
        <f t="shared" si="379"/>
        <v>0</v>
      </c>
      <c r="BE634" s="27">
        <f t="shared" si="380"/>
        <v>0</v>
      </c>
      <c r="BF634" s="29">
        <f t="shared" si="399"/>
        <v>0</v>
      </c>
      <c r="BH634" s="30">
        <f t="shared" si="375"/>
        <v>0</v>
      </c>
      <c r="BM634" s="2">
        <f t="shared" si="396"/>
        <v>0</v>
      </c>
      <c r="BP634" s="2">
        <f t="shared" si="397"/>
        <v>0</v>
      </c>
    </row>
    <row r="635" spans="1:68" ht="14.45" customHeight="1" x14ac:dyDescent="0.25">
      <c r="A635" s="33" t="s">
        <v>646</v>
      </c>
      <c r="B635" s="23"/>
      <c r="C635" s="24"/>
      <c r="D635" s="24"/>
      <c r="E635" s="24"/>
      <c r="F635" s="24"/>
      <c r="G635" s="24">
        <v>5</v>
      </c>
      <c r="H635" s="24"/>
      <c r="I635" s="24"/>
      <c r="J635" s="24"/>
      <c r="K635" s="24"/>
      <c r="L635" s="24"/>
      <c r="M635" s="24"/>
      <c r="N635" s="24"/>
      <c r="O635" s="13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5"/>
      <c r="AD635" s="39">
        <f t="shared" si="393"/>
        <v>5</v>
      </c>
      <c r="AE635" s="26"/>
      <c r="AF635" s="27">
        <v>120000</v>
      </c>
      <c r="AG635" s="17">
        <f t="shared" si="366"/>
        <v>0</v>
      </c>
      <c r="AH635" s="28">
        <f t="shared" si="367"/>
        <v>0</v>
      </c>
      <c r="AI635" s="17">
        <f t="shared" si="368"/>
        <v>0</v>
      </c>
      <c r="AJ635" s="28">
        <f t="shared" si="369"/>
        <v>0</v>
      </c>
      <c r="AK635" s="17">
        <f t="shared" si="377"/>
        <v>5</v>
      </c>
      <c r="AL635" s="28">
        <f t="shared" si="370"/>
        <v>600000</v>
      </c>
      <c r="AM635" s="17">
        <f t="shared" si="385"/>
        <v>0</v>
      </c>
      <c r="AN635" s="28">
        <f t="shared" si="398"/>
        <v>0</v>
      </c>
      <c r="AO635" s="17"/>
      <c r="AP635" s="28"/>
      <c r="AQ635" s="17"/>
      <c r="AR635" s="28"/>
      <c r="AS635" s="17">
        <f t="shared" si="381"/>
        <v>0</v>
      </c>
      <c r="AT635" s="28">
        <f t="shared" si="382"/>
        <v>0</v>
      </c>
      <c r="AU635" s="17">
        <f t="shared" si="383"/>
        <v>0</v>
      </c>
      <c r="AV635" s="28">
        <f t="shared" si="384"/>
        <v>0</v>
      </c>
      <c r="AW635" s="17">
        <f t="shared" si="371"/>
        <v>0</v>
      </c>
      <c r="AX635" s="28">
        <f t="shared" si="372"/>
        <v>0</v>
      </c>
      <c r="AY635" s="17">
        <f t="shared" si="373"/>
        <v>0</v>
      </c>
      <c r="AZ635" s="28">
        <f t="shared" si="374"/>
        <v>0</v>
      </c>
      <c r="BA635" s="27"/>
      <c r="BB635" s="27">
        <f t="shared" si="376"/>
        <v>600000</v>
      </c>
      <c r="BC635" s="27">
        <f t="shared" si="378"/>
        <v>0</v>
      </c>
      <c r="BD635" s="27">
        <f t="shared" si="379"/>
        <v>0</v>
      </c>
      <c r="BE635" s="27">
        <f t="shared" si="380"/>
        <v>0</v>
      </c>
      <c r="BF635" s="29">
        <f t="shared" si="399"/>
        <v>600000</v>
      </c>
      <c r="BH635" s="30">
        <f t="shared" si="375"/>
        <v>5</v>
      </c>
    </row>
    <row r="636" spans="1:68" ht="14.45" customHeight="1" x14ac:dyDescent="0.25">
      <c r="A636" s="33" t="s">
        <v>647</v>
      </c>
      <c r="B636" s="23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13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5"/>
      <c r="AD636" s="25"/>
      <c r="AE636" s="26" t="s">
        <v>42</v>
      </c>
      <c r="AF636" s="34">
        <v>3256</v>
      </c>
      <c r="AG636" s="17">
        <f t="shared" si="366"/>
        <v>0</v>
      </c>
      <c r="AH636" s="28">
        <f t="shared" si="367"/>
        <v>0</v>
      </c>
      <c r="AI636" s="17">
        <f t="shared" si="368"/>
        <v>0</v>
      </c>
      <c r="AJ636" s="28">
        <f t="shared" si="369"/>
        <v>0</v>
      </c>
      <c r="AK636" s="17">
        <f t="shared" si="377"/>
        <v>0</v>
      </c>
      <c r="AL636" s="28">
        <f t="shared" si="370"/>
        <v>0</v>
      </c>
      <c r="AM636" s="17">
        <f t="shared" si="385"/>
        <v>0</v>
      </c>
      <c r="AN636" s="28">
        <f t="shared" si="398"/>
        <v>0</v>
      </c>
      <c r="AO636" s="17">
        <f t="shared" ref="AO636:AO664" si="400">+B636</f>
        <v>0</v>
      </c>
      <c r="AP636" s="28"/>
      <c r="AQ636" s="17">
        <f t="shared" ref="AQ636:AQ664" si="401">+P636</f>
        <v>0</v>
      </c>
      <c r="AR636" s="28"/>
      <c r="AS636" s="17">
        <f t="shared" si="381"/>
        <v>0</v>
      </c>
      <c r="AT636" s="28">
        <f t="shared" si="382"/>
        <v>0</v>
      </c>
      <c r="AU636" s="17">
        <f t="shared" si="383"/>
        <v>0</v>
      </c>
      <c r="AV636" s="28">
        <f t="shared" si="384"/>
        <v>0</v>
      </c>
      <c r="AW636" s="17">
        <f t="shared" si="371"/>
        <v>0</v>
      </c>
      <c r="AX636" s="28">
        <f t="shared" si="372"/>
        <v>0</v>
      </c>
      <c r="AY636" s="17">
        <f t="shared" si="373"/>
        <v>0</v>
      </c>
      <c r="AZ636" s="28">
        <f t="shared" si="374"/>
        <v>0</v>
      </c>
      <c r="BA636" s="27">
        <f t="shared" si="359"/>
        <v>0</v>
      </c>
      <c r="BB636" s="27">
        <f t="shared" si="376"/>
        <v>0</v>
      </c>
      <c r="BC636" s="27">
        <f t="shared" si="378"/>
        <v>0</v>
      </c>
      <c r="BD636" s="27">
        <f t="shared" si="379"/>
        <v>0</v>
      </c>
      <c r="BE636" s="27">
        <f t="shared" si="380"/>
        <v>0</v>
      </c>
      <c r="BF636" s="29">
        <f t="shared" si="399"/>
        <v>0</v>
      </c>
      <c r="BH636" s="30">
        <f t="shared" si="375"/>
        <v>0</v>
      </c>
    </row>
    <row r="637" spans="1:68" ht="14.45" customHeight="1" x14ac:dyDescent="0.25">
      <c r="A637" s="33" t="s">
        <v>648</v>
      </c>
      <c r="B637" s="23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13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5"/>
      <c r="AD637" s="25"/>
      <c r="AE637" s="26" t="s">
        <v>42</v>
      </c>
      <c r="AF637" s="34">
        <v>2398</v>
      </c>
      <c r="AG637" s="17">
        <f t="shared" si="366"/>
        <v>0</v>
      </c>
      <c r="AH637" s="28">
        <f t="shared" si="367"/>
        <v>0</v>
      </c>
      <c r="AI637" s="17">
        <f t="shared" si="368"/>
        <v>0</v>
      </c>
      <c r="AJ637" s="28">
        <f t="shared" si="369"/>
        <v>0</v>
      </c>
      <c r="AK637" s="17">
        <f t="shared" si="377"/>
        <v>0</v>
      </c>
      <c r="AL637" s="28">
        <f t="shared" si="370"/>
        <v>0</v>
      </c>
      <c r="AM637" s="17">
        <f t="shared" si="385"/>
        <v>0</v>
      </c>
      <c r="AN637" s="28">
        <f t="shared" si="398"/>
        <v>0</v>
      </c>
      <c r="AO637" s="17">
        <f t="shared" si="400"/>
        <v>0</v>
      </c>
      <c r="AP637" s="28"/>
      <c r="AQ637" s="17">
        <f t="shared" si="401"/>
        <v>0</v>
      </c>
      <c r="AR637" s="28"/>
      <c r="AS637" s="17">
        <f t="shared" si="381"/>
        <v>0</v>
      </c>
      <c r="AT637" s="28">
        <f t="shared" si="382"/>
        <v>0</v>
      </c>
      <c r="AU637" s="17">
        <f t="shared" si="383"/>
        <v>0</v>
      </c>
      <c r="AV637" s="28">
        <f t="shared" si="384"/>
        <v>0</v>
      </c>
      <c r="AW637" s="17">
        <f t="shared" si="371"/>
        <v>0</v>
      </c>
      <c r="AX637" s="28">
        <f t="shared" si="372"/>
        <v>0</v>
      </c>
      <c r="AY637" s="17">
        <f t="shared" si="373"/>
        <v>0</v>
      </c>
      <c r="AZ637" s="28">
        <f t="shared" si="374"/>
        <v>0</v>
      </c>
      <c r="BA637" s="27">
        <f t="shared" ref="BA637:BA701" si="402">+AH637+AJ637</f>
        <v>0</v>
      </c>
      <c r="BB637" s="27">
        <f t="shared" si="376"/>
        <v>0</v>
      </c>
      <c r="BC637" s="27">
        <f t="shared" si="378"/>
        <v>0</v>
      </c>
      <c r="BD637" s="27">
        <f t="shared" si="379"/>
        <v>0</v>
      </c>
      <c r="BE637" s="27">
        <f t="shared" si="380"/>
        <v>0</v>
      </c>
      <c r="BF637" s="29">
        <f t="shared" si="399"/>
        <v>0</v>
      </c>
      <c r="BH637" s="30">
        <f t="shared" si="375"/>
        <v>0</v>
      </c>
    </row>
    <row r="638" spans="1:68" ht="14.45" customHeight="1" x14ac:dyDescent="0.25">
      <c r="A638" s="33" t="s">
        <v>649</v>
      </c>
      <c r="B638" s="23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13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5"/>
      <c r="AD638" s="25"/>
      <c r="AE638" s="26" t="s">
        <v>42</v>
      </c>
      <c r="AF638" s="34">
        <v>1985</v>
      </c>
      <c r="AG638" s="17">
        <f t="shared" si="366"/>
        <v>0</v>
      </c>
      <c r="AH638" s="28">
        <f t="shared" si="367"/>
        <v>0</v>
      </c>
      <c r="AI638" s="17">
        <f t="shared" si="368"/>
        <v>0</v>
      </c>
      <c r="AJ638" s="28">
        <f t="shared" si="369"/>
        <v>0</v>
      </c>
      <c r="AK638" s="17">
        <f t="shared" si="377"/>
        <v>0</v>
      </c>
      <c r="AL638" s="28">
        <f t="shared" si="370"/>
        <v>0</v>
      </c>
      <c r="AM638" s="17">
        <f t="shared" si="385"/>
        <v>0</v>
      </c>
      <c r="AN638" s="28">
        <f t="shared" si="398"/>
        <v>0</v>
      </c>
      <c r="AO638" s="17">
        <f t="shared" si="400"/>
        <v>0</v>
      </c>
      <c r="AP638" s="28"/>
      <c r="AQ638" s="17">
        <f t="shared" si="401"/>
        <v>0</v>
      </c>
      <c r="AR638" s="28"/>
      <c r="AS638" s="17">
        <f t="shared" si="381"/>
        <v>0</v>
      </c>
      <c r="AT638" s="28">
        <f t="shared" si="382"/>
        <v>0</v>
      </c>
      <c r="AU638" s="17">
        <f t="shared" si="383"/>
        <v>0</v>
      </c>
      <c r="AV638" s="28">
        <f t="shared" si="384"/>
        <v>0</v>
      </c>
      <c r="AW638" s="17">
        <f t="shared" si="371"/>
        <v>0</v>
      </c>
      <c r="AX638" s="28">
        <f t="shared" si="372"/>
        <v>0</v>
      </c>
      <c r="AY638" s="17">
        <f t="shared" si="373"/>
        <v>0</v>
      </c>
      <c r="AZ638" s="28">
        <f t="shared" si="374"/>
        <v>0</v>
      </c>
      <c r="BA638" s="27">
        <f t="shared" si="402"/>
        <v>0</v>
      </c>
      <c r="BB638" s="27">
        <f t="shared" si="376"/>
        <v>0</v>
      </c>
      <c r="BC638" s="27">
        <f t="shared" si="378"/>
        <v>0</v>
      </c>
      <c r="BD638" s="27">
        <f t="shared" si="379"/>
        <v>0</v>
      </c>
      <c r="BE638" s="27">
        <f t="shared" si="380"/>
        <v>0</v>
      </c>
      <c r="BF638" s="29">
        <f t="shared" si="399"/>
        <v>0</v>
      </c>
      <c r="BH638" s="30">
        <f t="shared" si="375"/>
        <v>0</v>
      </c>
    </row>
    <row r="639" spans="1:68" x14ac:dyDescent="0.25">
      <c r="A639" s="33" t="s">
        <v>650</v>
      </c>
      <c r="B639" s="23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13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5"/>
      <c r="AD639" s="25">
        <f t="shared" ref="AD639:AD671" si="403">SUM(B639:S639)</f>
        <v>0</v>
      </c>
      <c r="AE639" s="40" t="s">
        <v>42</v>
      </c>
      <c r="AF639" s="27">
        <v>3000</v>
      </c>
      <c r="AG639" s="17">
        <f t="shared" si="366"/>
        <v>0</v>
      </c>
      <c r="AH639" s="28">
        <f t="shared" si="367"/>
        <v>0</v>
      </c>
      <c r="AI639" s="17">
        <f t="shared" si="368"/>
        <v>0</v>
      </c>
      <c r="AJ639" s="28">
        <f t="shared" si="369"/>
        <v>0</v>
      </c>
      <c r="AK639" s="17">
        <f t="shared" si="377"/>
        <v>0</v>
      </c>
      <c r="AL639" s="28">
        <f t="shared" si="370"/>
        <v>0</v>
      </c>
      <c r="AM639" s="17">
        <f t="shared" si="385"/>
        <v>0</v>
      </c>
      <c r="AN639" s="28">
        <f t="shared" si="398"/>
        <v>0</v>
      </c>
      <c r="AO639" s="17">
        <f t="shared" si="400"/>
        <v>0</v>
      </c>
      <c r="AP639" s="28">
        <f t="shared" ref="AP639:AP664" si="404">+AO639*AF639</f>
        <v>0</v>
      </c>
      <c r="AQ639" s="17">
        <f t="shared" si="401"/>
        <v>0</v>
      </c>
      <c r="AR639" s="28">
        <f t="shared" ref="AR639:AR664" si="405">+AQ639*AF639</f>
        <v>0</v>
      </c>
      <c r="AS639" s="17">
        <f t="shared" si="381"/>
        <v>0</v>
      </c>
      <c r="AT639" s="28">
        <f t="shared" si="382"/>
        <v>0</v>
      </c>
      <c r="AU639" s="17">
        <f t="shared" si="383"/>
        <v>0</v>
      </c>
      <c r="AV639" s="28">
        <f t="shared" si="384"/>
        <v>0</v>
      </c>
      <c r="AW639" s="17">
        <f t="shared" si="371"/>
        <v>0</v>
      </c>
      <c r="AX639" s="28">
        <f t="shared" si="372"/>
        <v>0</v>
      </c>
      <c r="AY639" s="17">
        <f t="shared" si="373"/>
        <v>0</v>
      </c>
      <c r="AZ639" s="28">
        <f t="shared" si="374"/>
        <v>0</v>
      </c>
      <c r="BA639" s="27">
        <f t="shared" si="402"/>
        <v>0</v>
      </c>
      <c r="BB639" s="27">
        <f t="shared" si="376"/>
        <v>0</v>
      </c>
      <c r="BC639" s="27">
        <f t="shared" si="378"/>
        <v>0</v>
      </c>
      <c r="BD639" s="27">
        <f t="shared" si="379"/>
        <v>0</v>
      </c>
      <c r="BE639" s="27">
        <f t="shared" si="380"/>
        <v>0</v>
      </c>
      <c r="BF639" s="29">
        <f t="shared" si="399"/>
        <v>0</v>
      </c>
      <c r="BH639" s="30">
        <f t="shared" si="375"/>
        <v>0</v>
      </c>
      <c r="BM639" s="2">
        <f t="shared" ref="BM639:BM664" si="406">SUM(B639:S639)</f>
        <v>0</v>
      </c>
      <c r="BP639" s="2">
        <f t="shared" ref="BP639:BP664" si="407">SUM(B639:S639)</f>
        <v>0</v>
      </c>
    </row>
    <row r="640" spans="1:68" ht="14.45" hidden="1" customHeight="1" x14ac:dyDescent="0.25">
      <c r="A640" s="33" t="s">
        <v>651</v>
      </c>
      <c r="B640" s="23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13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5"/>
      <c r="AD640" s="25">
        <f t="shared" si="403"/>
        <v>0</v>
      </c>
      <c r="AE640" s="40" t="s">
        <v>42</v>
      </c>
      <c r="AF640" s="27"/>
      <c r="AG640" s="17">
        <f t="shared" si="366"/>
        <v>0</v>
      </c>
      <c r="AH640" s="28">
        <f t="shared" si="367"/>
        <v>0</v>
      </c>
      <c r="AI640" s="17">
        <f t="shared" si="368"/>
        <v>0</v>
      </c>
      <c r="AJ640" s="28">
        <f t="shared" si="369"/>
        <v>0</v>
      </c>
      <c r="AK640" s="17">
        <f t="shared" si="377"/>
        <v>0</v>
      </c>
      <c r="AL640" s="28">
        <f t="shared" si="370"/>
        <v>0</v>
      </c>
      <c r="AM640" s="17">
        <f t="shared" si="385"/>
        <v>0</v>
      </c>
      <c r="AN640" s="28">
        <f t="shared" si="398"/>
        <v>0</v>
      </c>
      <c r="AO640" s="17">
        <f t="shared" si="400"/>
        <v>0</v>
      </c>
      <c r="AP640" s="28">
        <f t="shared" si="404"/>
        <v>0</v>
      </c>
      <c r="AQ640" s="17">
        <f t="shared" si="401"/>
        <v>0</v>
      </c>
      <c r="AR640" s="28">
        <f t="shared" si="405"/>
        <v>0</v>
      </c>
      <c r="AS640" s="17">
        <f t="shared" si="381"/>
        <v>0</v>
      </c>
      <c r="AT640" s="28">
        <f t="shared" si="382"/>
        <v>0</v>
      </c>
      <c r="AU640" s="17">
        <f t="shared" si="383"/>
        <v>0</v>
      </c>
      <c r="AV640" s="28">
        <f t="shared" si="384"/>
        <v>0</v>
      </c>
      <c r="AW640" s="17">
        <f t="shared" si="371"/>
        <v>0</v>
      </c>
      <c r="AX640" s="28">
        <f t="shared" si="372"/>
        <v>0</v>
      </c>
      <c r="AY640" s="17">
        <f t="shared" si="373"/>
        <v>0</v>
      </c>
      <c r="AZ640" s="28">
        <f t="shared" si="374"/>
        <v>0</v>
      </c>
      <c r="BA640" s="27">
        <f t="shared" si="402"/>
        <v>0</v>
      </c>
      <c r="BB640" s="27">
        <f t="shared" si="376"/>
        <v>0</v>
      </c>
      <c r="BC640" s="27">
        <f t="shared" si="378"/>
        <v>0</v>
      </c>
      <c r="BD640" s="27">
        <f t="shared" si="379"/>
        <v>0</v>
      </c>
      <c r="BE640" s="27">
        <f t="shared" si="380"/>
        <v>0</v>
      </c>
      <c r="BF640" s="29">
        <f t="shared" si="399"/>
        <v>0</v>
      </c>
      <c r="BH640" s="30">
        <f t="shared" si="375"/>
        <v>0</v>
      </c>
      <c r="BM640" s="2">
        <f t="shared" si="406"/>
        <v>0</v>
      </c>
      <c r="BP640" s="2">
        <f t="shared" si="407"/>
        <v>0</v>
      </c>
    </row>
    <row r="641" spans="1:68" ht="14.45" hidden="1" customHeight="1" x14ac:dyDescent="0.25">
      <c r="A641" s="33" t="s">
        <v>652</v>
      </c>
      <c r="B641" s="23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13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5"/>
      <c r="AD641" s="25">
        <f t="shared" si="403"/>
        <v>0</v>
      </c>
      <c r="AE641" s="40" t="s">
        <v>42</v>
      </c>
      <c r="AF641" s="27"/>
      <c r="AG641" s="17">
        <f t="shared" si="366"/>
        <v>0</v>
      </c>
      <c r="AH641" s="28">
        <f t="shared" si="367"/>
        <v>0</v>
      </c>
      <c r="AI641" s="17">
        <f t="shared" si="368"/>
        <v>0</v>
      </c>
      <c r="AJ641" s="28">
        <f t="shared" si="369"/>
        <v>0</v>
      </c>
      <c r="AK641" s="17">
        <f t="shared" si="377"/>
        <v>0</v>
      </c>
      <c r="AL641" s="28">
        <f t="shared" si="370"/>
        <v>0</v>
      </c>
      <c r="AM641" s="17">
        <f t="shared" si="385"/>
        <v>0</v>
      </c>
      <c r="AN641" s="28">
        <f t="shared" si="398"/>
        <v>0</v>
      </c>
      <c r="AO641" s="17">
        <f t="shared" si="400"/>
        <v>0</v>
      </c>
      <c r="AP641" s="28">
        <f t="shared" si="404"/>
        <v>0</v>
      </c>
      <c r="AQ641" s="17">
        <f t="shared" si="401"/>
        <v>0</v>
      </c>
      <c r="AR641" s="28">
        <f t="shared" si="405"/>
        <v>0</v>
      </c>
      <c r="AS641" s="17">
        <f t="shared" si="381"/>
        <v>0</v>
      </c>
      <c r="AT641" s="28">
        <f t="shared" si="382"/>
        <v>0</v>
      </c>
      <c r="AU641" s="17">
        <f t="shared" si="383"/>
        <v>0</v>
      </c>
      <c r="AV641" s="28">
        <f t="shared" si="384"/>
        <v>0</v>
      </c>
      <c r="AW641" s="17">
        <f t="shared" si="371"/>
        <v>0</v>
      </c>
      <c r="AX641" s="28">
        <f t="shared" si="372"/>
        <v>0</v>
      </c>
      <c r="AY641" s="17">
        <f t="shared" si="373"/>
        <v>0</v>
      </c>
      <c r="AZ641" s="28">
        <f t="shared" si="374"/>
        <v>0</v>
      </c>
      <c r="BA641" s="27">
        <f t="shared" si="402"/>
        <v>0</v>
      </c>
      <c r="BB641" s="27">
        <f t="shared" si="376"/>
        <v>0</v>
      </c>
      <c r="BC641" s="27">
        <f t="shared" si="378"/>
        <v>0</v>
      </c>
      <c r="BD641" s="27">
        <f t="shared" si="379"/>
        <v>0</v>
      </c>
      <c r="BE641" s="27">
        <f t="shared" si="380"/>
        <v>0</v>
      </c>
      <c r="BF641" s="29">
        <f t="shared" si="399"/>
        <v>0</v>
      </c>
      <c r="BH641" s="30">
        <f t="shared" si="375"/>
        <v>0</v>
      </c>
      <c r="BM641" s="2">
        <f t="shared" si="406"/>
        <v>0</v>
      </c>
      <c r="BP641" s="2">
        <f t="shared" si="407"/>
        <v>0</v>
      </c>
    </row>
    <row r="642" spans="1:68" ht="14.45" hidden="1" customHeight="1" x14ac:dyDescent="0.25">
      <c r="A642" s="33" t="s">
        <v>653</v>
      </c>
      <c r="B642" s="23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13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5"/>
      <c r="AD642" s="25">
        <f t="shared" si="403"/>
        <v>0</v>
      </c>
      <c r="AE642" s="40" t="s">
        <v>42</v>
      </c>
      <c r="AF642" s="27"/>
      <c r="AG642" s="17">
        <f t="shared" si="366"/>
        <v>0</v>
      </c>
      <c r="AH642" s="28">
        <f t="shared" si="367"/>
        <v>0</v>
      </c>
      <c r="AI642" s="17">
        <f t="shared" si="368"/>
        <v>0</v>
      </c>
      <c r="AJ642" s="28">
        <f t="shared" si="369"/>
        <v>0</v>
      </c>
      <c r="AK642" s="17">
        <f t="shared" si="377"/>
        <v>0</v>
      </c>
      <c r="AL642" s="28">
        <f t="shared" si="370"/>
        <v>0</v>
      </c>
      <c r="AM642" s="17">
        <f t="shared" si="385"/>
        <v>0</v>
      </c>
      <c r="AN642" s="28">
        <f t="shared" si="398"/>
        <v>0</v>
      </c>
      <c r="AO642" s="17">
        <f t="shared" si="400"/>
        <v>0</v>
      </c>
      <c r="AP642" s="28">
        <f t="shared" si="404"/>
        <v>0</v>
      </c>
      <c r="AQ642" s="17">
        <f t="shared" si="401"/>
        <v>0</v>
      </c>
      <c r="AR642" s="28">
        <f t="shared" si="405"/>
        <v>0</v>
      </c>
      <c r="AS642" s="17">
        <f t="shared" si="381"/>
        <v>0</v>
      </c>
      <c r="AT642" s="28">
        <f t="shared" si="382"/>
        <v>0</v>
      </c>
      <c r="AU642" s="17">
        <f t="shared" si="383"/>
        <v>0</v>
      </c>
      <c r="AV642" s="28">
        <f t="shared" si="384"/>
        <v>0</v>
      </c>
      <c r="AW642" s="17">
        <f t="shared" si="371"/>
        <v>0</v>
      </c>
      <c r="AX642" s="28">
        <f t="shared" si="372"/>
        <v>0</v>
      </c>
      <c r="AY642" s="17">
        <f t="shared" si="373"/>
        <v>0</v>
      </c>
      <c r="AZ642" s="28">
        <f t="shared" si="374"/>
        <v>0</v>
      </c>
      <c r="BA642" s="27">
        <f t="shared" si="402"/>
        <v>0</v>
      </c>
      <c r="BB642" s="27">
        <f t="shared" si="376"/>
        <v>0</v>
      </c>
      <c r="BC642" s="27">
        <f t="shared" si="378"/>
        <v>0</v>
      </c>
      <c r="BD642" s="27">
        <f t="shared" si="379"/>
        <v>0</v>
      </c>
      <c r="BE642" s="27">
        <f t="shared" si="380"/>
        <v>0</v>
      </c>
      <c r="BF642" s="29">
        <f t="shared" si="399"/>
        <v>0</v>
      </c>
      <c r="BH642" s="30">
        <f t="shared" si="375"/>
        <v>0</v>
      </c>
      <c r="BM642" s="2">
        <f t="shared" si="406"/>
        <v>0</v>
      </c>
      <c r="BP642" s="2">
        <f t="shared" si="407"/>
        <v>0</v>
      </c>
    </row>
    <row r="643" spans="1:68" ht="14.45" hidden="1" customHeight="1" x14ac:dyDescent="0.25">
      <c r="A643" s="33" t="s">
        <v>654</v>
      </c>
      <c r="B643" s="23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13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5"/>
      <c r="AD643" s="25">
        <f t="shared" si="403"/>
        <v>0</v>
      </c>
      <c r="AE643" s="40" t="s">
        <v>42</v>
      </c>
      <c r="AF643" s="27"/>
      <c r="AG643" s="17">
        <f t="shared" si="366"/>
        <v>0</v>
      </c>
      <c r="AH643" s="28">
        <f t="shared" si="367"/>
        <v>0</v>
      </c>
      <c r="AI643" s="17">
        <f t="shared" si="368"/>
        <v>0</v>
      </c>
      <c r="AJ643" s="28">
        <f t="shared" si="369"/>
        <v>0</v>
      </c>
      <c r="AK643" s="17">
        <f t="shared" si="377"/>
        <v>0</v>
      </c>
      <c r="AL643" s="28">
        <f t="shared" si="370"/>
        <v>0</v>
      </c>
      <c r="AM643" s="17">
        <f t="shared" si="385"/>
        <v>0</v>
      </c>
      <c r="AN643" s="28">
        <f t="shared" si="398"/>
        <v>0</v>
      </c>
      <c r="AO643" s="17">
        <f t="shared" si="400"/>
        <v>0</v>
      </c>
      <c r="AP643" s="28">
        <f t="shared" si="404"/>
        <v>0</v>
      </c>
      <c r="AQ643" s="17">
        <f t="shared" si="401"/>
        <v>0</v>
      </c>
      <c r="AR643" s="28">
        <f t="shared" si="405"/>
        <v>0</v>
      </c>
      <c r="AS643" s="17">
        <f t="shared" si="381"/>
        <v>0</v>
      </c>
      <c r="AT643" s="28">
        <f t="shared" si="382"/>
        <v>0</v>
      </c>
      <c r="AU643" s="17">
        <f t="shared" si="383"/>
        <v>0</v>
      </c>
      <c r="AV643" s="28">
        <f t="shared" si="384"/>
        <v>0</v>
      </c>
      <c r="AW643" s="17">
        <f t="shared" si="371"/>
        <v>0</v>
      </c>
      <c r="AX643" s="28">
        <f t="shared" si="372"/>
        <v>0</v>
      </c>
      <c r="AY643" s="17">
        <f t="shared" si="373"/>
        <v>0</v>
      </c>
      <c r="AZ643" s="28">
        <f t="shared" si="374"/>
        <v>0</v>
      </c>
      <c r="BA643" s="27">
        <f t="shared" si="402"/>
        <v>0</v>
      </c>
      <c r="BB643" s="27">
        <f t="shared" si="376"/>
        <v>0</v>
      </c>
      <c r="BC643" s="27">
        <f t="shared" si="378"/>
        <v>0</v>
      </c>
      <c r="BD643" s="27">
        <f t="shared" si="379"/>
        <v>0</v>
      </c>
      <c r="BE643" s="27">
        <f t="shared" si="380"/>
        <v>0</v>
      </c>
      <c r="BF643" s="29">
        <f t="shared" si="399"/>
        <v>0</v>
      </c>
      <c r="BH643" s="30">
        <f t="shared" si="375"/>
        <v>0</v>
      </c>
      <c r="BM643" s="2">
        <f t="shared" si="406"/>
        <v>0</v>
      </c>
      <c r="BP643" s="2">
        <f t="shared" si="407"/>
        <v>0</v>
      </c>
    </row>
    <row r="644" spans="1:68" ht="14.45" hidden="1" customHeight="1" x14ac:dyDescent="0.25">
      <c r="A644" s="33" t="s">
        <v>655</v>
      </c>
      <c r="B644" s="23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13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5"/>
      <c r="AD644" s="25">
        <f t="shared" si="403"/>
        <v>0</v>
      </c>
      <c r="AE644" s="40" t="s">
        <v>42</v>
      </c>
      <c r="AF644" s="27"/>
      <c r="AG644" s="17">
        <f t="shared" si="366"/>
        <v>0</v>
      </c>
      <c r="AH644" s="28">
        <f t="shared" si="367"/>
        <v>0</v>
      </c>
      <c r="AI644" s="17">
        <f t="shared" si="368"/>
        <v>0</v>
      </c>
      <c r="AJ644" s="28">
        <f t="shared" si="369"/>
        <v>0</v>
      </c>
      <c r="AK644" s="17">
        <f t="shared" si="377"/>
        <v>0</v>
      </c>
      <c r="AL644" s="28">
        <f t="shared" si="370"/>
        <v>0</v>
      </c>
      <c r="AM644" s="17">
        <f t="shared" si="385"/>
        <v>0</v>
      </c>
      <c r="AN644" s="28">
        <f t="shared" si="398"/>
        <v>0</v>
      </c>
      <c r="AO644" s="17">
        <f t="shared" si="400"/>
        <v>0</v>
      </c>
      <c r="AP644" s="28">
        <f t="shared" si="404"/>
        <v>0</v>
      </c>
      <c r="AQ644" s="17">
        <f t="shared" si="401"/>
        <v>0</v>
      </c>
      <c r="AR644" s="28">
        <f t="shared" si="405"/>
        <v>0</v>
      </c>
      <c r="AS644" s="17">
        <f t="shared" si="381"/>
        <v>0</v>
      </c>
      <c r="AT644" s="28">
        <f t="shared" si="382"/>
        <v>0</v>
      </c>
      <c r="AU644" s="17">
        <f t="shared" si="383"/>
        <v>0</v>
      </c>
      <c r="AV644" s="28">
        <f t="shared" si="384"/>
        <v>0</v>
      </c>
      <c r="AW644" s="17">
        <f t="shared" si="371"/>
        <v>0</v>
      </c>
      <c r="AX644" s="28">
        <f t="shared" si="372"/>
        <v>0</v>
      </c>
      <c r="AY644" s="17">
        <f t="shared" si="373"/>
        <v>0</v>
      </c>
      <c r="AZ644" s="28">
        <f t="shared" si="374"/>
        <v>0</v>
      </c>
      <c r="BA644" s="27">
        <f t="shared" si="402"/>
        <v>0</v>
      </c>
      <c r="BB644" s="27">
        <f t="shared" si="376"/>
        <v>0</v>
      </c>
      <c r="BC644" s="27">
        <f t="shared" si="378"/>
        <v>0</v>
      </c>
      <c r="BD644" s="27">
        <f t="shared" si="379"/>
        <v>0</v>
      </c>
      <c r="BE644" s="27">
        <f t="shared" si="380"/>
        <v>0</v>
      </c>
      <c r="BF644" s="29">
        <f t="shared" si="399"/>
        <v>0</v>
      </c>
      <c r="BH644" s="30">
        <f t="shared" si="375"/>
        <v>0</v>
      </c>
      <c r="BM644" s="2">
        <f t="shared" si="406"/>
        <v>0</v>
      </c>
      <c r="BP644" s="2">
        <f t="shared" si="407"/>
        <v>0</v>
      </c>
    </row>
    <row r="645" spans="1:68" ht="14.45" hidden="1" customHeight="1" x14ac:dyDescent="0.25">
      <c r="A645" s="33" t="s">
        <v>656</v>
      </c>
      <c r="B645" s="23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13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5"/>
      <c r="AD645" s="25">
        <f t="shared" si="403"/>
        <v>0</v>
      </c>
      <c r="AE645" s="40" t="s">
        <v>42</v>
      </c>
      <c r="AF645" s="27"/>
      <c r="AG645" s="17">
        <f t="shared" si="366"/>
        <v>0</v>
      </c>
      <c r="AH645" s="28">
        <f t="shared" si="367"/>
        <v>0</v>
      </c>
      <c r="AI645" s="17">
        <f t="shared" si="368"/>
        <v>0</v>
      </c>
      <c r="AJ645" s="28">
        <f t="shared" si="369"/>
        <v>0</v>
      </c>
      <c r="AK645" s="17">
        <f t="shared" si="377"/>
        <v>0</v>
      </c>
      <c r="AL645" s="28">
        <f t="shared" si="370"/>
        <v>0</v>
      </c>
      <c r="AM645" s="17">
        <f t="shared" si="385"/>
        <v>0</v>
      </c>
      <c r="AN645" s="28">
        <f t="shared" si="398"/>
        <v>0</v>
      </c>
      <c r="AO645" s="17">
        <f t="shared" si="400"/>
        <v>0</v>
      </c>
      <c r="AP645" s="28">
        <f t="shared" si="404"/>
        <v>0</v>
      </c>
      <c r="AQ645" s="17">
        <f t="shared" si="401"/>
        <v>0</v>
      </c>
      <c r="AR645" s="28">
        <f t="shared" si="405"/>
        <v>0</v>
      </c>
      <c r="AS645" s="17">
        <f t="shared" si="381"/>
        <v>0</v>
      </c>
      <c r="AT645" s="28">
        <f t="shared" si="382"/>
        <v>0</v>
      </c>
      <c r="AU645" s="17">
        <f t="shared" si="383"/>
        <v>0</v>
      </c>
      <c r="AV645" s="28">
        <f t="shared" si="384"/>
        <v>0</v>
      </c>
      <c r="AW645" s="17">
        <f t="shared" si="371"/>
        <v>0</v>
      </c>
      <c r="AX645" s="28">
        <f t="shared" si="372"/>
        <v>0</v>
      </c>
      <c r="AY645" s="17">
        <f t="shared" si="373"/>
        <v>0</v>
      </c>
      <c r="AZ645" s="28">
        <f t="shared" si="374"/>
        <v>0</v>
      </c>
      <c r="BA645" s="27">
        <f t="shared" si="402"/>
        <v>0</v>
      </c>
      <c r="BB645" s="27">
        <f t="shared" si="376"/>
        <v>0</v>
      </c>
      <c r="BC645" s="27">
        <f t="shared" si="378"/>
        <v>0</v>
      </c>
      <c r="BD645" s="27">
        <f t="shared" si="379"/>
        <v>0</v>
      </c>
      <c r="BE645" s="27">
        <f t="shared" si="380"/>
        <v>0</v>
      </c>
      <c r="BF645" s="29">
        <f t="shared" si="399"/>
        <v>0</v>
      </c>
      <c r="BH645" s="30">
        <f t="shared" si="375"/>
        <v>0</v>
      </c>
      <c r="BM645" s="2">
        <f t="shared" si="406"/>
        <v>0</v>
      </c>
      <c r="BP645" s="2">
        <f t="shared" si="407"/>
        <v>0</v>
      </c>
    </row>
    <row r="646" spans="1:68" ht="14.45" hidden="1" customHeight="1" x14ac:dyDescent="0.25">
      <c r="A646" s="33" t="s">
        <v>657</v>
      </c>
      <c r="B646" s="23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13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5"/>
      <c r="AD646" s="25">
        <f t="shared" si="403"/>
        <v>0</v>
      </c>
      <c r="AE646" s="26" t="s">
        <v>42</v>
      </c>
      <c r="AF646" s="27"/>
      <c r="AG646" s="17">
        <f t="shared" si="366"/>
        <v>0</v>
      </c>
      <c r="AH646" s="28">
        <f t="shared" si="367"/>
        <v>0</v>
      </c>
      <c r="AI646" s="17">
        <f t="shared" si="368"/>
        <v>0</v>
      </c>
      <c r="AJ646" s="28">
        <f t="shared" si="369"/>
        <v>0</v>
      </c>
      <c r="AK646" s="17">
        <f t="shared" si="377"/>
        <v>0</v>
      </c>
      <c r="AL646" s="28">
        <f t="shared" si="370"/>
        <v>0</v>
      </c>
      <c r="AM646" s="17">
        <f t="shared" si="385"/>
        <v>0</v>
      </c>
      <c r="AN646" s="28">
        <f t="shared" si="398"/>
        <v>0</v>
      </c>
      <c r="AO646" s="17">
        <f t="shared" si="400"/>
        <v>0</v>
      </c>
      <c r="AP646" s="28">
        <f t="shared" si="404"/>
        <v>0</v>
      </c>
      <c r="AQ646" s="17">
        <f t="shared" si="401"/>
        <v>0</v>
      </c>
      <c r="AR646" s="28">
        <f t="shared" si="405"/>
        <v>0</v>
      </c>
      <c r="AS646" s="17">
        <f t="shared" si="381"/>
        <v>0</v>
      </c>
      <c r="AT646" s="28">
        <f t="shared" si="382"/>
        <v>0</v>
      </c>
      <c r="AU646" s="17">
        <f t="shared" si="383"/>
        <v>0</v>
      </c>
      <c r="AV646" s="28">
        <f t="shared" si="384"/>
        <v>0</v>
      </c>
      <c r="AW646" s="17">
        <f t="shared" si="371"/>
        <v>0</v>
      </c>
      <c r="AX646" s="28">
        <f t="shared" si="372"/>
        <v>0</v>
      </c>
      <c r="AY646" s="17">
        <f t="shared" si="373"/>
        <v>0</v>
      </c>
      <c r="AZ646" s="28">
        <f t="shared" si="374"/>
        <v>0</v>
      </c>
      <c r="BA646" s="27">
        <f t="shared" si="402"/>
        <v>0</v>
      </c>
      <c r="BB646" s="27">
        <f t="shared" si="376"/>
        <v>0</v>
      </c>
      <c r="BC646" s="27">
        <f t="shared" si="378"/>
        <v>0</v>
      </c>
      <c r="BD646" s="27">
        <f t="shared" si="379"/>
        <v>0</v>
      </c>
      <c r="BE646" s="27">
        <f t="shared" si="380"/>
        <v>0</v>
      </c>
      <c r="BF646" s="29">
        <f t="shared" si="399"/>
        <v>0</v>
      </c>
      <c r="BH646" s="30">
        <f t="shared" si="375"/>
        <v>0</v>
      </c>
      <c r="BM646" s="2">
        <f t="shared" si="406"/>
        <v>0</v>
      </c>
      <c r="BP646" s="2">
        <f t="shared" si="407"/>
        <v>0</v>
      </c>
    </row>
    <row r="647" spans="1:68" ht="14.45" hidden="1" customHeight="1" x14ac:dyDescent="0.25">
      <c r="A647" s="33" t="s">
        <v>658</v>
      </c>
      <c r="B647" s="23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13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5"/>
      <c r="AD647" s="25">
        <f t="shared" si="403"/>
        <v>0</v>
      </c>
      <c r="AE647" s="26" t="s">
        <v>42</v>
      </c>
      <c r="AF647" s="27"/>
      <c r="AG647" s="17">
        <f t="shared" ref="AG647:AG710" si="408">SUM(F647:L647)-G647</f>
        <v>0</v>
      </c>
      <c r="AH647" s="28">
        <f t="shared" ref="AH647:AH710" si="409">+AG647*AF647</f>
        <v>0</v>
      </c>
      <c r="AI647" s="17">
        <f t="shared" ref="AI647:AI710" si="410">SUM(T647:Y647)-U647</f>
        <v>0</v>
      </c>
      <c r="AJ647" s="28">
        <f t="shared" ref="AJ647:AJ710" si="411">+AI647*AF647</f>
        <v>0</v>
      </c>
      <c r="AK647" s="17">
        <f t="shared" si="377"/>
        <v>0</v>
      </c>
      <c r="AL647" s="28">
        <f t="shared" ref="AL647:AL710" si="412">+AK647*AF647</f>
        <v>0</v>
      </c>
      <c r="AM647" s="17">
        <f t="shared" si="385"/>
        <v>0</v>
      </c>
      <c r="AN647" s="28">
        <f t="shared" si="398"/>
        <v>0</v>
      </c>
      <c r="AO647" s="17">
        <f t="shared" si="400"/>
        <v>0</v>
      </c>
      <c r="AP647" s="28">
        <f t="shared" si="404"/>
        <v>0</v>
      </c>
      <c r="AQ647" s="17">
        <f t="shared" si="401"/>
        <v>0</v>
      </c>
      <c r="AR647" s="28">
        <f t="shared" si="405"/>
        <v>0</v>
      </c>
      <c r="AS647" s="17">
        <f t="shared" si="381"/>
        <v>0</v>
      </c>
      <c r="AT647" s="28">
        <f t="shared" si="382"/>
        <v>0</v>
      </c>
      <c r="AU647" s="17">
        <f t="shared" si="383"/>
        <v>0</v>
      </c>
      <c r="AV647" s="28">
        <f t="shared" si="384"/>
        <v>0</v>
      </c>
      <c r="AW647" s="17">
        <f t="shared" ref="AW647:AW710" si="413">+D647</f>
        <v>0</v>
      </c>
      <c r="AX647" s="28">
        <f t="shared" ref="AX647:AX710" si="414">+AW647*AF647</f>
        <v>0</v>
      </c>
      <c r="AY647" s="17">
        <f t="shared" ref="AY647:AY710" si="415">+R647</f>
        <v>0</v>
      </c>
      <c r="AZ647" s="28">
        <f t="shared" ref="AZ647:AZ710" si="416">+AY647*AF647</f>
        <v>0</v>
      </c>
      <c r="BA647" s="27">
        <f t="shared" si="402"/>
        <v>0</v>
      </c>
      <c r="BB647" s="27">
        <f t="shared" si="376"/>
        <v>0</v>
      </c>
      <c r="BC647" s="27">
        <f t="shared" si="378"/>
        <v>0</v>
      </c>
      <c r="BD647" s="27">
        <f t="shared" si="379"/>
        <v>0</v>
      </c>
      <c r="BE647" s="27">
        <f t="shared" si="380"/>
        <v>0</v>
      </c>
      <c r="BF647" s="29">
        <f t="shared" si="399"/>
        <v>0</v>
      </c>
      <c r="BH647" s="30">
        <f t="shared" ref="BH647:BH710" si="417">+B647+C647+E647+G647+M647+N647+O647+(P647+Q647+S647+U647+Z647+AA647+AB647)</f>
        <v>0</v>
      </c>
      <c r="BM647" s="2">
        <f t="shared" si="406"/>
        <v>0</v>
      </c>
      <c r="BP647" s="2">
        <f t="shared" si="407"/>
        <v>0</v>
      </c>
    </row>
    <row r="648" spans="1:68" ht="14.45" hidden="1" customHeight="1" x14ac:dyDescent="0.25">
      <c r="A648" s="33" t="s">
        <v>659</v>
      </c>
      <c r="B648" s="23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13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5"/>
      <c r="AD648" s="25">
        <f t="shared" si="403"/>
        <v>0</v>
      </c>
      <c r="AE648" s="26" t="s">
        <v>42</v>
      </c>
      <c r="AF648" s="27"/>
      <c r="AG648" s="17">
        <f t="shared" si="408"/>
        <v>0</v>
      </c>
      <c r="AH648" s="28">
        <f t="shared" si="409"/>
        <v>0</v>
      </c>
      <c r="AI648" s="17">
        <f t="shared" si="410"/>
        <v>0</v>
      </c>
      <c r="AJ648" s="28">
        <f t="shared" si="411"/>
        <v>0</v>
      </c>
      <c r="AK648" s="17">
        <f t="shared" si="377"/>
        <v>0</v>
      </c>
      <c r="AL648" s="28">
        <f t="shared" si="412"/>
        <v>0</v>
      </c>
      <c r="AM648" s="17">
        <f t="shared" si="385"/>
        <v>0</v>
      </c>
      <c r="AN648" s="28">
        <f t="shared" si="398"/>
        <v>0</v>
      </c>
      <c r="AO648" s="17">
        <f t="shared" si="400"/>
        <v>0</v>
      </c>
      <c r="AP648" s="28">
        <f t="shared" si="404"/>
        <v>0</v>
      </c>
      <c r="AQ648" s="17">
        <f t="shared" si="401"/>
        <v>0</v>
      </c>
      <c r="AR648" s="28">
        <f t="shared" si="405"/>
        <v>0</v>
      </c>
      <c r="AS648" s="17">
        <f t="shared" si="381"/>
        <v>0</v>
      </c>
      <c r="AT648" s="28">
        <f t="shared" si="382"/>
        <v>0</v>
      </c>
      <c r="AU648" s="17">
        <f t="shared" si="383"/>
        <v>0</v>
      </c>
      <c r="AV648" s="28">
        <f t="shared" si="384"/>
        <v>0</v>
      </c>
      <c r="AW648" s="17">
        <f t="shared" si="413"/>
        <v>0</v>
      </c>
      <c r="AX648" s="28">
        <f t="shared" si="414"/>
        <v>0</v>
      </c>
      <c r="AY648" s="17">
        <f t="shared" si="415"/>
        <v>0</v>
      </c>
      <c r="AZ648" s="28">
        <f t="shared" si="416"/>
        <v>0</v>
      </c>
      <c r="BA648" s="27">
        <f t="shared" si="402"/>
        <v>0</v>
      </c>
      <c r="BB648" s="27">
        <f t="shared" ref="BB648:BB711" si="418">+AL648+AN648</f>
        <v>0</v>
      </c>
      <c r="BC648" s="27">
        <f t="shared" si="378"/>
        <v>0</v>
      </c>
      <c r="BD648" s="27">
        <f t="shared" si="379"/>
        <v>0</v>
      </c>
      <c r="BE648" s="27">
        <f t="shared" si="380"/>
        <v>0</v>
      </c>
      <c r="BF648" s="29">
        <f t="shared" si="399"/>
        <v>0</v>
      </c>
      <c r="BH648" s="30">
        <f t="shared" si="417"/>
        <v>0</v>
      </c>
      <c r="BM648" s="2">
        <f t="shared" si="406"/>
        <v>0</v>
      </c>
      <c r="BP648" s="2">
        <f t="shared" si="407"/>
        <v>0</v>
      </c>
    </row>
    <row r="649" spans="1:68" ht="14.45" hidden="1" customHeight="1" x14ac:dyDescent="0.25">
      <c r="A649" s="33" t="s">
        <v>660</v>
      </c>
      <c r="B649" s="23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13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5"/>
      <c r="AD649" s="25">
        <f t="shared" si="403"/>
        <v>0</v>
      </c>
      <c r="AE649" s="26" t="s">
        <v>42</v>
      </c>
      <c r="AF649" s="27"/>
      <c r="AG649" s="17">
        <f t="shared" si="408"/>
        <v>0</v>
      </c>
      <c r="AH649" s="28">
        <f t="shared" si="409"/>
        <v>0</v>
      </c>
      <c r="AI649" s="17">
        <f t="shared" si="410"/>
        <v>0</v>
      </c>
      <c r="AJ649" s="28">
        <f t="shared" si="411"/>
        <v>0</v>
      </c>
      <c r="AK649" s="17">
        <f t="shared" ref="AK649:AK712" si="419">+N649+O649+G649</f>
        <v>0</v>
      </c>
      <c r="AL649" s="28">
        <f t="shared" si="412"/>
        <v>0</v>
      </c>
      <c r="AM649" s="17">
        <f t="shared" si="385"/>
        <v>0</v>
      </c>
      <c r="AN649" s="28">
        <f t="shared" si="398"/>
        <v>0</v>
      </c>
      <c r="AO649" s="17">
        <f t="shared" si="400"/>
        <v>0</v>
      </c>
      <c r="AP649" s="28">
        <f t="shared" si="404"/>
        <v>0</v>
      </c>
      <c r="AQ649" s="17">
        <f t="shared" si="401"/>
        <v>0</v>
      </c>
      <c r="AR649" s="28">
        <f t="shared" si="405"/>
        <v>0</v>
      </c>
      <c r="AS649" s="17">
        <f t="shared" si="381"/>
        <v>0</v>
      </c>
      <c r="AT649" s="28">
        <f t="shared" si="382"/>
        <v>0</v>
      </c>
      <c r="AU649" s="17">
        <f t="shared" si="383"/>
        <v>0</v>
      </c>
      <c r="AV649" s="28">
        <f t="shared" si="384"/>
        <v>0</v>
      </c>
      <c r="AW649" s="17">
        <f t="shared" si="413"/>
        <v>0</v>
      </c>
      <c r="AX649" s="28">
        <f t="shared" si="414"/>
        <v>0</v>
      </c>
      <c r="AY649" s="17">
        <f t="shared" si="415"/>
        <v>0</v>
      </c>
      <c r="AZ649" s="28">
        <f t="shared" si="416"/>
        <v>0</v>
      </c>
      <c r="BA649" s="27">
        <f t="shared" si="402"/>
        <v>0</v>
      </c>
      <c r="BB649" s="27">
        <f t="shared" si="418"/>
        <v>0</v>
      </c>
      <c r="BC649" s="27">
        <f t="shared" ref="BC649:BC712" si="420">+AP649+AR649</f>
        <v>0</v>
      </c>
      <c r="BD649" s="27">
        <f t="shared" ref="BD649:BD712" si="421">+AT649+AV649</f>
        <v>0</v>
      </c>
      <c r="BE649" s="27">
        <f t="shared" ref="BE649:BE712" si="422">+AX649+AZ649</f>
        <v>0</v>
      </c>
      <c r="BF649" s="29">
        <f t="shared" si="399"/>
        <v>0</v>
      </c>
      <c r="BH649" s="30">
        <f t="shared" si="417"/>
        <v>0</v>
      </c>
      <c r="BM649" s="2">
        <f t="shared" si="406"/>
        <v>0</v>
      </c>
      <c r="BP649" s="2">
        <f t="shared" si="407"/>
        <v>0</v>
      </c>
    </row>
    <row r="650" spans="1:68" ht="14.45" hidden="1" customHeight="1" x14ac:dyDescent="0.25">
      <c r="A650" s="33" t="s">
        <v>661</v>
      </c>
      <c r="B650" s="23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13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5"/>
      <c r="AD650" s="25">
        <f t="shared" si="403"/>
        <v>0</v>
      </c>
      <c r="AE650" s="26" t="s">
        <v>42</v>
      </c>
      <c r="AF650" s="27"/>
      <c r="AG650" s="17">
        <f t="shared" si="408"/>
        <v>0</v>
      </c>
      <c r="AH650" s="28">
        <f t="shared" si="409"/>
        <v>0</v>
      </c>
      <c r="AI650" s="17">
        <f t="shared" si="410"/>
        <v>0</v>
      </c>
      <c r="AJ650" s="28">
        <f t="shared" si="411"/>
        <v>0</v>
      </c>
      <c r="AK650" s="17">
        <f t="shared" si="419"/>
        <v>0</v>
      </c>
      <c r="AL650" s="28">
        <f t="shared" si="412"/>
        <v>0</v>
      </c>
      <c r="AM650" s="17">
        <f t="shared" si="385"/>
        <v>0</v>
      </c>
      <c r="AN650" s="28">
        <f t="shared" si="398"/>
        <v>0</v>
      </c>
      <c r="AO650" s="17">
        <f t="shared" si="400"/>
        <v>0</v>
      </c>
      <c r="AP650" s="28">
        <f t="shared" si="404"/>
        <v>0</v>
      </c>
      <c r="AQ650" s="17">
        <f t="shared" si="401"/>
        <v>0</v>
      </c>
      <c r="AR650" s="28">
        <f t="shared" si="405"/>
        <v>0</v>
      </c>
      <c r="AS650" s="17">
        <f t="shared" ref="AS650:AS713" si="423">+C650</f>
        <v>0</v>
      </c>
      <c r="AT650" s="28">
        <f t="shared" ref="AT650:AT713" si="424">+AS650*AF650</f>
        <v>0</v>
      </c>
      <c r="AU650" s="17">
        <f t="shared" ref="AU650:AU713" si="425">+Q650</f>
        <v>0</v>
      </c>
      <c r="AV650" s="28">
        <f t="shared" ref="AV650:AV713" si="426">+AU650*AF650</f>
        <v>0</v>
      </c>
      <c r="AW650" s="17">
        <f t="shared" si="413"/>
        <v>0</v>
      </c>
      <c r="AX650" s="28">
        <f t="shared" si="414"/>
        <v>0</v>
      </c>
      <c r="AY650" s="17">
        <f t="shared" si="415"/>
        <v>0</v>
      </c>
      <c r="AZ650" s="28">
        <f t="shared" si="416"/>
        <v>0</v>
      </c>
      <c r="BA650" s="27">
        <f t="shared" si="402"/>
        <v>0</v>
      </c>
      <c r="BB650" s="27">
        <f t="shared" si="418"/>
        <v>0</v>
      </c>
      <c r="BC650" s="27">
        <f t="shared" si="420"/>
        <v>0</v>
      </c>
      <c r="BD650" s="27">
        <f t="shared" si="421"/>
        <v>0</v>
      </c>
      <c r="BE650" s="27">
        <f t="shared" si="422"/>
        <v>0</v>
      </c>
      <c r="BF650" s="29">
        <f t="shared" si="399"/>
        <v>0</v>
      </c>
      <c r="BH650" s="30">
        <f t="shared" si="417"/>
        <v>0</v>
      </c>
      <c r="BM650" s="2">
        <f t="shared" si="406"/>
        <v>0</v>
      </c>
      <c r="BP650" s="2">
        <f t="shared" si="407"/>
        <v>0</v>
      </c>
    </row>
    <row r="651" spans="1:68" ht="14.45" hidden="1" customHeight="1" x14ac:dyDescent="0.25">
      <c r="A651" s="33" t="s">
        <v>662</v>
      </c>
      <c r="B651" s="23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13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5"/>
      <c r="AD651" s="25">
        <f t="shared" si="403"/>
        <v>0</v>
      </c>
      <c r="AE651" s="26" t="s">
        <v>42</v>
      </c>
      <c r="AF651" s="27"/>
      <c r="AG651" s="17">
        <f t="shared" si="408"/>
        <v>0</v>
      </c>
      <c r="AH651" s="28">
        <f t="shared" si="409"/>
        <v>0</v>
      </c>
      <c r="AI651" s="17">
        <f t="shared" si="410"/>
        <v>0</v>
      </c>
      <c r="AJ651" s="28">
        <f t="shared" si="411"/>
        <v>0</v>
      </c>
      <c r="AK651" s="17">
        <f t="shared" si="419"/>
        <v>0</v>
      </c>
      <c r="AL651" s="28">
        <f t="shared" si="412"/>
        <v>0</v>
      </c>
      <c r="AM651" s="17">
        <f t="shared" ref="AM651:AM714" si="427">+AA651+AB651+U651</f>
        <v>0</v>
      </c>
      <c r="AN651" s="28">
        <f t="shared" si="398"/>
        <v>0</v>
      </c>
      <c r="AO651" s="17">
        <f t="shared" si="400"/>
        <v>0</v>
      </c>
      <c r="AP651" s="28">
        <f t="shared" si="404"/>
        <v>0</v>
      </c>
      <c r="AQ651" s="17">
        <f t="shared" si="401"/>
        <v>0</v>
      </c>
      <c r="AR651" s="28">
        <f t="shared" si="405"/>
        <v>0</v>
      </c>
      <c r="AS651" s="17">
        <f t="shared" si="423"/>
        <v>0</v>
      </c>
      <c r="AT651" s="28">
        <f t="shared" si="424"/>
        <v>0</v>
      </c>
      <c r="AU651" s="17">
        <f t="shared" si="425"/>
        <v>0</v>
      </c>
      <c r="AV651" s="28">
        <f t="shared" si="426"/>
        <v>0</v>
      </c>
      <c r="AW651" s="17">
        <f t="shared" si="413"/>
        <v>0</v>
      </c>
      <c r="AX651" s="28">
        <f t="shared" si="414"/>
        <v>0</v>
      </c>
      <c r="AY651" s="17">
        <f t="shared" si="415"/>
        <v>0</v>
      </c>
      <c r="AZ651" s="28">
        <f t="shared" si="416"/>
        <v>0</v>
      </c>
      <c r="BA651" s="27">
        <f t="shared" si="402"/>
        <v>0</v>
      </c>
      <c r="BB651" s="27">
        <f t="shared" si="418"/>
        <v>0</v>
      </c>
      <c r="BC651" s="27">
        <f t="shared" si="420"/>
        <v>0</v>
      </c>
      <c r="BD651" s="27">
        <f t="shared" si="421"/>
        <v>0</v>
      </c>
      <c r="BE651" s="27">
        <f t="shared" si="422"/>
        <v>0</v>
      </c>
      <c r="BF651" s="29">
        <f t="shared" si="399"/>
        <v>0</v>
      </c>
      <c r="BH651" s="30">
        <f t="shared" si="417"/>
        <v>0</v>
      </c>
      <c r="BM651" s="2">
        <f t="shared" si="406"/>
        <v>0</v>
      </c>
      <c r="BP651" s="2">
        <f t="shared" si="407"/>
        <v>0</v>
      </c>
    </row>
    <row r="652" spans="1:68" x14ac:dyDescent="0.25">
      <c r="A652" s="33" t="s">
        <v>663</v>
      </c>
      <c r="B652" s="23"/>
      <c r="C652" s="24"/>
      <c r="D652" s="24">
        <v>87</v>
      </c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13">
        <v>32</v>
      </c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5"/>
      <c r="AD652" s="39">
        <f>SUM(B652:AB652)</f>
        <v>119</v>
      </c>
      <c r="AE652" s="26" t="s">
        <v>42</v>
      </c>
      <c r="AF652" s="27">
        <v>2483</v>
      </c>
      <c r="AG652" s="17">
        <f t="shared" si="408"/>
        <v>0</v>
      </c>
      <c r="AH652" s="28">
        <f t="shared" si="409"/>
        <v>0</v>
      </c>
      <c r="AI652" s="17">
        <f t="shared" si="410"/>
        <v>0</v>
      </c>
      <c r="AJ652" s="28">
        <f t="shared" si="411"/>
        <v>0</v>
      </c>
      <c r="AK652" s="17">
        <f t="shared" si="419"/>
        <v>32</v>
      </c>
      <c r="AL652" s="28">
        <f t="shared" si="412"/>
        <v>79456</v>
      </c>
      <c r="AM652" s="17">
        <f t="shared" si="427"/>
        <v>0</v>
      </c>
      <c r="AN652" s="28">
        <f t="shared" si="398"/>
        <v>0</v>
      </c>
      <c r="AO652" s="17">
        <f t="shared" si="400"/>
        <v>0</v>
      </c>
      <c r="AP652" s="28">
        <f t="shared" si="404"/>
        <v>0</v>
      </c>
      <c r="AQ652" s="17">
        <f t="shared" si="401"/>
        <v>0</v>
      </c>
      <c r="AR652" s="28">
        <f t="shared" si="405"/>
        <v>0</v>
      </c>
      <c r="AS652" s="17">
        <f t="shared" si="423"/>
        <v>0</v>
      </c>
      <c r="AT652" s="28">
        <f t="shared" si="424"/>
        <v>0</v>
      </c>
      <c r="AU652" s="17">
        <f t="shared" si="425"/>
        <v>0</v>
      </c>
      <c r="AV652" s="28">
        <f t="shared" si="426"/>
        <v>0</v>
      </c>
      <c r="AW652" s="17">
        <f t="shared" si="413"/>
        <v>87</v>
      </c>
      <c r="AX652" s="28">
        <f t="shared" si="414"/>
        <v>216021</v>
      </c>
      <c r="AY652" s="17">
        <f t="shared" si="415"/>
        <v>0</v>
      </c>
      <c r="AZ652" s="28">
        <f t="shared" si="416"/>
        <v>0</v>
      </c>
      <c r="BA652" s="27">
        <f t="shared" si="402"/>
        <v>0</v>
      </c>
      <c r="BB652" s="27">
        <f t="shared" si="418"/>
        <v>79456</v>
      </c>
      <c r="BC652" s="27">
        <f t="shared" si="420"/>
        <v>0</v>
      </c>
      <c r="BD652" s="27">
        <f t="shared" si="421"/>
        <v>0</v>
      </c>
      <c r="BE652" s="27">
        <f t="shared" si="422"/>
        <v>216021</v>
      </c>
      <c r="BF652" s="29">
        <f t="shared" si="399"/>
        <v>79456</v>
      </c>
      <c r="BH652" s="30">
        <f t="shared" si="417"/>
        <v>32</v>
      </c>
      <c r="BM652" s="2">
        <f t="shared" si="406"/>
        <v>119</v>
      </c>
      <c r="BP652" s="2">
        <f t="shared" si="407"/>
        <v>119</v>
      </c>
    </row>
    <row r="653" spans="1:68" ht="14.45" hidden="1" customHeight="1" x14ac:dyDescent="0.25">
      <c r="A653" s="33" t="s">
        <v>664</v>
      </c>
      <c r="B653" s="23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13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5"/>
      <c r="AD653" s="25">
        <f t="shared" si="403"/>
        <v>0</v>
      </c>
      <c r="AE653" s="26" t="s">
        <v>42</v>
      </c>
      <c r="AF653" s="27"/>
      <c r="AG653" s="17">
        <f t="shared" si="408"/>
        <v>0</v>
      </c>
      <c r="AH653" s="28">
        <f t="shared" si="409"/>
        <v>0</v>
      </c>
      <c r="AI653" s="17">
        <f t="shared" si="410"/>
        <v>0</v>
      </c>
      <c r="AJ653" s="28">
        <f t="shared" si="411"/>
        <v>0</v>
      </c>
      <c r="AK653" s="17">
        <f t="shared" si="419"/>
        <v>0</v>
      </c>
      <c r="AL653" s="28">
        <f t="shared" si="412"/>
        <v>0</v>
      </c>
      <c r="AM653" s="17">
        <f t="shared" si="427"/>
        <v>0</v>
      </c>
      <c r="AN653" s="28">
        <f t="shared" si="398"/>
        <v>0</v>
      </c>
      <c r="AO653" s="17">
        <f t="shared" si="400"/>
        <v>0</v>
      </c>
      <c r="AP653" s="28">
        <f t="shared" si="404"/>
        <v>0</v>
      </c>
      <c r="AQ653" s="17">
        <f t="shared" si="401"/>
        <v>0</v>
      </c>
      <c r="AR653" s="28">
        <f t="shared" si="405"/>
        <v>0</v>
      </c>
      <c r="AS653" s="17">
        <f t="shared" si="423"/>
        <v>0</v>
      </c>
      <c r="AT653" s="28">
        <f t="shared" si="424"/>
        <v>0</v>
      </c>
      <c r="AU653" s="17">
        <f t="shared" si="425"/>
        <v>0</v>
      </c>
      <c r="AV653" s="28">
        <f t="shared" si="426"/>
        <v>0</v>
      </c>
      <c r="AW653" s="17">
        <f t="shared" si="413"/>
        <v>0</v>
      </c>
      <c r="AX653" s="28">
        <f t="shared" si="414"/>
        <v>0</v>
      </c>
      <c r="AY653" s="17">
        <f t="shared" si="415"/>
        <v>0</v>
      </c>
      <c r="AZ653" s="28">
        <f t="shared" si="416"/>
        <v>0</v>
      </c>
      <c r="BA653" s="27">
        <f t="shared" si="402"/>
        <v>0</v>
      </c>
      <c r="BB653" s="27">
        <f t="shared" si="418"/>
        <v>0</v>
      </c>
      <c r="BC653" s="27">
        <f t="shared" si="420"/>
        <v>0</v>
      </c>
      <c r="BD653" s="27">
        <f t="shared" si="421"/>
        <v>0</v>
      </c>
      <c r="BE653" s="27">
        <f t="shared" si="422"/>
        <v>0</v>
      </c>
      <c r="BF653" s="29">
        <f t="shared" si="399"/>
        <v>0</v>
      </c>
      <c r="BH653" s="30">
        <f t="shared" si="417"/>
        <v>0</v>
      </c>
      <c r="BM653" s="2">
        <f t="shared" si="406"/>
        <v>0</v>
      </c>
      <c r="BP653" s="2">
        <f t="shared" si="407"/>
        <v>0</v>
      </c>
    </row>
    <row r="654" spans="1:68" ht="14.45" hidden="1" customHeight="1" x14ac:dyDescent="0.25">
      <c r="A654" s="33" t="s">
        <v>665</v>
      </c>
      <c r="B654" s="23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13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5"/>
      <c r="AD654" s="25">
        <f t="shared" si="403"/>
        <v>0</v>
      </c>
      <c r="AE654" s="26" t="s">
        <v>42</v>
      </c>
      <c r="AF654" s="27"/>
      <c r="AG654" s="17">
        <f t="shared" si="408"/>
        <v>0</v>
      </c>
      <c r="AH654" s="28">
        <f t="shared" si="409"/>
        <v>0</v>
      </c>
      <c r="AI654" s="17">
        <f t="shared" si="410"/>
        <v>0</v>
      </c>
      <c r="AJ654" s="28">
        <f t="shared" si="411"/>
        <v>0</v>
      </c>
      <c r="AK654" s="17">
        <f t="shared" si="419"/>
        <v>0</v>
      </c>
      <c r="AL654" s="28">
        <f t="shared" si="412"/>
        <v>0</v>
      </c>
      <c r="AM654" s="17">
        <f t="shared" si="427"/>
        <v>0</v>
      </c>
      <c r="AN654" s="28">
        <f t="shared" si="398"/>
        <v>0</v>
      </c>
      <c r="AO654" s="17">
        <f t="shared" si="400"/>
        <v>0</v>
      </c>
      <c r="AP654" s="28">
        <f t="shared" si="404"/>
        <v>0</v>
      </c>
      <c r="AQ654" s="17">
        <f t="shared" si="401"/>
        <v>0</v>
      </c>
      <c r="AR654" s="28">
        <f t="shared" si="405"/>
        <v>0</v>
      </c>
      <c r="AS654" s="17">
        <f t="shared" si="423"/>
        <v>0</v>
      </c>
      <c r="AT654" s="28">
        <f t="shared" si="424"/>
        <v>0</v>
      </c>
      <c r="AU654" s="17">
        <f t="shared" si="425"/>
        <v>0</v>
      </c>
      <c r="AV654" s="28">
        <f t="shared" si="426"/>
        <v>0</v>
      </c>
      <c r="AW654" s="17">
        <f t="shared" si="413"/>
        <v>0</v>
      </c>
      <c r="AX654" s="28">
        <f t="shared" si="414"/>
        <v>0</v>
      </c>
      <c r="AY654" s="17">
        <f t="shared" si="415"/>
        <v>0</v>
      </c>
      <c r="AZ654" s="28">
        <f t="shared" si="416"/>
        <v>0</v>
      </c>
      <c r="BA654" s="27">
        <f t="shared" si="402"/>
        <v>0</v>
      </c>
      <c r="BB654" s="27">
        <f t="shared" si="418"/>
        <v>0</v>
      </c>
      <c r="BC654" s="27">
        <f t="shared" si="420"/>
        <v>0</v>
      </c>
      <c r="BD654" s="27">
        <f t="shared" si="421"/>
        <v>0</v>
      </c>
      <c r="BE654" s="27">
        <f t="shared" si="422"/>
        <v>0</v>
      </c>
      <c r="BF654" s="29">
        <f t="shared" si="399"/>
        <v>0</v>
      </c>
      <c r="BH654" s="30">
        <f t="shared" si="417"/>
        <v>0</v>
      </c>
      <c r="BM654" s="2">
        <f t="shared" si="406"/>
        <v>0</v>
      </c>
      <c r="BP654" s="2">
        <f t="shared" si="407"/>
        <v>0</v>
      </c>
    </row>
    <row r="655" spans="1:68" ht="14.45" hidden="1" customHeight="1" x14ac:dyDescent="0.25">
      <c r="A655" s="33" t="s">
        <v>666</v>
      </c>
      <c r="B655" s="23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13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5"/>
      <c r="AD655" s="25">
        <f t="shared" si="403"/>
        <v>0</v>
      </c>
      <c r="AE655" s="26" t="s">
        <v>42</v>
      </c>
      <c r="AF655" s="27"/>
      <c r="AG655" s="17">
        <f t="shared" si="408"/>
        <v>0</v>
      </c>
      <c r="AH655" s="28">
        <f t="shared" si="409"/>
        <v>0</v>
      </c>
      <c r="AI655" s="17">
        <f t="shared" si="410"/>
        <v>0</v>
      </c>
      <c r="AJ655" s="28">
        <f t="shared" si="411"/>
        <v>0</v>
      </c>
      <c r="AK655" s="17">
        <f t="shared" si="419"/>
        <v>0</v>
      </c>
      <c r="AL655" s="28">
        <f t="shared" si="412"/>
        <v>0</v>
      </c>
      <c r="AM655" s="17">
        <f t="shared" si="427"/>
        <v>0</v>
      </c>
      <c r="AN655" s="28">
        <f t="shared" si="398"/>
        <v>0</v>
      </c>
      <c r="AO655" s="17">
        <f t="shared" si="400"/>
        <v>0</v>
      </c>
      <c r="AP655" s="28">
        <f t="shared" si="404"/>
        <v>0</v>
      </c>
      <c r="AQ655" s="17">
        <f t="shared" si="401"/>
        <v>0</v>
      </c>
      <c r="AR655" s="28">
        <f t="shared" si="405"/>
        <v>0</v>
      </c>
      <c r="AS655" s="17">
        <f t="shared" si="423"/>
        <v>0</v>
      </c>
      <c r="AT655" s="28">
        <f t="shared" si="424"/>
        <v>0</v>
      </c>
      <c r="AU655" s="17">
        <f t="shared" si="425"/>
        <v>0</v>
      </c>
      <c r="AV655" s="28">
        <f t="shared" si="426"/>
        <v>0</v>
      </c>
      <c r="AW655" s="17">
        <f t="shared" si="413"/>
        <v>0</v>
      </c>
      <c r="AX655" s="28">
        <f t="shared" si="414"/>
        <v>0</v>
      </c>
      <c r="AY655" s="17">
        <f t="shared" si="415"/>
        <v>0</v>
      </c>
      <c r="AZ655" s="28">
        <f t="shared" si="416"/>
        <v>0</v>
      </c>
      <c r="BA655" s="27">
        <f t="shared" si="402"/>
        <v>0</v>
      </c>
      <c r="BB655" s="27">
        <f t="shared" si="418"/>
        <v>0</v>
      </c>
      <c r="BC655" s="27">
        <f t="shared" si="420"/>
        <v>0</v>
      </c>
      <c r="BD655" s="27">
        <f t="shared" si="421"/>
        <v>0</v>
      </c>
      <c r="BE655" s="27">
        <f t="shared" si="422"/>
        <v>0</v>
      </c>
      <c r="BF655" s="29">
        <f t="shared" si="399"/>
        <v>0</v>
      </c>
      <c r="BH655" s="30">
        <f t="shared" si="417"/>
        <v>0</v>
      </c>
      <c r="BM655" s="2">
        <f t="shared" si="406"/>
        <v>0</v>
      </c>
      <c r="BP655" s="2">
        <f t="shared" si="407"/>
        <v>0</v>
      </c>
    </row>
    <row r="656" spans="1:68" ht="14.45" hidden="1" customHeight="1" x14ac:dyDescent="0.25">
      <c r="A656" s="33" t="s">
        <v>667</v>
      </c>
      <c r="B656" s="23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13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5"/>
      <c r="AD656" s="25">
        <f t="shared" si="403"/>
        <v>0</v>
      </c>
      <c r="AE656" s="26" t="s">
        <v>42</v>
      </c>
      <c r="AF656" s="27"/>
      <c r="AG656" s="17">
        <f t="shared" si="408"/>
        <v>0</v>
      </c>
      <c r="AH656" s="28">
        <f t="shared" si="409"/>
        <v>0</v>
      </c>
      <c r="AI656" s="17">
        <f t="shared" si="410"/>
        <v>0</v>
      </c>
      <c r="AJ656" s="28">
        <f t="shared" si="411"/>
        <v>0</v>
      </c>
      <c r="AK656" s="17">
        <f t="shared" si="419"/>
        <v>0</v>
      </c>
      <c r="AL656" s="28">
        <f t="shared" si="412"/>
        <v>0</v>
      </c>
      <c r="AM656" s="17">
        <f t="shared" si="427"/>
        <v>0</v>
      </c>
      <c r="AN656" s="28">
        <f t="shared" si="398"/>
        <v>0</v>
      </c>
      <c r="AO656" s="17">
        <f t="shared" si="400"/>
        <v>0</v>
      </c>
      <c r="AP656" s="28">
        <f t="shared" si="404"/>
        <v>0</v>
      </c>
      <c r="AQ656" s="17">
        <f t="shared" si="401"/>
        <v>0</v>
      </c>
      <c r="AR656" s="28">
        <f t="shared" si="405"/>
        <v>0</v>
      </c>
      <c r="AS656" s="17">
        <f t="shared" si="423"/>
        <v>0</v>
      </c>
      <c r="AT656" s="28">
        <f t="shared" si="424"/>
        <v>0</v>
      </c>
      <c r="AU656" s="17">
        <f t="shared" si="425"/>
        <v>0</v>
      </c>
      <c r="AV656" s="28">
        <f t="shared" si="426"/>
        <v>0</v>
      </c>
      <c r="AW656" s="17">
        <f t="shared" si="413"/>
        <v>0</v>
      </c>
      <c r="AX656" s="28">
        <f t="shared" si="414"/>
        <v>0</v>
      </c>
      <c r="AY656" s="17">
        <f t="shared" si="415"/>
        <v>0</v>
      </c>
      <c r="AZ656" s="28">
        <f t="shared" si="416"/>
        <v>0</v>
      </c>
      <c r="BA656" s="27">
        <f t="shared" si="402"/>
        <v>0</v>
      </c>
      <c r="BB656" s="27">
        <f t="shared" si="418"/>
        <v>0</v>
      </c>
      <c r="BC656" s="27">
        <f t="shared" si="420"/>
        <v>0</v>
      </c>
      <c r="BD656" s="27">
        <f t="shared" si="421"/>
        <v>0</v>
      </c>
      <c r="BE656" s="27">
        <f t="shared" si="422"/>
        <v>0</v>
      </c>
      <c r="BF656" s="29">
        <f t="shared" si="399"/>
        <v>0</v>
      </c>
      <c r="BH656" s="30">
        <f t="shared" si="417"/>
        <v>0</v>
      </c>
      <c r="BM656" s="2">
        <f t="shared" si="406"/>
        <v>0</v>
      </c>
      <c r="BP656" s="2">
        <f t="shared" si="407"/>
        <v>0</v>
      </c>
    </row>
    <row r="657" spans="1:68" ht="14.45" hidden="1" customHeight="1" x14ac:dyDescent="0.25">
      <c r="A657" s="33" t="s">
        <v>668</v>
      </c>
      <c r="B657" s="23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13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5"/>
      <c r="AD657" s="25">
        <f t="shared" si="403"/>
        <v>0</v>
      </c>
      <c r="AE657" s="26" t="s">
        <v>42</v>
      </c>
      <c r="AF657" s="27"/>
      <c r="AG657" s="17">
        <f t="shared" si="408"/>
        <v>0</v>
      </c>
      <c r="AH657" s="28">
        <f t="shared" si="409"/>
        <v>0</v>
      </c>
      <c r="AI657" s="17">
        <f t="shared" si="410"/>
        <v>0</v>
      </c>
      <c r="AJ657" s="28">
        <f t="shared" si="411"/>
        <v>0</v>
      </c>
      <c r="AK657" s="17">
        <f t="shared" si="419"/>
        <v>0</v>
      </c>
      <c r="AL657" s="28">
        <f t="shared" si="412"/>
        <v>0</v>
      </c>
      <c r="AM657" s="17">
        <f t="shared" si="427"/>
        <v>0</v>
      </c>
      <c r="AN657" s="28">
        <f t="shared" si="398"/>
        <v>0</v>
      </c>
      <c r="AO657" s="17">
        <f t="shared" si="400"/>
        <v>0</v>
      </c>
      <c r="AP657" s="28">
        <f t="shared" si="404"/>
        <v>0</v>
      </c>
      <c r="AQ657" s="17">
        <f t="shared" si="401"/>
        <v>0</v>
      </c>
      <c r="AR657" s="28">
        <f t="shared" si="405"/>
        <v>0</v>
      </c>
      <c r="AS657" s="17">
        <f t="shared" si="423"/>
        <v>0</v>
      </c>
      <c r="AT657" s="28">
        <f t="shared" si="424"/>
        <v>0</v>
      </c>
      <c r="AU657" s="17">
        <f t="shared" si="425"/>
        <v>0</v>
      </c>
      <c r="AV657" s="28">
        <f t="shared" si="426"/>
        <v>0</v>
      </c>
      <c r="AW657" s="17">
        <f t="shared" si="413"/>
        <v>0</v>
      </c>
      <c r="AX657" s="28">
        <f t="shared" si="414"/>
        <v>0</v>
      </c>
      <c r="AY657" s="17">
        <f t="shared" si="415"/>
        <v>0</v>
      </c>
      <c r="AZ657" s="28">
        <f t="shared" si="416"/>
        <v>0</v>
      </c>
      <c r="BA657" s="27">
        <f t="shared" si="402"/>
        <v>0</v>
      </c>
      <c r="BB657" s="27">
        <f t="shared" si="418"/>
        <v>0</v>
      </c>
      <c r="BC657" s="27">
        <f t="shared" si="420"/>
        <v>0</v>
      </c>
      <c r="BD657" s="27">
        <f t="shared" si="421"/>
        <v>0</v>
      </c>
      <c r="BE657" s="27">
        <f t="shared" si="422"/>
        <v>0</v>
      </c>
      <c r="BF657" s="29">
        <f t="shared" si="399"/>
        <v>0</v>
      </c>
      <c r="BH657" s="30">
        <f t="shared" si="417"/>
        <v>0</v>
      </c>
      <c r="BM657" s="2">
        <f t="shared" si="406"/>
        <v>0</v>
      </c>
      <c r="BP657" s="2">
        <f t="shared" si="407"/>
        <v>0</v>
      </c>
    </row>
    <row r="658" spans="1:68" ht="14.45" hidden="1" customHeight="1" x14ac:dyDescent="0.25">
      <c r="A658" s="33" t="s">
        <v>669</v>
      </c>
      <c r="B658" s="23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13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5"/>
      <c r="AD658" s="25">
        <f t="shared" si="403"/>
        <v>0</v>
      </c>
      <c r="AE658" s="26" t="s">
        <v>42</v>
      </c>
      <c r="AF658" s="27"/>
      <c r="AG658" s="17">
        <f t="shared" si="408"/>
        <v>0</v>
      </c>
      <c r="AH658" s="28">
        <f t="shared" si="409"/>
        <v>0</v>
      </c>
      <c r="AI658" s="17">
        <f t="shared" si="410"/>
        <v>0</v>
      </c>
      <c r="AJ658" s="28">
        <f t="shared" si="411"/>
        <v>0</v>
      </c>
      <c r="AK658" s="17">
        <f t="shared" si="419"/>
        <v>0</v>
      </c>
      <c r="AL658" s="28">
        <f t="shared" si="412"/>
        <v>0</v>
      </c>
      <c r="AM658" s="17">
        <f t="shared" si="427"/>
        <v>0</v>
      </c>
      <c r="AN658" s="28">
        <f t="shared" si="398"/>
        <v>0</v>
      </c>
      <c r="AO658" s="17">
        <f t="shared" si="400"/>
        <v>0</v>
      </c>
      <c r="AP658" s="28">
        <f t="shared" si="404"/>
        <v>0</v>
      </c>
      <c r="AQ658" s="17">
        <f t="shared" si="401"/>
        <v>0</v>
      </c>
      <c r="AR658" s="28">
        <f t="shared" si="405"/>
        <v>0</v>
      </c>
      <c r="AS658" s="17">
        <f t="shared" si="423"/>
        <v>0</v>
      </c>
      <c r="AT658" s="28">
        <f t="shared" si="424"/>
        <v>0</v>
      </c>
      <c r="AU658" s="17">
        <f t="shared" si="425"/>
        <v>0</v>
      </c>
      <c r="AV658" s="28">
        <f t="shared" si="426"/>
        <v>0</v>
      </c>
      <c r="AW658" s="17">
        <f t="shared" si="413"/>
        <v>0</v>
      </c>
      <c r="AX658" s="28">
        <f t="shared" si="414"/>
        <v>0</v>
      </c>
      <c r="AY658" s="17">
        <f t="shared" si="415"/>
        <v>0</v>
      </c>
      <c r="AZ658" s="28">
        <f t="shared" si="416"/>
        <v>0</v>
      </c>
      <c r="BA658" s="27">
        <f t="shared" si="402"/>
        <v>0</v>
      </c>
      <c r="BB658" s="27">
        <f t="shared" si="418"/>
        <v>0</v>
      </c>
      <c r="BC658" s="27">
        <f t="shared" si="420"/>
        <v>0</v>
      </c>
      <c r="BD658" s="27">
        <f t="shared" si="421"/>
        <v>0</v>
      </c>
      <c r="BE658" s="27">
        <f t="shared" si="422"/>
        <v>0</v>
      </c>
      <c r="BF658" s="29">
        <f t="shared" si="399"/>
        <v>0</v>
      </c>
      <c r="BH658" s="30">
        <f t="shared" si="417"/>
        <v>0</v>
      </c>
      <c r="BM658" s="2">
        <f t="shared" si="406"/>
        <v>0</v>
      </c>
      <c r="BP658" s="2">
        <f t="shared" si="407"/>
        <v>0</v>
      </c>
    </row>
    <row r="659" spans="1:68" ht="14.45" hidden="1" customHeight="1" x14ac:dyDescent="0.25">
      <c r="A659" s="33" t="s">
        <v>670</v>
      </c>
      <c r="B659" s="23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13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5"/>
      <c r="AD659" s="25">
        <f t="shared" si="403"/>
        <v>0</v>
      </c>
      <c r="AE659" s="26" t="s">
        <v>42</v>
      </c>
      <c r="AF659" s="27"/>
      <c r="AG659" s="17">
        <f t="shared" si="408"/>
        <v>0</v>
      </c>
      <c r="AH659" s="28">
        <f t="shared" si="409"/>
        <v>0</v>
      </c>
      <c r="AI659" s="17">
        <f t="shared" si="410"/>
        <v>0</v>
      </c>
      <c r="AJ659" s="28">
        <f t="shared" si="411"/>
        <v>0</v>
      </c>
      <c r="AK659" s="17">
        <f t="shared" si="419"/>
        <v>0</v>
      </c>
      <c r="AL659" s="28">
        <f t="shared" si="412"/>
        <v>0</v>
      </c>
      <c r="AM659" s="17">
        <f t="shared" si="427"/>
        <v>0</v>
      </c>
      <c r="AN659" s="28">
        <f t="shared" si="398"/>
        <v>0</v>
      </c>
      <c r="AO659" s="17">
        <f t="shared" si="400"/>
        <v>0</v>
      </c>
      <c r="AP659" s="28">
        <f t="shared" si="404"/>
        <v>0</v>
      </c>
      <c r="AQ659" s="17">
        <f t="shared" si="401"/>
        <v>0</v>
      </c>
      <c r="AR659" s="28">
        <f t="shared" si="405"/>
        <v>0</v>
      </c>
      <c r="AS659" s="17">
        <f t="shared" si="423"/>
        <v>0</v>
      </c>
      <c r="AT659" s="28">
        <f t="shared" si="424"/>
        <v>0</v>
      </c>
      <c r="AU659" s="17">
        <f t="shared" si="425"/>
        <v>0</v>
      </c>
      <c r="AV659" s="28">
        <f t="shared" si="426"/>
        <v>0</v>
      </c>
      <c r="AW659" s="17">
        <f t="shared" si="413"/>
        <v>0</v>
      </c>
      <c r="AX659" s="28">
        <f t="shared" si="414"/>
        <v>0</v>
      </c>
      <c r="AY659" s="17">
        <f t="shared" si="415"/>
        <v>0</v>
      </c>
      <c r="AZ659" s="28">
        <f t="shared" si="416"/>
        <v>0</v>
      </c>
      <c r="BA659" s="27">
        <f t="shared" si="402"/>
        <v>0</v>
      </c>
      <c r="BB659" s="27">
        <f t="shared" si="418"/>
        <v>0</v>
      </c>
      <c r="BC659" s="27">
        <f t="shared" si="420"/>
        <v>0</v>
      </c>
      <c r="BD659" s="27">
        <f t="shared" si="421"/>
        <v>0</v>
      </c>
      <c r="BE659" s="27">
        <f t="shared" si="422"/>
        <v>0</v>
      </c>
      <c r="BF659" s="29">
        <f t="shared" si="399"/>
        <v>0</v>
      </c>
      <c r="BH659" s="30">
        <f t="shared" si="417"/>
        <v>0</v>
      </c>
      <c r="BM659" s="2">
        <f t="shared" si="406"/>
        <v>0</v>
      </c>
      <c r="BP659" s="2">
        <f t="shared" si="407"/>
        <v>0</v>
      </c>
    </row>
    <row r="660" spans="1:68" ht="14.45" hidden="1" customHeight="1" x14ac:dyDescent="0.25">
      <c r="A660" s="33" t="s">
        <v>671</v>
      </c>
      <c r="B660" s="23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13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5"/>
      <c r="AD660" s="25">
        <f t="shared" si="403"/>
        <v>0</v>
      </c>
      <c r="AE660" s="26" t="s">
        <v>42</v>
      </c>
      <c r="AF660" s="27"/>
      <c r="AG660" s="17">
        <f t="shared" si="408"/>
        <v>0</v>
      </c>
      <c r="AH660" s="28">
        <f t="shared" si="409"/>
        <v>0</v>
      </c>
      <c r="AI660" s="17">
        <f t="shared" si="410"/>
        <v>0</v>
      </c>
      <c r="AJ660" s="28">
        <f t="shared" si="411"/>
        <v>0</v>
      </c>
      <c r="AK660" s="17">
        <f t="shared" si="419"/>
        <v>0</v>
      </c>
      <c r="AL660" s="28">
        <f t="shared" si="412"/>
        <v>0</v>
      </c>
      <c r="AM660" s="17">
        <f t="shared" si="427"/>
        <v>0</v>
      </c>
      <c r="AN660" s="28">
        <f t="shared" si="398"/>
        <v>0</v>
      </c>
      <c r="AO660" s="17">
        <f t="shared" si="400"/>
        <v>0</v>
      </c>
      <c r="AP660" s="28">
        <f t="shared" si="404"/>
        <v>0</v>
      </c>
      <c r="AQ660" s="17">
        <f t="shared" si="401"/>
        <v>0</v>
      </c>
      <c r="AR660" s="28">
        <f t="shared" si="405"/>
        <v>0</v>
      </c>
      <c r="AS660" s="17">
        <f t="shared" si="423"/>
        <v>0</v>
      </c>
      <c r="AT660" s="28">
        <f t="shared" si="424"/>
        <v>0</v>
      </c>
      <c r="AU660" s="17">
        <f t="shared" si="425"/>
        <v>0</v>
      </c>
      <c r="AV660" s="28">
        <f t="shared" si="426"/>
        <v>0</v>
      </c>
      <c r="AW660" s="17">
        <f t="shared" si="413"/>
        <v>0</v>
      </c>
      <c r="AX660" s="28">
        <f t="shared" si="414"/>
        <v>0</v>
      </c>
      <c r="AY660" s="17">
        <f t="shared" si="415"/>
        <v>0</v>
      </c>
      <c r="AZ660" s="28">
        <f t="shared" si="416"/>
        <v>0</v>
      </c>
      <c r="BA660" s="27">
        <f t="shared" si="402"/>
        <v>0</v>
      </c>
      <c r="BB660" s="27">
        <f t="shared" si="418"/>
        <v>0</v>
      </c>
      <c r="BC660" s="27">
        <f t="shared" si="420"/>
        <v>0</v>
      </c>
      <c r="BD660" s="27">
        <f t="shared" si="421"/>
        <v>0</v>
      </c>
      <c r="BE660" s="27">
        <f t="shared" si="422"/>
        <v>0</v>
      </c>
      <c r="BF660" s="29">
        <f t="shared" si="399"/>
        <v>0</v>
      </c>
      <c r="BH660" s="30">
        <f t="shared" si="417"/>
        <v>0</v>
      </c>
      <c r="BM660" s="2">
        <f t="shared" si="406"/>
        <v>0</v>
      </c>
      <c r="BP660" s="2">
        <f t="shared" si="407"/>
        <v>0</v>
      </c>
    </row>
    <row r="661" spans="1:68" ht="14.45" hidden="1" customHeight="1" x14ac:dyDescent="0.25">
      <c r="A661" s="33" t="s">
        <v>672</v>
      </c>
      <c r="B661" s="23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13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5"/>
      <c r="AD661" s="25">
        <f t="shared" si="403"/>
        <v>0</v>
      </c>
      <c r="AE661" s="26" t="s">
        <v>42</v>
      </c>
      <c r="AF661" s="27"/>
      <c r="AG661" s="17">
        <f t="shared" si="408"/>
        <v>0</v>
      </c>
      <c r="AH661" s="28">
        <f t="shared" si="409"/>
        <v>0</v>
      </c>
      <c r="AI661" s="17">
        <f t="shared" si="410"/>
        <v>0</v>
      </c>
      <c r="AJ661" s="28">
        <f t="shared" si="411"/>
        <v>0</v>
      </c>
      <c r="AK661" s="17">
        <f t="shared" si="419"/>
        <v>0</v>
      </c>
      <c r="AL661" s="28">
        <f t="shared" si="412"/>
        <v>0</v>
      </c>
      <c r="AM661" s="17">
        <f t="shared" si="427"/>
        <v>0</v>
      </c>
      <c r="AN661" s="28">
        <f t="shared" si="398"/>
        <v>0</v>
      </c>
      <c r="AO661" s="17">
        <f t="shared" si="400"/>
        <v>0</v>
      </c>
      <c r="AP661" s="28">
        <f t="shared" si="404"/>
        <v>0</v>
      </c>
      <c r="AQ661" s="17">
        <f t="shared" si="401"/>
        <v>0</v>
      </c>
      <c r="AR661" s="28">
        <f t="shared" si="405"/>
        <v>0</v>
      </c>
      <c r="AS661" s="17">
        <f t="shared" si="423"/>
        <v>0</v>
      </c>
      <c r="AT661" s="28">
        <f t="shared" si="424"/>
        <v>0</v>
      </c>
      <c r="AU661" s="17">
        <f t="shared" si="425"/>
        <v>0</v>
      </c>
      <c r="AV661" s="28">
        <f t="shared" si="426"/>
        <v>0</v>
      </c>
      <c r="AW661" s="17">
        <f t="shared" si="413"/>
        <v>0</v>
      </c>
      <c r="AX661" s="28">
        <f t="shared" si="414"/>
        <v>0</v>
      </c>
      <c r="AY661" s="17">
        <f t="shared" si="415"/>
        <v>0</v>
      </c>
      <c r="AZ661" s="28">
        <f t="shared" si="416"/>
        <v>0</v>
      </c>
      <c r="BA661" s="27">
        <f t="shared" si="402"/>
        <v>0</v>
      </c>
      <c r="BB661" s="27">
        <f t="shared" si="418"/>
        <v>0</v>
      </c>
      <c r="BC661" s="27">
        <f t="shared" si="420"/>
        <v>0</v>
      </c>
      <c r="BD661" s="27">
        <f t="shared" si="421"/>
        <v>0</v>
      </c>
      <c r="BE661" s="27">
        <f t="shared" si="422"/>
        <v>0</v>
      </c>
      <c r="BF661" s="29">
        <f t="shared" si="399"/>
        <v>0</v>
      </c>
      <c r="BH661" s="30">
        <f t="shared" si="417"/>
        <v>0</v>
      </c>
      <c r="BM661" s="2">
        <f t="shared" si="406"/>
        <v>0</v>
      </c>
      <c r="BP661" s="2">
        <f t="shared" si="407"/>
        <v>0</v>
      </c>
    </row>
    <row r="662" spans="1:68" ht="14.45" hidden="1" customHeight="1" x14ac:dyDescent="0.25">
      <c r="A662" s="33" t="s">
        <v>673</v>
      </c>
      <c r="B662" s="23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13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5"/>
      <c r="AD662" s="25">
        <f t="shared" si="403"/>
        <v>0</v>
      </c>
      <c r="AE662" s="26" t="s">
        <v>42</v>
      </c>
      <c r="AF662" s="27"/>
      <c r="AG662" s="17">
        <f t="shared" si="408"/>
        <v>0</v>
      </c>
      <c r="AH662" s="28">
        <f t="shared" si="409"/>
        <v>0</v>
      </c>
      <c r="AI662" s="17">
        <f t="shared" si="410"/>
        <v>0</v>
      </c>
      <c r="AJ662" s="28">
        <f t="shared" si="411"/>
        <v>0</v>
      </c>
      <c r="AK662" s="17">
        <f t="shared" si="419"/>
        <v>0</v>
      </c>
      <c r="AL662" s="28">
        <f t="shared" si="412"/>
        <v>0</v>
      </c>
      <c r="AM662" s="17">
        <f t="shared" si="427"/>
        <v>0</v>
      </c>
      <c r="AN662" s="28">
        <f t="shared" si="398"/>
        <v>0</v>
      </c>
      <c r="AO662" s="17">
        <f t="shared" si="400"/>
        <v>0</v>
      </c>
      <c r="AP662" s="28">
        <f t="shared" si="404"/>
        <v>0</v>
      </c>
      <c r="AQ662" s="17">
        <f t="shared" si="401"/>
        <v>0</v>
      </c>
      <c r="AR662" s="28">
        <f t="shared" si="405"/>
        <v>0</v>
      </c>
      <c r="AS662" s="17">
        <f t="shared" si="423"/>
        <v>0</v>
      </c>
      <c r="AT662" s="28">
        <f t="shared" si="424"/>
        <v>0</v>
      </c>
      <c r="AU662" s="17">
        <f t="shared" si="425"/>
        <v>0</v>
      </c>
      <c r="AV662" s="28">
        <f t="shared" si="426"/>
        <v>0</v>
      </c>
      <c r="AW662" s="17">
        <f t="shared" si="413"/>
        <v>0</v>
      </c>
      <c r="AX662" s="28">
        <f t="shared" si="414"/>
        <v>0</v>
      </c>
      <c r="AY662" s="17">
        <f t="shared" si="415"/>
        <v>0</v>
      </c>
      <c r="AZ662" s="28">
        <f t="shared" si="416"/>
        <v>0</v>
      </c>
      <c r="BA662" s="27">
        <f t="shared" si="402"/>
        <v>0</v>
      </c>
      <c r="BB662" s="27">
        <f t="shared" si="418"/>
        <v>0</v>
      </c>
      <c r="BC662" s="27">
        <f t="shared" si="420"/>
        <v>0</v>
      </c>
      <c r="BD662" s="27">
        <f t="shared" si="421"/>
        <v>0</v>
      </c>
      <c r="BE662" s="27">
        <f t="shared" si="422"/>
        <v>0</v>
      </c>
      <c r="BF662" s="29">
        <f t="shared" si="399"/>
        <v>0</v>
      </c>
      <c r="BH662" s="30">
        <f t="shared" si="417"/>
        <v>0</v>
      </c>
      <c r="BM662" s="2">
        <f t="shared" si="406"/>
        <v>0</v>
      </c>
      <c r="BP662" s="2">
        <f t="shared" si="407"/>
        <v>0</v>
      </c>
    </row>
    <row r="663" spans="1:68" ht="14.45" hidden="1" customHeight="1" x14ac:dyDescent="0.25">
      <c r="A663" s="33" t="s">
        <v>674</v>
      </c>
      <c r="B663" s="23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13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5"/>
      <c r="AD663" s="25">
        <f t="shared" si="403"/>
        <v>0</v>
      </c>
      <c r="AE663" s="26" t="s">
        <v>42</v>
      </c>
      <c r="AF663" s="27"/>
      <c r="AG663" s="17">
        <f t="shared" si="408"/>
        <v>0</v>
      </c>
      <c r="AH663" s="28">
        <f t="shared" si="409"/>
        <v>0</v>
      </c>
      <c r="AI663" s="17">
        <f t="shared" si="410"/>
        <v>0</v>
      </c>
      <c r="AJ663" s="28">
        <f t="shared" si="411"/>
        <v>0</v>
      </c>
      <c r="AK663" s="17">
        <f t="shared" si="419"/>
        <v>0</v>
      </c>
      <c r="AL663" s="28">
        <f t="shared" si="412"/>
        <v>0</v>
      </c>
      <c r="AM663" s="17">
        <f t="shared" si="427"/>
        <v>0</v>
      </c>
      <c r="AN663" s="28">
        <f t="shared" si="398"/>
        <v>0</v>
      </c>
      <c r="AO663" s="17">
        <f t="shared" si="400"/>
        <v>0</v>
      </c>
      <c r="AP663" s="28">
        <f t="shared" si="404"/>
        <v>0</v>
      </c>
      <c r="AQ663" s="17">
        <f t="shared" si="401"/>
        <v>0</v>
      </c>
      <c r="AR663" s="28">
        <f t="shared" si="405"/>
        <v>0</v>
      </c>
      <c r="AS663" s="17">
        <f t="shared" si="423"/>
        <v>0</v>
      </c>
      <c r="AT663" s="28">
        <f t="shared" si="424"/>
        <v>0</v>
      </c>
      <c r="AU663" s="17">
        <f t="shared" si="425"/>
        <v>0</v>
      </c>
      <c r="AV663" s="28">
        <f t="shared" si="426"/>
        <v>0</v>
      </c>
      <c r="AW663" s="17">
        <f t="shared" si="413"/>
        <v>0</v>
      </c>
      <c r="AX663" s="28">
        <f t="shared" si="414"/>
        <v>0</v>
      </c>
      <c r="AY663" s="17">
        <f t="shared" si="415"/>
        <v>0</v>
      </c>
      <c r="AZ663" s="28">
        <f t="shared" si="416"/>
        <v>0</v>
      </c>
      <c r="BA663" s="27">
        <f t="shared" si="402"/>
        <v>0</v>
      </c>
      <c r="BB663" s="27">
        <f t="shared" si="418"/>
        <v>0</v>
      </c>
      <c r="BC663" s="27">
        <f t="shared" si="420"/>
        <v>0</v>
      </c>
      <c r="BD663" s="27">
        <f t="shared" si="421"/>
        <v>0</v>
      </c>
      <c r="BE663" s="27">
        <f t="shared" si="422"/>
        <v>0</v>
      </c>
      <c r="BF663" s="29">
        <f t="shared" si="399"/>
        <v>0</v>
      </c>
      <c r="BH663" s="30">
        <f t="shared" si="417"/>
        <v>0</v>
      </c>
      <c r="BM663" s="2">
        <f t="shared" si="406"/>
        <v>0</v>
      </c>
      <c r="BP663" s="2">
        <f t="shared" si="407"/>
        <v>0</v>
      </c>
    </row>
    <row r="664" spans="1:68" ht="14.45" hidden="1" customHeight="1" x14ac:dyDescent="0.25">
      <c r="A664" s="33" t="s">
        <v>675</v>
      </c>
      <c r="B664" s="23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13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5"/>
      <c r="AD664" s="25">
        <f t="shared" si="403"/>
        <v>0</v>
      </c>
      <c r="AE664" s="26" t="s">
        <v>42</v>
      </c>
      <c r="AF664" s="27"/>
      <c r="AG664" s="17">
        <f t="shared" si="408"/>
        <v>0</v>
      </c>
      <c r="AH664" s="28">
        <f t="shared" si="409"/>
        <v>0</v>
      </c>
      <c r="AI664" s="17">
        <f t="shared" si="410"/>
        <v>0</v>
      </c>
      <c r="AJ664" s="28">
        <f t="shared" si="411"/>
        <v>0</v>
      </c>
      <c r="AK664" s="17">
        <f t="shared" si="419"/>
        <v>0</v>
      </c>
      <c r="AL664" s="28">
        <f t="shared" si="412"/>
        <v>0</v>
      </c>
      <c r="AM664" s="17">
        <f t="shared" si="427"/>
        <v>0</v>
      </c>
      <c r="AN664" s="28">
        <f t="shared" si="398"/>
        <v>0</v>
      </c>
      <c r="AO664" s="17">
        <f t="shared" si="400"/>
        <v>0</v>
      </c>
      <c r="AP664" s="28">
        <f t="shared" si="404"/>
        <v>0</v>
      </c>
      <c r="AQ664" s="17">
        <f t="shared" si="401"/>
        <v>0</v>
      </c>
      <c r="AR664" s="28">
        <f t="shared" si="405"/>
        <v>0</v>
      </c>
      <c r="AS664" s="17">
        <f t="shared" si="423"/>
        <v>0</v>
      </c>
      <c r="AT664" s="28">
        <f t="shared" si="424"/>
        <v>0</v>
      </c>
      <c r="AU664" s="17">
        <f t="shared" si="425"/>
        <v>0</v>
      </c>
      <c r="AV664" s="28">
        <f t="shared" si="426"/>
        <v>0</v>
      </c>
      <c r="AW664" s="17">
        <f t="shared" si="413"/>
        <v>0</v>
      </c>
      <c r="AX664" s="28">
        <f t="shared" si="414"/>
        <v>0</v>
      </c>
      <c r="AY664" s="17">
        <f t="shared" si="415"/>
        <v>0</v>
      </c>
      <c r="AZ664" s="28">
        <f t="shared" si="416"/>
        <v>0</v>
      </c>
      <c r="BA664" s="27">
        <f t="shared" si="402"/>
        <v>0</v>
      </c>
      <c r="BB664" s="27">
        <f t="shared" si="418"/>
        <v>0</v>
      </c>
      <c r="BC664" s="27">
        <f t="shared" si="420"/>
        <v>0</v>
      </c>
      <c r="BD664" s="27">
        <f t="shared" si="421"/>
        <v>0</v>
      </c>
      <c r="BE664" s="27">
        <f t="shared" si="422"/>
        <v>0</v>
      </c>
      <c r="BF664" s="29">
        <f t="shared" si="399"/>
        <v>0</v>
      </c>
      <c r="BH664" s="30">
        <f t="shared" si="417"/>
        <v>0</v>
      </c>
      <c r="BM664" s="2">
        <f t="shared" si="406"/>
        <v>0</v>
      </c>
      <c r="BP664" s="2">
        <f t="shared" si="407"/>
        <v>0</v>
      </c>
    </row>
    <row r="665" spans="1:68" ht="14.45" customHeight="1" x14ac:dyDescent="0.25">
      <c r="A665" s="33" t="s">
        <v>676</v>
      </c>
      <c r="B665" s="23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13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5"/>
      <c r="AD665" s="25">
        <v>20</v>
      </c>
      <c r="AE665" s="26"/>
      <c r="AF665" s="27"/>
      <c r="AG665" s="17">
        <f t="shared" si="408"/>
        <v>0</v>
      </c>
      <c r="AH665" s="28">
        <f t="shared" si="409"/>
        <v>0</v>
      </c>
      <c r="AI665" s="17">
        <f t="shared" si="410"/>
        <v>0</v>
      </c>
      <c r="AJ665" s="28">
        <f t="shared" si="411"/>
        <v>0</v>
      </c>
      <c r="AK665" s="17">
        <f t="shared" si="419"/>
        <v>0</v>
      </c>
      <c r="AL665" s="28">
        <f t="shared" si="412"/>
        <v>0</v>
      </c>
      <c r="AM665" s="17">
        <f t="shared" si="427"/>
        <v>0</v>
      </c>
      <c r="AN665" s="28">
        <f t="shared" si="398"/>
        <v>0</v>
      </c>
      <c r="AO665" s="17"/>
      <c r="AP665" s="28"/>
      <c r="AQ665" s="17"/>
      <c r="AR665" s="28"/>
      <c r="AS665" s="17">
        <f t="shared" si="423"/>
        <v>0</v>
      </c>
      <c r="AT665" s="28">
        <f t="shared" si="424"/>
        <v>0</v>
      </c>
      <c r="AU665" s="17">
        <f t="shared" si="425"/>
        <v>0</v>
      </c>
      <c r="AV665" s="28">
        <f t="shared" si="426"/>
        <v>0</v>
      </c>
      <c r="AW665" s="17">
        <f t="shared" si="413"/>
        <v>0</v>
      </c>
      <c r="AX665" s="28">
        <f t="shared" si="414"/>
        <v>0</v>
      </c>
      <c r="AY665" s="17">
        <f t="shared" si="415"/>
        <v>0</v>
      </c>
      <c r="AZ665" s="28">
        <f t="shared" si="416"/>
        <v>0</v>
      </c>
      <c r="BA665" s="27"/>
      <c r="BB665" s="27">
        <f t="shared" si="418"/>
        <v>0</v>
      </c>
      <c r="BC665" s="27">
        <f t="shared" si="420"/>
        <v>0</v>
      </c>
      <c r="BD665" s="27">
        <f t="shared" si="421"/>
        <v>0</v>
      </c>
      <c r="BE665" s="27">
        <f t="shared" si="422"/>
        <v>0</v>
      </c>
      <c r="BF665" s="29">
        <f t="shared" si="399"/>
        <v>0</v>
      </c>
      <c r="BH665" s="30">
        <f t="shared" si="417"/>
        <v>0</v>
      </c>
    </row>
    <row r="666" spans="1:68" x14ac:dyDescent="0.25">
      <c r="A666" s="33" t="s">
        <v>677</v>
      </c>
      <c r="B666" s="23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13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5"/>
      <c r="AD666" s="25">
        <f t="shared" si="403"/>
        <v>0</v>
      </c>
      <c r="AE666" s="26" t="s">
        <v>42</v>
      </c>
      <c r="AF666" s="27">
        <v>268710</v>
      </c>
      <c r="AG666" s="17">
        <f t="shared" si="408"/>
        <v>0</v>
      </c>
      <c r="AH666" s="28">
        <f t="shared" si="409"/>
        <v>0</v>
      </c>
      <c r="AI666" s="17">
        <f t="shared" si="410"/>
        <v>0</v>
      </c>
      <c r="AJ666" s="28">
        <f t="shared" si="411"/>
        <v>0</v>
      </c>
      <c r="AK666" s="17">
        <f t="shared" si="419"/>
        <v>0</v>
      </c>
      <c r="AL666" s="28">
        <f t="shared" si="412"/>
        <v>0</v>
      </c>
      <c r="AM666" s="17">
        <f t="shared" si="427"/>
        <v>0</v>
      </c>
      <c r="AN666" s="28">
        <f t="shared" si="398"/>
        <v>0</v>
      </c>
      <c r="AO666" s="17">
        <f t="shared" ref="AO666:AO720" si="428">+B666</f>
        <v>0</v>
      </c>
      <c r="AP666" s="28">
        <f t="shared" ref="AP666:AP720" si="429">+AO666*AF666</f>
        <v>0</v>
      </c>
      <c r="AQ666" s="17">
        <f t="shared" ref="AQ666:AQ720" si="430">+P666</f>
        <v>0</v>
      </c>
      <c r="AR666" s="28">
        <f t="shared" ref="AR666:AR720" si="431">+AQ666*AF666</f>
        <v>0</v>
      </c>
      <c r="AS666" s="17">
        <f t="shared" si="423"/>
        <v>0</v>
      </c>
      <c r="AT666" s="28">
        <f t="shared" si="424"/>
        <v>0</v>
      </c>
      <c r="AU666" s="17">
        <f t="shared" si="425"/>
        <v>0</v>
      </c>
      <c r="AV666" s="28">
        <f t="shared" si="426"/>
        <v>0</v>
      </c>
      <c r="AW666" s="17">
        <f t="shared" si="413"/>
        <v>0</v>
      </c>
      <c r="AX666" s="28">
        <f t="shared" si="414"/>
        <v>0</v>
      </c>
      <c r="AY666" s="17">
        <f t="shared" si="415"/>
        <v>0</v>
      </c>
      <c r="AZ666" s="28">
        <f t="shared" si="416"/>
        <v>0</v>
      </c>
      <c r="BA666" s="27">
        <f t="shared" si="402"/>
        <v>0</v>
      </c>
      <c r="BB666" s="27">
        <f t="shared" si="418"/>
        <v>0</v>
      </c>
      <c r="BC666" s="27">
        <f t="shared" si="420"/>
        <v>0</v>
      </c>
      <c r="BD666" s="27">
        <f t="shared" si="421"/>
        <v>0</v>
      </c>
      <c r="BE666" s="27">
        <f t="shared" si="422"/>
        <v>0</v>
      </c>
      <c r="BF666" s="29">
        <f t="shared" si="399"/>
        <v>0</v>
      </c>
      <c r="BH666" s="30">
        <f t="shared" si="417"/>
        <v>0</v>
      </c>
      <c r="BM666" s="2">
        <f t="shared" ref="BM666:BM720" si="432">SUM(B666:S666)</f>
        <v>0</v>
      </c>
      <c r="BP666" s="2">
        <f t="shared" ref="BP666:BP720" si="433">SUM(B666:S666)</f>
        <v>0</v>
      </c>
    </row>
    <row r="667" spans="1:68" ht="14.45" hidden="1" customHeight="1" x14ac:dyDescent="0.25">
      <c r="A667" s="33" t="s">
        <v>678</v>
      </c>
      <c r="B667" s="23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13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5"/>
      <c r="AD667" s="25">
        <f t="shared" si="403"/>
        <v>0</v>
      </c>
      <c r="AE667" s="26" t="s">
        <v>42</v>
      </c>
      <c r="AF667" s="27"/>
      <c r="AG667" s="17">
        <f t="shared" si="408"/>
        <v>0</v>
      </c>
      <c r="AH667" s="28">
        <f t="shared" si="409"/>
        <v>0</v>
      </c>
      <c r="AI667" s="17">
        <f t="shared" si="410"/>
        <v>0</v>
      </c>
      <c r="AJ667" s="28">
        <f t="shared" si="411"/>
        <v>0</v>
      </c>
      <c r="AK667" s="17">
        <f t="shared" si="419"/>
        <v>0</v>
      </c>
      <c r="AL667" s="28">
        <f t="shared" si="412"/>
        <v>0</v>
      </c>
      <c r="AM667" s="17">
        <f t="shared" si="427"/>
        <v>0</v>
      </c>
      <c r="AN667" s="28">
        <f t="shared" si="398"/>
        <v>0</v>
      </c>
      <c r="AO667" s="17">
        <f t="shared" si="428"/>
        <v>0</v>
      </c>
      <c r="AP667" s="28">
        <f t="shared" si="429"/>
        <v>0</v>
      </c>
      <c r="AQ667" s="17">
        <f t="shared" si="430"/>
        <v>0</v>
      </c>
      <c r="AR667" s="28">
        <f t="shared" si="431"/>
        <v>0</v>
      </c>
      <c r="AS667" s="17">
        <f t="shared" si="423"/>
        <v>0</v>
      </c>
      <c r="AT667" s="28">
        <f t="shared" si="424"/>
        <v>0</v>
      </c>
      <c r="AU667" s="17">
        <f t="shared" si="425"/>
        <v>0</v>
      </c>
      <c r="AV667" s="28">
        <f t="shared" si="426"/>
        <v>0</v>
      </c>
      <c r="AW667" s="17">
        <f t="shared" si="413"/>
        <v>0</v>
      </c>
      <c r="AX667" s="28">
        <f t="shared" si="414"/>
        <v>0</v>
      </c>
      <c r="AY667" s="17">
        <f t="shared" si="415"/>
        <v>0</v>
      </c>
      <c r="AZ667" s="28">
        <f t="shared" si="416"/>
        <v>0</v>
      </c>
      <c r="BA667" s="27">
        <f t="shared" si="402"/>
        <v>0</v>
      </c>
      <c r="BB667" s="27">
        <f t="shared" si="418"/>
        <v>0</v>
      </c>
      <c r="BC667" s="27">
        <f t="shared" si="420"/>
        <v>0</v>
      </c>
      <c r="BD667" s="27">
        <f t="shared" si="421"/>
        <v>0</v>
      </c>
      <c r="BE667" s="27">
        <f t="shared" si="422"/>
        <v>0</v>
      </c>
      <c r="BF667" s="29">
        <f t="shared" si="399"/>
        <v>0</v>
      </c>
      <c r="BH667" s="30">
        <f t="shared" si="417"/>
        <v>0</v>
      </c>
      <c r="BM667" s="2">
        <f t="shared" si="432"/>
        <v>0</v>
      </c>
      <c r="BP667" s="2">
        <f t="shared" si="433"/>
        <v>0</v>
      </c>
    </row>
    <row r="668" spans="1:68" ht="14.45" hidden="1" customHeight="1" x14ac:dyDescent="0.25">
      <c r="A668" s="33" t="s">
        <v>679</v>
      </c>
      <c r="B668" s="23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13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5"/>
      <c r="AD668" s="25">
        <f t="shared" si="403"/>
        <v>0</v>
      </c>
      <c r="AE668" s="26" t="s">
        <v>42</v>
      </c>
      <c r="AF668" s="27"/>
      <c r="AG668" s="17">
        <f t="shared" si="408"/>
        <v>0</v>
      </c>
      <c r="AH668" s="28">
        <f t="shared" si="409"/>
        <v>0</v>
      </c>
      <c r="AI668" s="17">
        <f t="shared" si="410"/>
        <v>0</v>
      </c>
      <c r="AJ668" s="28">
        <f t="shared" si="411"/>
        <v>0</v>
      </c>
      <c r="AK668" s="17">
        <f t="shared" si="419"/>
        <v>0</v>
      </c>
      <c r="AL668" s="28">
        <f t="shared" si="412"/>
        <v>0</v>
      </c>
      <c r="AM668" s="17">
        <f t="shared" si="427"/>
        <v>0</v>
      </c>
      <c r="AN668" s="28">
        <f t="shared" si="398"/>
        <v>0</v>
      </c>
      <c r="AO668" s="17">
        <f t="shared" si="428"/>
        <v>0</v>
      </c>
      <c r="AP668" s="28">
        <f t="shared" si="429"/>
        <v>0</v>
      </c>
      <c r="AQ668" s="17">
        <f t="shared" si="430"/>
        <v>0</v>
      </c>
      <c r="AR668" s="28">
        <f t="shared" si="431"/>
        <v>0</v>
      </c>
      <c r="AS668" s="17">
        <f t="shared" si="423"/>
        <v>0</v>
      </c>
      <c r="AT668" s="28">
        <f t="shared" si="424"/>
        <v>0</v>
      </c>
      <c r="AU668" s="17">
        <f t="shared" si="425"/>
        <v>0</v>
      </c>
      <c r="AV668" s="28">
        <f t="shared" si="426"/>
        <v>0</v>
      </c>
      <c r="AW668" s="17">
        <f t="shared" si="413"/>
        <v>0</v>
      </c>
      <c r="AX668" s="28">
        <f t="shared" si="414"/>
        <v>0</v>
      </c>
      <c r="AY668" s="17">
        <f t="shared" si="415"/>
        <v>0</v>
      </c>
      <c r="AZ668" s="28">
        <f t="shared" si="416"/>
        <v>0</v>
      </c>
      <c r="BA668" s="27">
        <f t="shared" si="402"/>
        <v>0</v>
      </c>
      <c r="BB668" s="27">
        <f t="shared" si="418"/>
        <v>0</v>
      </c>
      <c r="BC668" s="27">
        <f t="shared" si="420"/>
        <v>0</v>
      </c>
      <c r="BD668" s="27">
        <f t="shared" si="421"/>
        <v>0</v>
      </c>
      <c r="BE668" s="27">
        <f t="shared" si="422"/>
        <v>0</v>
      </c>
      <c r="BF668" s="29">
        <f t="shared" si="399"/>
        <v>0</v>
      </c>
      <c r="BH668" s="30">
        <f t="shared" si="417"/>
        <v>0</v>
      </c>
      <c r="BM668" s="2">
        <f t="shared" si="432"/>
        <v>0</v>
      </c>
      <c r="BP668" s="2">
        <f t="shared" si="433"/>
        <v>0</v>
      </c>
    </row>
    <row r="669" spans="1:68" ht="14.45" hidden="1" customHeight="1" x14ac:dyDescent="0.25">
      <c r="A669" s="33" t="s">
        <v>680</v>
      </c>
      <c r="B669" s="23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13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5"/>
      <c r="AD669" s="25">
        <f t="shared" si="403"/>
        <v>0</v>
      </c>
      <c r="AE669" s="26" t="s">
        <v>42</v>
      </c>
      <c r="AF669" s="27"/>
      <c r="AG669" s="17">
        <f t="shared" si="408"/>
        <v>0</v>
      </c>
      <c r="AH669" s="28">
        <f t="shared" si="409"/>
        <v>0</v>
      </c>
      <c r="AI669" s="17">
        <f t="shared" si="410"/>
        <v>0</v>
      </c>
      <c r="AJ669" s="28">
        <f t="shared" si="411"/>
        <v>0</v>
      </c>
      <c r="AK669" s="17">
        <f t="shared" si="419"/>
        <v>0</v>
      </c>
      <c r="AL669" s="28">
        <f t="shared" si="412"/>
        <v>0</v>
      </c>
      <c r="AM669" s="17">
        <f t="shared" si="427"/>
        <v>0</v>
      </c>
      <c r="AN669" s="28">
        <f t="shared" si="398"/>
        <v>0</v>
      </c>
      <c r="AO669" s="17">
        <f t="shared" si="428"/>
        <v>0</v>
      </c>
      <c r="AP669" s="28">
        <f t="shared" si="429"/>
        <v>0</v>
      </c>
      <c r="AQ669" s="17">
        <f t="shared" si="430"/>
        <v>0</v>
      </c>
      <c r="AR669" s="28">
        <f t="shared" si="431"/>
        <v>0</v>
      </c>
      <c r="AS669" s="17">
        <f t="shared" si="423"/>
        <v>0</v>
      </c>
      <c r="AT669" s="28">
        <f t="shared" si="424"/>
        <v>0</v>
      </c>
      <c r="AU669" s="17">
        <f t="shared" si="425"/>
        <v>0</v>
      </c>
      <c r="AV669" s="28">
        <f t="shared" si="426"/>
        <v>0</v>
      </c>
      <c r="AW669" s="17">
        <f t="shared" si="413"/>
        <v>0</v>
      </c>
      <c r="AX669" s="28">
        <f t="shared" si="414"/>
        <v>0</v>
      </c>
      <c r="AY669" s="17">
        <f t="shared" si="415"/>
        <v>0</v>
      </c>
      <c r="AZ669" s="28">
        <f t="shared" si="416"/>
        <v>0</v>
      </c>
      <c r="BA669" s="27">
        <f t="shared" si="402"/>
        <v>0</v>
      </c>
      <c r="BB669" s="27">
        <f t="shared" si="418"/>
        <v>0</v>
      </c>
      <c r="BC669" s="27">
        <f t="shared" si="420"/>
        <v>0</v>
      </c>
      <c r="BD669" s="27">
        <f t="shared" si="421"/>
        <v>0</v>
      </c>
      <c r="BE669" s="27">
        <f t="shared" si="422"/>
        <v>0</v>
      </c>
      <c r="BF669" s="29">
        <f t="shared" si="399"/>
        <v>0</v>
      </c>
      <c r="BH669" s="30">
        <f t="shared" si="417"/>
        <v>0</v>
      </c>
      <c r="BM669" s="2">
        <f t="shared" si="432"/>
        <v>0</v>
      </c>
      <c r="BP669" s="2">
        <f t="shared" si="433"/>
        <v>0</v>
      </c>
    </row>
    <row r="670" spans="1:68" ht="14.45" hidden="1" customHeight="1" x14ac:dyDescent="0.25">
      <c r="A670" s="33" t="s">
        <v>681</v>
      </c>
      <c r="B670" s="23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13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5"/>
      <c r="AD670" s="25">
        <f t="shared" si="403"/>
        <v>0</v>
      </c>
      <c r="AE670" s="26" t="s">
        <v>42</v>
      </c>
      <c r="AF670" s="27"/>
      <c r="AG670" s="17">
        <f t="shared" si="408"/>
        <v>0</v>
      </c>
      <c r="AH670" s="28">
        <f t="shared" si="409"/>
        <v>0</v>
      </c>
      <c r="AI670" s="17">
        <f t="shared" si="410"/>
        <v>0</v>
      </c>
      <c r="AJ670" s="28">
        <f t="shared" si="411"/>
        <v>0</v>
      </c>
      <c r="AK670" s="17">
        <f t="shared" si="419"/>
        <v>0</v>
      </c>
      <c r="AL670" s="28">
        <f t="shared" si="412"/>
        <v>0</v>
      </c>
      <c r="AM670" s="17">
        <f t="shared" si="427"/>
        <v>0</v>
      </c>
      <c r="AN670" s="28">
        <f t="shared" si="398"/>
        <v>0</v>
      </c>
      <c r="AO670" s="17">
        <f t="shared" si="428"/>
        <v>0</v>
      </c>
      <c r="AP670" s="28">
        <f t="shared" si="429"/>
        <v>0</v>
      </c>
      <c r="AQ670" s="17">
        <f t="shared" si="430"/>
        <v>0</v>
      </c>
      <c r="AR670" s="28">
        <f t="shared" si="431"/>
        <v>0</v>
      </c>
      <c r="AS670" s="17">
        <f t="shared" si="423"/>
        <v>0</v>
      </c>
      <c r="AT670" s="28">
        <f t="shared" si="424"/>
        <v>0</v>
      </c>
      <c r="AU670" s="17">
        <f t="shared" si="425"/>
        <v>0</v>
      </c>
      <c r="AV670" s="28">
        <f t="shared" si="426"/>
        <v>0</v>
      </c>
      <c r="AW670" s="17">
        <f t="shared" si="413"/>
        <v>0</v>
      </c>
      <c r="AX670" s="28">
        <f t="shared" si="414"/>
        <v>0</v>
      </c>
      <c r="AY670" s="17">
        <f t="shared" si="415"/>
        <v>0</v>
      </c>
      <c r="AZ670" s="28">
        <f t="shared" si="416"/>
        <v>0</v>
      </c>
      <c r="BA670" s="27">
        <f t="shared" si="402"/>
        <v>0</v>
      </c>
      <c r="BB670" s="27">
        <f t="shared" si="418"/>
        <v>0</v>
      </c>
      <c r="BC670" s="27">
        <f t="shared" si="420"/>
        <v>0</v>
      </c>
      <c r="BD670" s="27">
        <f t="shared" si="421"/>
        <v>0</v>
      </c>
      <c r="BE670" s="27">
        <f t="shared" si="422"/>
        <v>0</v>
      </c>
      <c r="BF670" s="29">
        <f t="shared" si="399"/>
        <v>0</v>
      </c>
      <c r="BH670" s="30">
        <f t="shared" si="417"/>
        <v>0</v>
      </c>
      <c r="BM670" s="2">
        <f t="shared" si="432"/>
        <v>0</v>
      </c>
      <c r="BP670" s="2">
        <f t="shared" si="433"/>
        <v>0</v>
      </c>
    </row>
    <row r="671" spans="1:68" ht="14.45" hidden="1" customHeight="1" x14ac:dyDescent="0.25">
      <c r="A671" s="33" t="s">
        <v>682</v>
      </c>
      <c r="B671" s="23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13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5"/>
      <c r="AD671" s="25">
        <f t="shared" si="403"/>
        <v>0</v>
      </c>
      <c r="AE671" s="26" t="s">
        <v>42</v>
      </c>
      <c r="AF671" s="27"/>
      <c r="AG671" s="17">
        <f t="shared" si="408"/>
        <v>0</v>
      </c>
      <c r="AH671" s="28">
        <f t="shared" si="409"/>
        <v>0</v>
      </c>
      <c r="AI671" s="17">
        <f t="shared" si="410"/>
        <v>0</v>
      </c>
      <c r="AJ671" s="28">
        <f t="shared" si="411"/>
        <v>0</v>
      </c>
      <c r="AK671" s="17">
        <f t="shared" si="419"/>
        <v>0</v>
      </c>
      <c r="AL671" s="28">
        <f t="shared" si="412"/>
        <v>0</v>
      </c>
      <c r="AM671" s="17">
        <f t="shared" si="427"/>
        <v>0</v>
      </c>
      <c r="AN671" s="28">
        <f t="shared" si="398"/>
        <v>0</v>
      </c>
      <c r="AO671" s="17">
        <f t="shared" si="428"/>
        <v>0</v>
      </c>
      <c r="AP671" s="28">
        <f t="shared" si="429"/>
        <v>0</v>
      </c>
      <c r="AQ671" s="17">
        <f t="shared" si="430"/>
        <v>0</v>
      </c>
      <c r="AR671" s="28">
        <f t="shared" si="431"/>
        <v>0</v>
      </c>
      <c r="AS671" s="17">
        <f t="shared" si="423"/>
        <v>0</v>
      </c>
      <c r="AT671" s="28">
        <f t="shared" si="424"/>
        <v>0</v>
      </c>
      <c r="AU671" s="17">
        <f t="shared" si="425"/>
        <v>0</v>
      </c>
      <c r="AV671" s="28">
        <f t="shared" si="426"/>
        <v>0</v>
      </c>
      <c r="AW671" s="17">
        <f t="shared" si="413"/>
        <v>0</v>
      </c>
      <c r="AX671" s="28">
        <f t="shared" si="414"/>
        <v>0</v>
      </c>
      <c r="AY671" s="17">
        <f t="shared" si="415"/>
        <v>0</v>
      </c>
      <c r="AZ671" s="28">
        <f t="shared" si="416"/>
        <v>0</v>
      </c>
      <c r="BA671" s="27">
        <f t="shared" si="402"/>
        <v>0</v>
      </c>
      <c r="BB671" s="27">
        <f t="shared" si="418"/>
        <v>0</v>
      </c>
      <c r="BC671" s="27">
        <f t="shared" si="420"/>
        <v>0</v>
      </c>
      <c r="BD671" s="27">
        <f t="shared" si="421"/>
        <v>0</v>
      </c>
      <c r="BE671" s="27">
        <f t="shared" si="422"/>
        <v>0</v>
      </c>
      <c r="BF671" s="29">
        <f t="shared" si="399"/>
        <v>0</v>
      </c>
      <c r="BH671" s="30">
        <f t="shared" si="417"/>
        <v>0</v>
      </c>
      <c r="BM671" s="2">
        <f t="shared" si="432"/>
        <v>0</v>
      </c>
      <c r="BP671" s="2">
        <f t="shared" si="433"/>
        <v>0</v>
      </c>
    </row>
    <row r="672" spans="1:68" ht="14.45" hidden="1" customHeight="1" x14ac:dyDescent="0.25">
      <c r="A672" s="33" t="s">
        <v>683</v>
      </c>
      <c r="B672" s="23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13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5"/>
      <c r="AD672" s="25">
        <f t="shared" ref="AD672:AD703" si="434">SUM(B672:S672)</f>
        <v>0</v>
      </c>
      <c r="AE672" s="26" t="s">
        <v>42</v>
      </c>
      <c r="AF672" s="27"/>
      <c r="AG672" s="17">
        <f t="shared" si="408"/>
        <v>0</v>
      </c>
      <c r="AH672" s="28">
        <f t="shared" si="409"/>
        <v>0</v>
      </c>
      <c r="AI672" s="17">
        <f t="shared" si="410"/>
        <v>0</v>
      </c>
      <c r="AJ672" s="28">
        <f t="shared" si="411"/>
        <v>0</v>
      </c>
      <c r="AK672" s="17">
        <f t="shared" si="419"/>
        <v>0</v>
      </c>
      <c r="AL672" s="28">
        <f t="shared" si="412"/>
        <v>0</v>
      </c>
      <c r="AM672" s="17">
        <f t="shared" si="427"/>
        <v>0</v>
      </c>
      <c r="AN672" s="28">
        <f t="shared" si="398"/>
        <v>0</v>
      </c>
      <c r="AO672" s="17">
        <f t="shared" si="428"/>
        <v>0</v>
      </c>
      <c r="AP672" s="28">
        <f t="shared" si="429"/>
        <v>0</v>
      </c>
      <c r="AQ672" s="17">
        <f t="shared" si="430"/>
        <v>0</v>
      </c>
      <c r="AR672" s="28">
        <f t="shared" si="431"/>
        <v>0</v>
      </c>
      <c r="AS672" s="17">
        <f t="shared" si="423"/>
        <v>0</v>
      </c>
      <c r="AT672" s="28">
        <f t="shared" si="424"/>
        <v>0</v>
      </c>
      <c r="AU672" s="17">
        <f t="shared" si="425"/>
        <v>0</v>
      </c>
      <c r="AV672" s="28">
        <f t="shared" si="426"/>
        <v>0</v>
      </c>
      <c r="AW672" s="17">
        <f t="shared" si="413"/>
        <v>0</v>
      </c>
      <c r="AX672" s="28">
        <f t="shared" si="414"/>
        <v>0</v>
      </c>
      <c r="AY672" s="17">
        <f t="shared" si="415"/>
        <v>0</v>
      </c>
      <c r="AZ672" s="28">
        <f t="shared" si="416"/>
        <v>0</v>
      </c>
      <c r="BA672" s="27">
        <f t="shared" si="402"/>
        <v>0</v>
      </c>
      <c r="BB672" s="27">
        <f t="shared" si="418"/>
        <v>0</v>
      </c>
      <c r="BC672" s="27">
        <f t="shared" si="420"/>
        <v>0</v>
      </c>
      <c r="BD672" s="27">
        <f t="shared" si="421"/>
        <v>0</v>
      </c>
      <c r="BE672" s="27">
        <f t="shared" si="422"/>
        <v>0</v>
      </c>
      <c r="BF672" s="29">
        <f t="shared" si="399"/>
        <v>0</v>
      </c>
      <c r="BH672" s="30">
        <f t="shared" si="417"/>
        <v>0</v>
      </c>
      <c r="BM672" s="2">
        <f t="shared" si="432"/>
        <v>0</v>
      </c>
      <c r="BP672" s="2">
        <f t="shared" si="433"/>
        <v>0</v>
      </c>
    </row>
    <row r="673" spans="1:68" ht="14.45" hidden="1" customHeight="1" x14ac:dyDescent="0.25">
      <c r="A673" s="33" t="s">
        <v>684</v>
      </c>
      <c r="B673" s="23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13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5"/>
      <c r="AD673" s="25">
        <f t="shared" si="434"/>
        <v>0</v>
      </c>
      <c r="AE673" s="26" t="s">
        <v>42</v>
      </c>
      <c r="AF673" s="27"/>
      <c r="AG673" s="17">
        <f t="shared" si="408"/>
        <v>0</v>
      </c>
      <c r="AH673" s="28">
        <f t="shared" si="409"/>
        <v>0</v>
      </c>
      <c r="AI673" s="17">
        <f t="shared" si="410"/>
        <v>0</v>
      </c>
      <c r="AJ673" s="28">
        <f t="shared" si="411"/>
        <v>0</v>
      </c>
      <c r="AK673" s="17">
        <f t="shared" si="419"/>
        <v>0</v>
      </c>
      <c r="AL673" s="28">
        <f t="shared" si="412"/>
        <v>0</v>
      </c>
      <c r="AM673" s="17">
        <f t="shared" si="427"/>
        <v>0</v>
      </c>
      <c r="AN673" s="28">
        <f t="shared" si="398"/>
        <v>0</v>
      </c>
      <c r="AO673" s="17">
        <f t="shared" si="428"/>
        <v>0</v>
      </c>
      <c r="AP673" s="28">
        <f t="shared" si="429"/>
        <v>0</v>
      </c>
      <c r="AQ673" s="17">
        <f t="shared" si="430"/>
        <v>0</v>
      </c>
      <c r="AR673" s="28">
        <f t="shared" si="431"/>
        <v>0</v>
      </c>
      <c r="AS673" s="17">
        <f t="shared" si="423"/>
        <v>0</v>
      </c>
      <c r="AT673" s="28">
        <f t="shared" si="424"/>
        <v>0</v>
      </c>
      <c r="AU673" s="17">
        <f t="shared" si="425"/>
        <v>0</v>
      </c>
      <c r="AV673" s="28">
        <f t="shared" si="426"/>
        <v>0</v>
      </c>
      <c r="AW673" s="17">
        <f t="shared" si="413"/>
        <v>0</v>
      </c>
      <c r="AX673" s="28">
        <f t="shared" si="414"/>
        <v>0</v>
      </c>
      <c r="AY673" s="17">
        <f t="shared" si="415"/>
        <v>0</v>
      </c>
      <c r="AZ673" s="28">
        <f t="shared" si="416"/>
        <v>0</v>
      </c>
      <c r="BA673" s="27">
        <f t="shared" si="402"/>
        <v>0</v>
      </c>
      <c r="BB673" s="27">
        <f t="shared" si="418"/>
        <v>0</v>
      </c>
      <c r="BC673" s="27">
        <f t="shared" si="420"/>
        <v>0</v>
      </c>
      <c r="BD673" s="27">
        <f t="shared" si="421"/>
        <v>0</v>
      </c>
      <c r="BE673" s="27">
        <f t="shared" si="422"/>
        <v>0</v>
      </c>
      <c r="BF673" s="29">
        <f t="shared" si="399"/>
        <v>0</v>
      </c>
      <c r="BH673" s="30">
        <f t="shared" si="417"/>
        <v>0</v>
      </c>
      <c r="BM673" s="2">
        <f t="shared" si="432"/>
        <v>0</v>
      </c>
      <c r="BP673" s="2">
        <f t="shared" si="433"/>
        <v>0</v>
      </c>
    </row>
    <row r="674" spans="1:68" ht="14.45" hidden="1" customHeight="1" x14ac:dyDescent="0.25">
      <c r="A674" s="33" t="s">
        <v>685</v>
      </c>
      <c r="B674" s="23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13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5"/>
      <c r="AD674" s="25">
        <f t="shared" si="434"/>
        <v>0</v>
      </c>
      <c r="AE674" s="26" t="s">
        <v>42</v>
      </c>
      <c r="AF674" s="27"/>
      <c r="AG674" s="17">
        <f t="shared" si="408"/>
        <v>0</v>
      </c>
      <c r="AH674" s="28">
        <f t="shared" si="409"/>
        <v>0</v>
      </c>
      <c r="AI674" s="17">
        <f t="shared" si="410"/>
        <v>0</v>
      </c>
      <c r="AJ674" s="28">
        <f t="shared" si="411"/>
        <v>0</v>
      </c>
      <c r="AK674" s="17">
        <f t="shared" si="419"/>
        <v>0</v>
      </c>
      <c r="AL674" s="28">
        <f t="shared" si="412"/>
        <v>0</v>
      </c>
      <c r="AM674" s="17">
        <f t="shared" si="427"/>
        <v>0</v>
      </c>
      <c r="AN674" s="28">
        <f t="shared" si="398"/>
        <v>0</v>
      </c>
      <c r="AO674" s="17">
        <f t="shared" si="428"/>
        <v>0</v>
      </c>
      <c r="AP674" s="28">
        <f t="shared" si="429"/>
        <v>0</v>
      </c>
      <c r="AQ674" s="17">
        <f t="shared" si="430"/>
        <v>0</v>
      </c>
      <c r="AR674" s="28">
        <f t="shared" si="431"/>
        <v>0</v>
      </c>
      <c r="AS674" s="17">
        <f t="shared" si="423"/>
        <v>0</v>
      </c>
      <c r="AT674" s="28">
        <f t="shared" si="424"/>
        <v>0</v>
      </c>
      <c r="AU674" s="17">
        <f t="shared" si="425"/>
        <v>0</v>
      </c>
      <c r="AV674" s="28">
        <f t="shared" si="426"/>
        <v>0</v>
      </c>
      <c r="AW674" s="17">
        <f t="shared" si="413"/>
        <v>0</v>
      </c>
      <c r="AX674" s="28">
        <f t="shared" si="414"/>
        <v>0</v>
      </c>
      <c r="AY674" s="17">
        <f t="shared" si="415"/>
        <v>0</v>
      </c>
      <c r="AZ674" s="28">
        <f t="shared" si="416"/>
        <v>0</v>
      </c>
      <c r="BA674" s="27">
        <f t="shared" si="402"/>
        <v>0</v>
      </c>
      <c r="BB674" s="27">
        <f t="shared" si="418"/>
        <v>0</v>
      </c>
      <c r="BC674" s="27">
        <f t="shared" si="420"/>
        <v>0</v>
      </c>
      <c r="BD674" s="27">
        <f t="shared" si="421"/>
        <v>0</v>
      </c>
      <c r="BE674" s="27">
        <f t="shared" si="422"/>
        <v>0</v>
      </c>
      <c r="BF674" s="29">
        <f t="shared" si="399"/>
        <v>0</v>
      </c>
      <c r="BH674" s="30">
        <f t="shared" si="417"/>
        <v>0</v>
      </c>
      <c r="BM674" s="2">
        <f t="shared" si="432"/>
        <v>0</v>
      </c>
      <c r="BP674" s="2">
        <f t="shared" si="433"/>
        <v>0</v>
      </c>
    </row>
    <row r="675" spans="1:68" ht="14.45" hidden="1" customHeight="1" x14ac:dyDescent="0.25">
      <c r="A675" s="33" t="s">
        <v>686</v>
      </c>
      <c r="B675" s="23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13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5"/>
      <c r="AD675" s="25">
        <f t="shared" si="434"/>
        <v>0</v>
      </c>
      <c r="AE675" s="26" t="s">
        <v>42</v>
      </c>
      <c r="AF675" s="27"/>
      <c r="AG675" s="17">
        <f t="shared" si="408"/>
        <v>0</v>
      </c>
      <c r="AH675" s="28">
        <f t="shared" si="409"/>
        <v>0</v>
      </c>
      <c r="AI675" s="17">
        <f t="shared" si="410"/>
        <v>0</v>
      </c>
      <c r="AJ675" s="28">
        <f t="shared" si="411"/>
        <v>0</v>
      </c>
      <c r="AK675" s="17">
        <f t="shared" si="419"/>
        <v>0</v>
      </c>
      <c r="AL675" s="28">
        <f t="shared" si="412"/>
        <v>0</v>
      </c>
      <c r="AM675" s="17">
        <f t="shared" si="427"/>
        <v>0</v>
      </c>
      <c r="AN675" s="28">
        <f t="shared" si="398"/>
        <v>0</v>
      </c>
      <c r="AO675" s="17">
        <f t="shared" si="428"/>
        <v>0</v>
      </c>
      <c r="AP675" s="28">
        <f t="shared" si="429"/>
        <v>0</v>
      </c>
      <c r="AQ675" s="17">
        <f t="shared" si="430"/>
        <v>0</v>
      </c>
      <c r="AR675" s="28">
        <f t="shared" si="431"/>
        <v>0</v>
      </c>
      <c r="AS675" s="17">
        <f t="shared" si="423"/>
        <v>0</v>
      </c>
      <c r="AT675" s="28">
        <f t="shared" si="424"/>
        <v>0</v>
      </c>
      <c r="AU675" s="17">
        <f t="shared" si="425"/>
        <v>0</v>
      </c>
      <c r="AV675" s="28">
        <f t="shared" si="426"/>
        <v>0</v>
      </c>
      <c r="AW675" s="17">
        <f t="shared" si="413"/>
        <v>0</v>
      </c>
      <c r="AX675" s="28">
        <f t="shared" si="414"/>
        <v>0</v>
      </c>
      <c r="AY675" s="17">
        <f t="shared" si="415"/>
        <v>0</v>
      </c>
      <c r="AZ675" s="28">
        <f t="shared" si="416"/>
        <v>0</v>
      </c>
      <c r="BA675" s="27">
        <f t="shared" si="402"/>
        <v>0</v>
      </c>
      <c r="BB675" s="27">
        <f t="shared" si="418"/>
        <v>0</v>
      </c>
      <c r="BC675" s="27">
        <f t="shared" si="420"/>
        <v>0</v>
      </c>
      <c r="BD675" s="27">
        <f t="shared" si="421"/>
        <v>0</v>
      </c>
      <c r="BE675" s="27">
        <f t="shared" si="422"/>
        <v>0</v>
      </c>
      <c r="BF675" s="29">
        <f t="shared" si="399"/>
        <v>0</v>
      </c>
      <c r="BH675" s="30">
        <f t="shared" si="417"/>
        <v>0</v>
      </c>
      <c r="BM675" s="2">
        <f t="shared" si="432"/>
        <v>0</v>
      </c>
      <c r="BP675" s="2">
        <f t="shared" si="433"/>
        <v>0</v>
      </c>
    </row>
    <row r="676" spans="1:68" ht="14.45" hidden="1" customHeight="1" x14ac:dyDescent="0.25">
      <c r="A676" s="33" t="s">
        <v>687</v>
      </c>
      <c r="B676" s="23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13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5"/>
      <c r="AD676" s="25">
        <f t="shared" si="434"/>
        <v>0</v>
      </c>
      <c r="AE676" s="26" t="s">
        <v>42</v>
      </c>
      <c r="AF676" s="27"/>
      <c r="AG676" s="17">
        <f t="shared" si="408"/>
        <v>0</v>
      </c>
      <c r="AH676" s="28">
        <f t="shared" si="409"/>
        <v>0</v>
      </c>
      <c r="AI676" s="17">
        <f t="shared" si="410"/>
        <v>0</v>
      </c>
      <c r="AJ676" s="28">
        <f t="shared" si="411"/>
        <v>0</v>
      </c>
      <c r="AK676" s="17">
        <f t="shared" si="419"/>
        <v>0</v>
      </c>
      <c r="AL676" s="28">
        <f t="shared" si="412"/>
        <v>0</v>
      </c>
      <c r="AM676" s="17">
        <f t="shared" si="427"/>
        <v>0</v>
      </c>
      <c r="AN676" s="28">
        <f t="shared" si="398"/>
        <v>0</v>
      </c>
      <c r="AO676" s="17">
        <f t="shared" si="428"/>
        <v>0</v>
      </c>
      <c r="AP676" s="28">
        <f t="shared" si="429"/>
        <v>0</v>
      </c>
      <c r="AQ676" s="17">
        <f t="shared" si="430"/>
        <v>0</v>
      </c>
      <c r="AR676" s="28">
        <f t="shared" si="431"/>
        <v>0</v>
      </c>
      <c r="AS676" s="17">
        <f t="shared" si="423"/>
        <v>0</v>
      </c>
      <c r="AT676" s="28">
        <f t="shared" si="424"/>
        <v>0</v>
      </c>
      <c r="AU676" s="17">
        <f t="shared" si="425"/>
        <v>0</v>
      </c>
      <c r="AV676" s="28">
        <f t="shared" si="426"/>
        <v>0</v>
      </c>
      <c r="AW676" s="17">
        <f t="shared" si="413"/>
        <v>0</v>
      </c>
      <c r="AX676" s="28">
        <f t="shared" si="414"/>
        <v>0</v>
      </c>
      <c r="AY676" s="17">
        <f t="shared" si="415"/>
        <v>0</v>
      </c>
      <c r="AZ676" s="28">
        <f t="shared" si="416"/>
        <v>0</v>
      </c>
      <c r="BA676" s="27">
        <f t="shared" si="402"/>
        <v>0</v>
      </c>
      <c r="BB676" s="27">
        <f t="shared" si="418"/>
        <v>0</v>
      </c>
      <c r="BC676" s="27">
        <f t="shared" si="420"/>
        <v>0</v>
      </c>
      <c r="BD676" s="27">
        <f t="shared" si="421"/>
        <v>0</v>
      </c>
      <c r="BE676" s="27">
        <f t="shared" si="422"/>
        <v>0</v>
      </c>
      <c r="BF676" s="29">
        <f t="shared" si="399"/>
        <v>0</v>
      </c>
      <c r="BH676" s="30">
        <f t="shared" si="417"/>
        <v>0</v>
      </c>
      <c r="BM676" s="2">
        <f t="shared" si="432"/>
        <v>0</v>
      </c>
      <c r="BP676" s="2">
        <f t="shared" si="433"/>
        <v>0</v>
      </c>
    </row>
    <row r="677" spans="1:68" ht="14.45" hidden="1" customHeight="1" x14ac:dyDescent="0.25">
      <c r="A677" s="33" t="s">
        <v>688</v>
      </c>
      <c r="B677" s="23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13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5"/>
      <c r="AD677" s="25">
        <f t="shared" si="434"/>
        <v>0</v>
      </c>
      <c r="AE677" s="26" t="s">
        <v>42</v>
      </c>
      <c r="AF677" s="27"/>
      <c r="AG677" s="17">
        <f t="shared" si="408"/>
        <v>0</v>
      </c>
      <c r="AH677" s="28">
        <f t="shared" si="409"/>
        <v>0</v>
      </c>
      <c r="AI677" s="17">
        <f t="shared" si="410"/>
        <v>0</v>
      </c>
      <c r="AJ677" s="28">
        <f t="shared" si="411"/>
        <v>0</v>
      </c>
      <c r="AK677" s="17">
        <f t="shared" si="419"/>
        <v>0</v>
      </c>
      <c r="AL677" s="28">
        <f t="shared" si="412"/>
        <v>0</v>
      </c>
      <c r="AM677" s="17">
        <f t="shared" si="427"/>
        <v>0</v>
      </c>
      <c r="AN677" s="28">
        <f t="shared" si="398"/>
        <v>0</v>
      </c>
      <c r="AO677" s="17">
        <f t="shared" si="428"/>
        <v>0</v>
      </c>
      <c r="AP677" s="28">
        <f t="shared" si="429"/>
        <v>0</v>
      </c>
      <c r="AQ677" s="17">
        <f t="shared" si="430"/>
        <v>0</v>
      </c>
      <c r="AR677" s="28">
        <f t="shared" si="431"/>
        <v>0</v>
      </c>
      <c r="AS677" s="17">
        <f t="shared" si="423"/>
        <v>0</v>
      </c>
      <c r="AT677" s="28">
        <f t="shared" si="424"/>
        <v>0</v>
      </c>
      <c r="AU677" s="17">
        <f t="shared" si="425"/>
        <v>0</v>
      </c>
      <c r="AV677" s="28">
        <f t="shared" si="426"/>
        <v>0</v>
      </c>
      <c r="AW677" s="17">
        <f t="shared" si="413"/>
        <v>0</v>
      </c>
      <c r="AX677" s="28">
        <f t="shared" si="414"/>
        <v>0</v>
      </c>
      <c r="AY677" s="17">
        <f t="shared" si="415"/>
        <v>0</v>
      </c>
      <c r="AZ677" s="28">
        <f t="shared" si="416"/>
        <v>0</v>
      </c>
      <c r="BA677" s="27">
        <f t="shared" si="402"/>
        <v>0</v>
      </c>
      <c r="BB677" s="27">
        <f t="shared" si="418"/>
        <v>0</v>
      </c>
      <c r="BC677" s="27">
        <f t="shared" si="420"/>
        <v>0</v>
      </c>
      <c r="BD677" s="27">
        <f t="shared" si="421"/>
        <v>0</v>
      </c>
      <c r="BE677" s="27">
        <f t="shared" si="422"/>
        <v>0</v>
      </c>
      <c r="BF677" s="29">
        <f t="shared" si="399"/>
        <v>0</v>
      </c>
      <c r="BH677" s="30">
        <f t="shared" si="417"/>
        <v>0</v>
      </c>
      <c r="BM677" s="2">
        <f t="shared" si="432"/>
        <v>0</v>
      </c>
      <c r="BP677" s="2">
        <f t="shared" si="433"/>
        <v>0</v>
      </c>
    </row>
    <row r="678" spans="1:68" ht="14.45" hidden="1" customHeight="1" x14ac:dyDescent="0.25">
      <c r="A678" s="33" t="s">
        <v>689</v>
      </c>
      <c r="B678" s="23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13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5"/>
      <c r="AD678" s="25">
        <f t="shared" si="434"/>
        <v>0</v>
      </c>
      <c r="AE678" s="26" t="s">
        <v>42</v>
      </c>
      <c r="AF678" s="27"/>
      <c r="AG678" s="17">
        <f t="shared" si="408"/>
        <v>0</v>
      </c>
      <c r="AH678" s="28">
        <f t="shared" si="409"/>
        <v>0</v>
      </c>
      <c r="AI678" s="17">
        <f t="shared" si="410"/>
        <v>0</v>
      </c>
      <c r="AJ678" s="28">
        <f t="shared" si="411"/>
        <v>0</v>
      </c>
      <c r="AK678" s="17">
        <f t="shared" si="419"/>
        <v>0</v>
      </c>
      <c r="AL678" s="28">
        <f t="shared" si="412"/>
        <v>0</v>
      </c>
      <c r="AM678" s="17">
        <f t="shared" si="427"/>
        <v>0</v>
      </c>
      <c r="AN678" s="28">
        <f t="shared" si="398"/>
        <v>0</v>
      </c>
      <c r="AO678" s="17">
        <f t="shared" si="428"/>
        <v>0</v>
      </c>
      <c r="AP678" s="28">
        <f t="shared" si="429"/>
        <v>0</v>
      </c>
      <c r="AQ678" s="17">
        <f t="shared" si="430"/>
        <v>0</v>
      </c>
      <c r="AR678" s="28">
        <f t="shared" si="431"/>
        <v>0</v>
      </c>
      <c r="AS678" s="17">
        <f t="shared" si="423"/>
        <v>0</v>
      </c>
      <c r="AT678" s="28">
        <f t="shared" si="424"/>
        <v>0</v>
      </c>
      <c r="AU678" s="17">
        <f t="shared" si="425"/>
        <v>0</v>
      </c>
      <c r="AV678" s="28">
        <f t="shared" si="426"/>
        <v>0</v>
      </c>
      <c r="AW678" s="17">
        <f t="shared" si="413"/>
        <v>0</v>
      </c>
      <c r="AX678" s="28">
        <f t="shared" si="414"/>
        <v>0</v>
      </c>
      <c r="AY678" s="17">
        <f t="shared" si="415"/>
        <v>0</v>
      </c>
      <c r="AZ678" s="28">
        <f t="shared" si="416"/>
        <v>0</v>
      </c>
      <c r="BA678" s="27">
        <f t="shared" si="402"/>
        <v>0</v>
      </c>
      <c r="BB678" s="27">
        <f t="shared" si="418"/>
        <v>0</v>
      </c>
      <c r="BC678" s="27">
        <f t="shared" si="420"/>
        <v>0</v>
      </c>
      <c r="BD678" s="27">
        <f t="shared" si="421"/>
        <v>0</v>
      </c>
      <c r="BE678" s="27">
        <f t="shared" si="422"/>
        <v>0</v>
      </c>
      <c r="BF678" s="29">
        <f t="shared" si="399"/>
        <v>0</v>
      </c>
      <c r="BH678" s="30">
        <f t="shared" si="417"/>
        <v>0</v>
      </c>
      <c r="BM678" s="2">
        <f t="shared" si="432"/>
        <v>0</v>
      </c>
      <c r="BP678" s="2">
        <f t="shared" si="433"/>
        <v>0</v>
      </c>
    </row>
    <row r="679" spans="1:68" ht="14.45" hidden="1" customHeight="1" x14ac:dyDescent="0.25">
      <c r="A679" s="33" t="s">
        <v>690</v>
      </c>
      <c r="B679" s="23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13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5"/>
      <c r="AD679" s="25">
        <f t="shared" si="434"/>
        <v>0</v>
      </c>
      <c r="AE679" s="26" t="s">
        <v>42</v>
      </c>
      <c r="AF679" s="27"/>
      <c r="AG679" s="17">
        <f t="shared" si="408"/>
        <v>0</v>
      </c>
      <c r="AH679" s="28">
        <f t="shared" si="409"/>
        <v>0</v>
      </c>
      <c r="AI679" s="17">
        <f t="shared" si="410"/>
        <v>0</v>
      </c>
      <c r="AJ679" s="28">
        <f t="shared" si="411"/>
        <v>0</v>
      </c>
      <c r="AK679" s="17">
        <f t="shared" si="419"/>
        <v>0</v>
      </c>
      <c r="AL679" s="28">
        <f t="shared" si="412"/>
        <v>0</v>
      </c>
      <c r="AM679" s="17">
        <f t="shared" si="427"/>
        <v>0</v>
      </c>
      <c r="AN679" s="28">
        <f t="shared" si="398"/>
        <v>0</v>
      </c>
      <c r="AO679" s="17">
        <f t="shared" si="428"/>
        <v>0</v>
      </c>
      <c r="AP679" s="28">
        <f t="shared" si="429"/>
        <v>0</v>
      </c>
      <c r="AQ679" s="17">
        <f t="shared" si="430"/>
        <v>0</v>
      </c>
      <c r="AR679" s="28">
        <f t="shared" si="431"/>
        <v>0</v>
      </c>
      <c r="AS679" s="17">
        <f t="shared" si="423"/>
        <v>0</v>
      </c>
      <c r="AT679" s="28">
        <f t="shared" si="424"/>
        <v>0</v>
      </c>
      <c r="AU679" s="17">
        <f t="shared" si="425"/>
        <v>0</v>
      </c>
      <c r="AV679" s="28">
        <f t="shared" si="426"/>
        <v>0</v>
      </c>
      <c r="AW679" s="17">
        <f t="shared" si="413"/>
        <v>0</v>
      </c>
      <c r="AX679" s="28">
        <f t="shared" si="414"/>
        <v>0</v>
      </c>
      <c r="AY679" s="17">
        <f t="shared" si="415"/>
        <v>0</v>
      </c>
      <c r="AZ679" s="28">
        <f t="shared" si="416"/>
        <v>0</v>
      </c>
      <c r="BA679" s="27">
        <f t="shared" si="402"/>
        <v>0</v>
      </c>
      <c r="BB679" s="27">
        <f t="shared" si="418"/>
        <v>0</v>
      </c>
      <c r="BC679" s="27">
        <f t="shared" si="420"/>
        <v>0</v>
      </c>
      <c r="BD679" s="27">
        <f t="shared" si="421"/>
        <v>0</v>
      </c>
      <c r="BE679" s="27">
        <f t="shared" si="422"/>
        <v>0</v>
      </c>
      <c r="BF679" s="29">
        <f t="shared" si="399"/>
        <v>0</v>
      </c>
      <c r="BH679" s="30">
        <f t="shared" si="417"/>
        <v>0</v>
      </c>
      <c r="BM679" s="2">
        <f t="shared" si="432"/>
        <v>0</v>
      </c>
      <c r="BP679" s="2">
        <f t="shared" si="433"/>
        <v>0</v>
      </c>
    </row>
    <row r="680" spans="1:68" ht="14.45" hidden="1" customHeight="1" x14ac:dyDescent="0.25">
      <c r="A680" s="33" t="s">
        <v>691</v>
      </c>
      <c r="B680" s="23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13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5"/>
      <c r="AD680" s="25">
        <f t="shared" si="434"/>
        <v>0</v>
      </c>
      <c r="AE680" s="26" t="s">
        <v>42</v>
      </c>
      <c r="AF680" s="27"/>
      <c r="AG680" s="17">
        <f t="shared" si="408"/>
        <v>0</v>
      </c>
      <c r="AH680" s="28">
        <f t="shared" si="409"/>
        <v>0</v>
      </c>
      <c r="AI680" s="17">
        <f t="shared" si="410"/>
        <v>0</v>
      </c>
      <c r="AJ680" s="28">
        <f t="shared" si="411"/>
        <v>0</v>
      </c>
      <c r="AK680" s="17">
        <f t="shared" si="419"/>
        <v>0</v>
      </c>
      <c r="AL680" s="28">
        <f t="shared" si="412"/>
        <v>0</v>
      </c>
      <c r="AM680" s="17">
        <f t="shared" si="427"/>
        <v>0</v>
      </c>
      <c r="AN680" s="28">
        <f t="shared" si="398"/>
        <v>0</v>
      </c>
      <c r="AO680" s="17">
        <f t="shared" si="428"/>
        <v>0</v>
      </c>
      <c r="AP680" s="28">
        <f t="shared" si="429"/>
        <v>0</v>
      </c>
      <c r="AQ680" s="17">
        <f t="shared" si="430"/>
        <v>0</v>
      </c>
      <c r="AR680" s="28">
        <f t="shared" si="431"/>
        <v>0</v>
      </c>
      <c r="AS680" s="17">
        <f t="shared" si="423"/>
        <v>0</v>
      </c>
      <c r="AT680" s="28">
        <f t="shared" si="424"/>
        <v>0</v>
      </c>
      <c r="AU680" s="17">
        <f t="shared" si="425"/>
        <v>0</v>
      </c>
      <c r="AV680" s="28">
        <f t="shared" si="426"/>
        <v>0</v>
      </c>
      <c r="AW680" s="17">
        <f t="shared" si="413"/>
        <v>0</v>
      </c>
      <c r="AX680" s="28">
        <f t="shared" si="414"/>
        <v>0</v>
      </c>
      <c r="AY680" s="17">
        <f t="shared" si="415"/>
        <v>0</v>
      </c>
      <c r="AZ680" s="28">
        <f t="shared" si="416"/>
        <v>0</v>
      </c>
      <c r="BA680" s="27">
        <f t="shared" si="402"/>
        <v>0</v>
      </c>
      <c r="BB680" s="27">
        <f t="shared" si="418"/>
        <v>0</v>
      </c>
      <c r="BC680" s="27">
        <f t="shared" si="420"/>
        <v>0</v>
      </c>
      <c r="BD680" s="27">
        <f t="shared" si="421"/>
        <v>0</v>
      </c>
      <c r="BE680" s="27">
        <f t="shared" si="422"/>
        <v>0</v>
      </c>
      <c r="BF680" s="29">
        <f t="shared" si="399"/>
        <v>0</v>
      </c>
      <c r="BH680" s="30">
        <f t="shared" si="417"/>
        <v>0</v>
      </c>
      <c r="BM680" s="2">
        <f t="shared" si="432"/>
        <v>0</v>
      </c>
      <c r="BP680" s="2">
        <f t="shared" si="433"/>
        <v>0</v>
      </c>
    </row>
    <row r="681" spans="1:68" ht="14.45" hidden="1" customHeight="1" x14ac:dyDescent="0.25">
      <c r="A681" s="33" t="s">
        <v>692</v>
      </c>
      <c r="B681" s="23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13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5"/>
      <c r="AD681" s="25">
        <f t="shared" si="434"/>
        <v>0</v>
      </c>
      <c r="AE681" s="26" t="s">
        <v>42</v>
      </c>
      <c r="AF681" s="27"/>
      <c r="AG681" s="17">
        <f t="shared" si="408"/>
        <v>0</v>
      </c>
      <c r="AH681" s="28">
        <f t="shared" si="409"/>
        <v>0</v>
      </c>
      <c r="AI681" s="17">
        <f t="shared" si="410"/>
        <v>0</v>
      </c>
      <c r="AJ681" s="28">
        <f t="shared" si="411"/>
        <v>0</v>
      </c>
      <c r="AK681" s="17">
        <f t="shared" si="419"/>
        <v>0</v>
      </c>
      <c r="AL681" s="28">
        <f t="shared" si="412"/>
        <v>0</v>
      </c>
      <c r="AM681" s="17">
        <f t="shared" si="427"/>
        <v>0</v>
      </c>
      <c r="AN681" s="28">
        <f t="shared" si="398"/>
        <v>0</v>
      </c>
      <c r="AO681" s="17">
        <f t="shared" si="428"/>
        <v>0</v>
      </c>
      <c r="AP681" s="28">
        <f t="shared" si="429"/>
        <v>0</v>
      </c>
      <c r="AQ681" s="17">
        <f t="shared" si="430"/>
        <v>0</v>
      </c>
      <c r="AR681" s="28">
        <f t="shared" si="431"/>
        <v>0</v>
      </c>
      <c r="AS681" s="17">
        <f t="shared" si="423"/>
        <v>0</v>
      </c>
      <c r="AT681" s="28">
        <f t="shared" si="424"/>
        <v>0</v>
      </c>
      <c r="AU681" s="17">
        <f t="shared" si="425"/>
        <v>0</v>
      </c>
      <c r="AV681" s="28">
        <f t="shared" si="426"/>
        <v>0</v>
      </c>
      <c r="AW681" s="17">
        <f t="shared" si="413"/>
        <v>0</v>
      </c>
      <c r="AX681" s="28">
        <f t="shared" si="414"/>
        <v>0</v>
      </c>
      <c r="AY681" s="17">
        <f t="shared" si="415"/>
        <v>0</v>
      </c>
      <c r="AZ681" s="28">
        <f t="shared" si="416"/>
        <v>0</v>
      </c>
      <c r="BA681" s="27">
        <f t="shared" si="402"/>
        <v>0</v>
      </c>
      <c r="BB681" s="27">
        <f t="shared" si="418"/>
        <v>0</v>
      </c>
      <c r="BC681" s="27">
        <f t="shared" si="420"/>
        <v>0</v>
      </c>
      <c r="BD681" s="27">
        <f t="shared" si="421"/>
        <v>0</v>
      </c>
      <c r="BE681" s="27">
        <f t="shared" si="422"/>
        <v>0</v>
      </c>
      <c r="BF681" s="29">
        <f t="shared" si="399"/>
        <v>0</v>
      </c>
      <c r="BH681" s="30">
        <f t="shared" si="417"/>
        <v>0</v>
      </c>
      <c r="BM681" s="2">
        <f t="shared" si="432"/>
        <v>0</v>
      </c>
      <c r="BP681" s="2">
        <f t="shared" si="433"/>
        <v>0</v>
      </c>
    </row>
    <row r="682" spans="1:68" ht="14.45" hidden="1" customHeight="1" x14ac:dyDescent="0.25">
      <c r="A682" s="33" t="s">
        <v>693</v>
      </c>
      <c r="B682" s="23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13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5"/>
      <c r="AD682" s="25">
        <f t="shared" si="434"/>
        <v>0</v>
      </c>
      <c r="AE682" s="26" t="s">
        <v>42</v>
      </c>
      <c r="AF682" s="27"/>
      <c r="AG682" s="17">
        <f t="shared" si="408"/>
        <v>0</v>
      </c>
      <c r="AH682" s="28">
        <f t="shared" si="409"/>
        <v>0</v>
      </c>
      <c r="AI682" s="17">
        <f t="shared" si="410"/>
        <v>0</v>
      </c>
      <c r="AJ682" s="28">
        <f t="shared" si="411"/>
        <v>0</v>
      </c>
      <c r="AK682" s="17">
        <f t="shared" si="419"/>
        <v>0</v>
      </c>
      <c r="AL682" s="28">
        <f t="shared" si="412"/>
        <v>0</v>
      </c>
      <c r="AM682" s="17">
        <f t="shared" si="427"/>
        <v>0</v>
      </c>
      <c r="AN682" s="28">
        <f t="shared" si="398"/>
        <v>0</v>
      </c>
      <c r="AO682" s="17">
        <f t="shared" si="428"/>
        <v>0</v>
      </c>
      <c r="AP682" s="28">
        <f t="shared" si="429"/>
        <v>0</v>
      </c>
      <c r="AQ682" s="17">
        <f t="shared" si="430"/>
        <v>0</v>
      </c>
      <c r="AR682" s="28">
        <f t="shared" si="431"/>
        <v>0</v>
      </c>
      <c r="AS682" s="17">
        <f t="shared" si="423"/>
        <v>0</v>
      </c>
      <c r="AT682" s="28">
        <f t="shared" si="424"/>
        <v>0</v>
      </c>
      <c r="AU682" s="17">
        <f t="shared" si="425"/>
        <v>0</v>
      </c>
      <c r="AV682" s="28">
        <f t="shared" si="426"/>
        <v>0</v>
      </c>
      <c r="AW682" s="17">
        <f t="shared" si="413"/>
        <v>0</v>
      </c>
      <c r="AX682" s="28">
        <f t="shared" si="414"/>
        <v>0</v>
      </c>
      <c r="AY682" s="17">
        <f t="shared" si="415"/>
        <v>0</v>
      </c>
      <c r="AZ682" s="28">
        <f t="shared" si="416"/>
        <v>0</v>
      </c>
      <c r="BA682" s="27">
        <f t="shared" si="402"/>
        <v>0</v>
      </c>
      <c r="BB682" s="27">
        <f t="shared" si="418"/>
        <v>0</v>
      </c>
      <c r="BC682" s="27">
        <f t="shared" si="420"/>
        <v>0</v>
      </c>
      <c r="BD682" s="27">
        <f t="shared" si="421"/>
        <v>0</v>
      </c>
      <c r="BE682" s="27">
        <f t="shared" si="422"/>
        <v>0</v>
      </c>
      <c r="BF682" s="29">
        <f t="shared" si="399"/>
        <v>0</v>
      </c>
      <c r="BH682" s="30">
        <f t="shared" si="417"/>
        <v>0</v>
      </c>
      <c r="BM682" s="2">
        <f t="shared" si="432"/>
        <v>0</v>
      </c>
      <c r="BP682" s="2">
        <f t="shared" si="433"/>
        <v>0</v>
      </c>
    </row>
    <row r="683" spans="1:68" ht="14.45" hidden="1" customHeight="1" x14ac:dyDescent="0.25">
      <c r="A683" s="33" t="s">
        <v>694</v>
      </c>
      <c r="B683" s="23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13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5"/>
      <c r="AD683" s="25">
        <f t="shared" si="434"/>
        <v>0</v>
      </c>
      <c r="AE683" s="26" t="s">
        <v>42</v>
      </c>
      <c r="AF683" s="27"/>
      <c r="AG683" s="17">
        <f t="shared" si="408"/>
        <v>0</v>
      </c>
      <c r="AH683" s="28">
        <f t="shared" si="409"/>
        <v>0</v>
      </c>
      <c r="AI683" s="17">
        <f t="shared" si="410"/>
        <v>0</v>
      </c>
      <c r="AJ683" s="28">
        <f t="shared" si="411"/>
        <v>0</v>
      </c>
      <c r="AK683" s="17">
        <f t="shared" si="419"/>
        <v>0</v>
      </c>
      <c r="AL683" s="28">
        <f t="shared" si="412"/>
        <v>0</v>
      </c>
      <c r="AM683" s="17">
        <f t="shared" si="427"/>
        <v>0</v>
      </c>
      <c r="AN683" s="28">
        <f t="shared" si="398"/>
        <v>0</v>
      </c>
      <c r="AO683" s="17">
        <f t="shared" si="428"/>
        <v>0</v>
      </c>
      <c r="AP683" s="28">
        <f t="shared" si="429"/>
        <v>0</v>
      </c>
      <c r="AQ683" s="17">
        <f t="shared" si="430"/>
        <v>0</v>
      </c>
      <c r="AR683" s="28">
        <f t="shared" si="431"/>
        <v>0</v>
      </c>
      <c r="AS683" s="17">
        <f t="shared" si="423"/>
        <v>0</v>
      </c>
      <c r="AT683" s="28">
        <f t="shared" si="424"/>
        <v>0</v>
      </c>
      <c r="AU683" s="17">
        <f t="shared" si="425"/>
        <v>0</v>
      </c>
      <c r="AV683" s="28">
        <f t="shared" si="426"/>
        <v>0</v>
      </c>
      <c r="AW683" s="17">
        <f t="shared" si="413"/>
        <v>0</v>
      </c>
      <c r="AX683" s="28">
        <f t="shared" si="414"/>
        <v>0</v>
      </c>
      <c r="AY683" s="17">
        <f t="shared" si="415"/>
        <v>0</v>
      </c>
      <c r="AZ683" s="28">
        <f t="shared" si="416"/>
        <v>0</v>
      </c>
      <c r="BA683" s="27">
        <f t="shared" si="402"/>
        <v>0</v>
      </c>
      <c r="BB683" s="27">
        <f t="shared" si="418"/>
        <v>0</v>
      </c>
      <c r="BC683" s="27">
        <f t="shared" si="420"/>
        <v>0</v>
      </c>
      <c r="BD683" s="27">
        <f t="shared" si="421"/>
        <v>0</v>
      </c>
      <c r="BE683" s="27">
        <f t="shared" si="422"/>
        <v>0</v>
      </c>
      <c r="BF683" s="29">
        <f t="shared" si="399"/>
        <v>0</v>
      </c>
      <c r="BH683" s="30">
        <f t="shared" si="417"/>
        <v>0</v>
      </c>
      <c r="BM683" s="2">
        <f t="shared" si="432"/>
        <v>0</v>
      </c>
      <c r="BP683" s="2">
        <f t="shared" si="433"/>
        <v>0</v>
      </c>
    </row>
    <row r="684" spans="1:68" ht="14.45" hidden="1" customHeight="1" x14ac:dyDescent="0.25">
      <c r="A684" s="33" t="s">
        <v>695</v>
      </c>
      <c r="B684" s="23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13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5"/>
      <c r="AD684" s="25">
        <f t="shared" si="434"/>
        <v>0</v>
      </c>
      <c r="AE684" s="26" t="s">
        <v>42</v>
      </c>
      <c r="AF684" s="27"/>
      <c r="AG684" s="17">
        <f t="shared" si="408"/>
        <v>0</v>
      </c>
      <c r="AH684" s="28">
        <f t="shared" si="409"/>
        <v>0</v>
      </c>
      <c r="AI684" s="17">
        <f t="shared" si="410"/>
        <v>0</v>
      </c>
      <c r="AJ684" s="28">
        <f t="shared" si="411"/>
        <v>0</v>
      </c>
      <c r="AK684" s="17">
        <f t="shared" si="419"/>
        <v>0</v>
      </c>
      <c r="AL684" s="28">
        <f t="shared" si="412"/>
        <v>0</v>
      </c>
      <c r="AM684" s="17">
        <f t="shared" si="427"/>
        <v>0</v>
      </c>
      <c r="AN684" s="28">
        <f t="shared" si="398"/>
        <v>0</v>
      </c>
      <c r="AO684" s="17">
        <f t="shared" si="428"/>
        <v>0</v>
      </c>
      <c r="AP684" s="28">
        <f t="shared" si="429"/>
        <v>0</v>
      </c>
      <c r="AQ684" s="17">
        <f t="shared" si="430"/>
        <v>0</v>
      </c>
      <c r="AR684" s="28">
        <f t="shared" si="431"/>
        <v>0</v>
      </c>
      <c r="AS684" s="17">
        <f t="shared" si="423"/>
        <v>0</v>
      </c>
      <c r="AT684" s="28">
        <f t="shared" si="424"/>
        <v>0</v>
      </c>
      <c r="AU684" s="17">
        <f t="shared" si="425"/>
        <v>0</v>
      </c>
      <c r="AV684" s="28">
        <f t="shared" si="426"/>
        <v>0</v>
      </c>
      <c r="AW684" s="17">
        <f t="shared" si="413"/>
        <v>0</v>
      </c>
      <c r="AX684" s="28">
        <f t="shared" si="414"/>
        <v>0</v>
      </c>
      <c r="AY684" s="17">
        <f t="shared" si="415"/>
        <v>0</v>
      </c>
      <c r="AZ684" s="28">
        <f t="shared" si="416"/>
        <v>0</v>
      </c>
      <c r="BA684" s="27">
        <f t="shared" si="402"/>
        <v>0</v>
      </c>
      <c r="BB684" s="27">
        <f t="shared" si="418"/>
        <v>0</v>
      </c>
      <c r="BC684" s="27">
        <f t="shared" si="420"/>
        <v>0</v>
      </c>
      <c r="BD684" s="27">
        <f t="shared" si="421"/>
        <v>0</v>
      </c>
      <c r="BE684" s="27">
        <f t="shared" si="422"/>
        <v>0</v>
      </c>
      <c r="BF684" s="29">
        <f t="shared" si="399"/>
        <v>0</v>
      </c>
      <c r="BH684" s="30">
        <f t="shared" si="417"/>
        <v>0</v>
      </c>
      <c r="BM684" s="2">
        <f t="shared" si="432"/>
        <v>0</v>
      </c>
      <c r="BP684" s="2">
        <f t="shared" si="433"/>
        <v>0</v>
      </c>
    </row>
    <row r="685" spans="1:68" ht="14.45" hidden="1" customHeight="1" x14ac:dyDescent="0.25">
      <c r="A685" s="33" t="s">
        <v>696</v>
      </c>
      <c r="B685" s="23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13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5"/>
      <c r="AD685" s="25">
        <f t="shared" si="434"/>
        <v>0</v>
      </c>
      <c r="AE685" s="26" t="s">
        <v>42</v>
      </c>
      <c r="AF685" s="27"/>
      <c r="AG685" s="17">
        <f t="shared" si="408"/>
        <v>0</v>
      </c>
      <c r="AH685" s="28">
        <f t="shared" si="409"/>
        <v>0</v>
      </c>
      <c r="AI685" s="17">
        <f t="shared" si="410"/>
        <v>0</v>
      </c>
      <c r="AJ685" s="28">
        <f t="shared" si="411"/>
        <v>0</v>
      </c>
      <c r="AK685" s="17">
        <f t="shared" si="419"/>
        <v>0</v>
      </c>
      <c r="AL685" s="28">
        <f t="shared" si="412"/>
        <v>0</v>
      </c>
      <c r="AM685" s="17">
        <f t="shared" si="427"/>
        <v>0</v>
      </c>
      <c r="AN685" s="28">
        <f t="shared" si="398"/>
        <v>0</v>
      </c>
      <c r="AO685" s="17">
        <f t="shared" si="428"/>
        <v>0</v>
      </c>
      <c r="AP685" s="28">
        <f t="shared" si="429"/>
        <v>0</v>
      </c>
      <c r="AQ685" s="17">
        <f t="shared" si="430"/>
        <v>0</v>
      </c>
      <c r="AR685" s="28">
        <f t="shared" si="431"/>
        <v>0</v>
      </c>
      <c r="AS685" s="17">
        <f t="shared" si="423"/>
        <v>0</v>
      </c>
      <c r="AT685" s="28">
        <f t="shared" si="424"/>
        <v>0</v>
      </c>
      <c r="AU685" s="17">
        <f t="shared" si="425"/>
        <v>0</v>
      </c>
      <c r="AV685" s="28">
        <f t="shared" si="426"/>
        <v>0</v>
      </c>
      <c r="AW685" s="17">
        <f t="shared" si="413"/>
        <v>0</v>
      </c>
      <c r="AX685" s="28">
        <f t="shared" si="414"/>
        <v>0</v>
      </c>
      <c r="AY685" s="17">
        <f t="shared" si="415"/>
        <v>0</v>
      </c>
      <c r="AZ685" s="28">
        <f t="shared" si="416"/>
        <v>0</v>
      </c>
      <c r="BA685" s="27">
        <f t="shared" si="402"/>
        <v>0</v>
      </c>
      <c r="BB685" s="27">
        <f t="shared" si="418"/>
        <v>0</v>
      </c>
      <c r="BC685" s="27">
        <f t="shared" si="420"/>
        <v>0</v>
      </c>
      <c r="BD685" s="27">
        <f t="shared" si="421"/>
        <v>0</v>
      </c>
      <c r="BE685" s="27">
        <f t="shared" si="422"/>
        <v>0</v>
      </c>
      <c r="BF685" s="29">
        <f t="shared" si="399"/>
        <v>0</v>
      </c>
      <c r="BH685" s="30">
        <f t="shared" si="417"/>
        <v>0</v>
      </c>
      <c r="BM685" s="2">
        <f t="shared" si="432"/>
        <v>0</v>
      </c>
      <c r="BP685" s="2">
        <f t="shared" si="433"/>
        <v>0</v>
      </c>
    </row>
    <row r="686" spans="1:68" ht="14.45" hidden="1" customHeight="1" x14ac:dyDescent="0.25">
      <c r="A686" s="33" t="s">
        <v>697</v>
      </c>
      <c r="B686" s="23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13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5"/>
      <c r="AD686" s="25">
        <f t="shared" si="434"/>
        <v>0</v>
      </c>
      <c r="AE686" s="26" t="s">
        <v>42</v>
      </c>
      <c r="AF686" s="27"/>
      <c r="AG686" s="17">
        <f t="shared" si="408"/>
        <v>0</v>
      </c>
      <c r="AH686" s="28">
        <f t="shared" si="409"/>
        <v>0</v>
      </c>
      <c r="AI686" s="17">
        <f t="shared" si="410"/>
        <v>0</v>
      </c>
      <c r="AJ686" s="28">
        <f t="shared" si="411"/>
        <v>0</v>
      </c>
      <c r="AK686" s="17">
        <f t="shared" si="419"/>
        <v>0</v>
      </c>
      <c r="AL686" s="28">
        <f t="shared" si="412"/>
        <v>0</v>
      </c>
      <c r="AM686" s="17">
        <f t="shared" si="427"/>
        <v>0</v>
      </c>
      <c r="AN686" s="28">
        <f t="shared" si="398"/>
        <v>0</v>
      </c>
      <c r="AO686" s="17">
        <f t="shared" si="428"/>
        <v>0</v>
      </c>
      <c r="AP686" s="28">
        <f t="shared" si="429"/>
        <v>0</v>
      </c>
      <c r="AQ686" s="17">
        <f t="shared" si="430"/>
        <v>0</v>
      </c>
      <c r="AR686" s="28">
        <f t="shared" si="431"/>
        <v>0</v>
      </c>
      <c r="AS686" s="17">
        <f t="shared" si="423"/>
        <v>0</v>
      </c>
      <c r="AT686" s="28">
        <f t="shared" si="424"/>
        <v>0</v>
      </c>
      <c r="AU686" s="17">
        <f t="shared" si="425"/>
        <v>0</v>
      </c>
      <c r="AV686" s="28">
        <f t="shared" si="426"/>
        <v>0</v>
      </c>
      <c r="AW686" s="17">
        <f t="shared" si="413"/>
        <v>0</v>
      </c>
      <c r="AX686" s="28">
        <f t="shared" si="414"/>
        <v>0</v>
      </c>
      <c r="AY686" s="17">
        <f t="shared" si="415"/>
        <v>0</v>
      </c>
      <c r="AZ686" s="28">
        <f t="shared" si="416"/>
        <v>0</v>
      </c>
      <c r="BA686" s="27">
        <f t="shared" si="402"/>
        <v>0</v>
      </c>
      <c r="BB686" s="27">
        <f t="shared" si="418"/>
        <v>0</v>
      </c>
      <c r="BC686" s="27">
        <f t="shared" si="420"/>
        <v>0</v>
      </c>
      <c r="BD686" s="27">
        <f t="shared" si="421"/>
        <v>0</v>
      </c>
      <c r="BE686" s="27">
        <f t="shared" si="422"/>
        <v>0</v>
      </c>
      <c r="BF686" s="29">
        <f t="shared" si="399"/>
        <v>0</v>
      </c>
      <c r="BH686" s="30">
        <f t="shared" si="417"/>
        <v>0</v>
      </c>
      <c r="BM686" s="2">
        <f t="shared" si="432"/>
        <v>0</v>
      </c>
      <c r="BP686" s="2">
        <f t="shared" si="433"/>
        <v>0</v>
      </c>
    </row>
    <row r="687" spans="1:68" ht="14.45" hidden="1" customHeight="1" x14ac:dyDescent="0.25">
      <c r="A687" s="33" t="s">
        <v>698</v>
      </c>
      <c r="B687" s="23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13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5"/>
      <c r="AD687" s="25">
        <f t="shared" si="434"/>
        <v>0</v>
      </c>
      <c r="AE687" s="26" t="s">
        <v>42</v>
      </c>
      <c r="AF687" s="27"/>
      <c r="AG687" s="17">
        <f t="shared" si="408"/>
        <v>0</v>
      </c>
      <c r="AH687" s="28">
        <f t="shared" si="409"/>
        <v>0</v>
      </c>
      <c r="AI687" s="17">
        <f t="shared" si="410"/>
        <v>0</v>
      </c>
      <c r="AJ687" s="28">
        <f t="shared" si="411"/>
        <v>0</v>
      </c>
      <c r="AK687" s="17">
        <f t="shared" si="419"/>
        <v>0</v>
      </c>
      <c r="AL687" s="28">
        <f t="shared" si="412"/>
        <v>0</v>
      </c>
      <c r="AM687" s="17">
        <f t="shared" si="427"/>
        <v>0</v>
      </c>
      <c r="AN687" s="28">
        <f t="shared" si="398"/>
        <v>0</v>
      </c>
      <c r="AO687" s="17">
        <f t="shared" si="428"/>
        <v>0</v>
      </c>
      <c r="AP687" s="28">
        <f t="shared" si="429"/>
        <v>0</v>
      </c>
      <c r="AQ687" s="17">
        <f t="shared" si="430"/>
        <v>0</v>
      </c>
      <c r="AR687" s="28">
        <f t="shared" si="431"/>
        <v>0</v>
      </c>
      <c r="AS687" s="17">
        <f t="shared" si="423"/>
        <v>0</v>
      </c>
      <c r="AT687" s="28">
        <f t="shared" si="424"/>
        <v>0</v>
      </c>
      <c r="AU687" s="17">
        <f t="shared" si="425"/>
        <v>0</v>
      </c>
      <c r="AV687" s="28">
        <f t="shared" si="426"/>
        <v>0</v>
      </c>
      <c r="AW687" s="17">
        <f t="shared" si="413"/>
        <v>0</v>
      </c>
      <c r="AX687" s="28">
        <f t="shared" si="414"/>
        <v>0</v>
      </c>
      <c r="AY687" s="17">
        <f t="shared" si="415"/>
        <v>0</v>
      </c>
      <c r="AZ687" s="28">
        <f t="shared" si="416"/>
        <v>0</v>
      </c>
      <c r="BA687" s="27">
        <f t="shared" si="402"/>
        <v>0</v>
      </c>
      <c r="BB687" s="27">
        <f t="shared" si="418"/>
        <v>0</v>
      </c>
      <c r="BC687" s="27">
        <f t="shared" si="420"/>
        <v>0</v>
      </c>
      <c r="BD687" s="27">
        <f t="shared" si="421"/>
        <v>0</v>
      </c>
      <c r="BE687" s="27">
        <f t="shared" si="422"/>
        <v>0</v>
      </c>
      <c r="BF687" s="29">
        <f t="shared" si="399"/>
        <v>0</v>
      </c>
      <c r="BH687" s="30">
        <f t="shared" si="417"/>
        <v>0</v>
      </c>
      <c r="BM687" s="2">
        <f t="shared" si="432"/>
        <v>0</v>
      </c>
      <c r="BP687" s="2">
        <f t="shared" si="433"/>
        <v>0</v>
      </c>
    </row>
    <row r="688" spans="1:68" ht="14.45" hidden="1" customHeight="1" x14ac:dyDescent="0.25">
      <c r="A688" s="33" t="s">
        <v>699</v>
      </c>
      <c r="B688" s="23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13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5"/>
      <c r="AD688" s="25">
        <f t="shared" si="434"/>
        <v>0</v>
      </c>
      <c r="AE688" s="26" t="s">
        <v>42</v>
      </c>
      <c r="AF688" s="27"/>
      <c r="AG688" s="17">
        <f t="shared" si="408"/>
        <v>0</v>
      </c>
      <c r="AH688" s="28">
        <f t="shared" si="409"/>
        <v>0</v>
      </c>
      <c r="AI688" s="17">
        <f t="shared" si="410"/>
        <v>0</v>
      </c>
      <c r="AJ688" s="28">
        <f t="shared" si="411"/>
        <v>0</v>
      </c>
      <c r="AK688" s="17">
        <f t="shared" si="419"/>
        <v>0</v>
      </c>
      <c r="AL688" s="28">
        <f t="shared" si="412"/>
        <v>0</v>
      </c>
      <c r="AM688" s="17">
        <f t="shared" si="427"/>
        <v>0</v>
      </c>
      <c r="AN688" s="28">
        <f t="shared" si="398"/>
        <v>0</v>
      </c>
      <c r="AO688" s="17">
        <f t="shared" si="428"/>
        <v>0</v>
      </c>
      <c r="AP688" s="28">
        <f t="shared" si="429"/>
        <v>0</v>
      </c>
      <c r="AQ688" s="17">
        <f t="shared" si="430"/>
        <v>0</v>
      </c>
      <c r="AR688" s="28">
        <f t="shared" si="431"/>
        <v>0</v>
      </c>
      <c r="AS688" s="17">
        <f t="shared" si="423"/>
        <v>0</v>
      </c>
      <c r="AT688" s="28">
        <f t="shared" si="424"/>
        <v>0</v>
      </c>
      <c r="AU688" s="17">
        <f t="shared" si="425"/>
        <v>0</v>
      </c>
      <c r="AV688" s="28">
        <f t="shared" si="426"/>
        <v>0</v>
      </c>
      <c r="AW688" s="17">
        <f t="shared" si="413"/>
        <v>0</v>
      </c>
      <c r="AX688" s="28">
        <f t="shared" si="414"/>
        <v>0</v>
      </c>
      <c r="AY688" s="17">
        <f t="shared" si="415"/>
        <v>0</v>
      </c>
      <c r="AZ688" s="28">
        <f t="shared" si="416"/>
        <v>0</v>
      </c>
      <c r="BA688" s="27">
        <f t="shared" si="402"/>
        <v>0</v>
      </c>
      <c r="BB688" s="27">
        <f t="shared" si="418"/>
        <v>0</v>
      </c>
      <c r="BC688" s="27">
        <f t="shared" si="420"/>
        <v>0</v>
      </c>
      <c r="BD688" s="27">
        <f t="shared" si="421"/>
        <v>0</v>
      </c>
      <c r="BE688" s="27">
        <f t="shared" si="422"/>
        <v>0</v>
      </c>
      <c r="BF688" s="29">
        <f t="shared" si="399"/>
        <v>0</v>
      </c>
      <c r="BH688" s="30">
        <f t="shared" si="417"/>
        <v>0</v>
      </c>
      <c r="BM688" s="2">
        <f t="shared" si="432"/>
        <v>0</v>
      </c>
      <c r="BP688" s="2">
        <f t="shared" si="433"/>
        <v>0</v>
      </c>
    </row>
    <row r="689" spans="1:68" ht="14.45" hidden="1" customHeight="1" x14ac:dyDescent="0.25">
      <c r="A689" s="33" t="s">
        <v>700</v>
      </c>
      <c r="B689" s="23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13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5"/>
      <c r="AD689" s="25">
        <f t="shared" si="434"/>
        <v>0</v>
      </c>
      <c r="AE689" s="26" t="s">
        <v>42</v>
      </c>
      <c r="AF689" s="27"/>
      <c r="AG689" s="17">
        <f t="shared" si="408"/>
        <v>0</v>
      </c>
      <c r="AH689" s="28">
        <f t="shared" si="409"/>
        <v>0</v>
      </c>
      <c r="AI689" s="17">
        <f t="shared" si="410"/>
        <v>0</v>
      </c>
      <c r="AJ689" s="28">
        <f t="shared" si="411"/>
        <v>0</v>
      </c>
      <c r="AK689" s="17">
        <f t="shared" si="419"/>
        <v>0</v>
      </c>
      <c r="AL689" s="28">
        <f t="shared" si="412"/>
        <v>0</v>
      </c>
      <c r="AM689" s="17">
        <f t="shared" si="427"/>
        <v>0</v>
      </c>
      <c r="AN689" s="28">
        <f t="shared" ref="AN689:AN752" si="435">+AM689*AF689</f>
        <v>0</v>
      </c>
      <c r="AO689" s="17">
        <f t="shared" si="428"/>
        <v>0</v>
      </c>
      <c r="AP689" s="28">
        <f t="shared" si="429"/>
        <v>0</v>
      </c>
      <c r="AQ689" s="17">
        <f t="shared" si="430"/>
        <v>0</v>
      </c>
      <c r="AR689" s="28">
        <f t="shared" si="431"/>
        <v>0</v>
      </c>
      <c r="AS689" s="17">
        <f t="shared" si="423"/>
        <v>0</v>
      </c>
      <c r="AT689" s="28">
        <f t="shared" si="424"/>
        <v>0</v>
      </c>
      <c r="AU689" s="17">
        <f t="shared" si="425"/>
        <v>0</v>
      </c>
      <c r="AV689" s="28">
        <f t="shared" si="426"/>
        <v>0</v>
      </c>
      <c r="AW689" s="17">
        <f t="shared" si="413"/>
        <v>0</v>
      </c>
      <c r="AX689" s="28">
        <f t="shared" si="414"/>
        <v>0</v>
      </c>
      <c r="AY689" s="17">
        <f t="shared" si="415"/>
        <v>0</v>
      </c>
      <c r="AZ689" s="28">
        <f t="shared" si="416"/>
        <v>0</v>
      </c>
      <c r="BA689" s="27">
        <f t="shared" si="402"/>
        <v>0</v>
      </c>
      <c r="BB689" s="27">
        <f t="shared" si="418"/>
        <v>0</v>
      </c>
      <c r="BC689" s="27">
        <f t="shared" si="420"/>
        <v>0</v>
      </c>
      <c r="BD689" s="27">
        <f t="shared" si="421"/>
        <v>0</v>
      </c>
      <c r="BE689" s="27">
        <f t="shared" si="422"/>
        <v>0</v>
      </c>
      <c r="BF689" s="29">
        <f t="shared" si="399"/>
        <v>0</v>
      </c>
      <c r="BH689" s="30">
        <f t="shared" si="417"/>
        <v>0</v>
      </c>
      <c r="BM689" s="2">
        <f t="shared" si="432"/>
        <v>0</v>
      </c>
      <c r="BP689" s="2">
        <f t="shared" si="433"/>
        <v>0</v>
      </c>
    </row>
    <row r="690" spans="1:68" ht="14.45" hidden="1" customHeight="1" x14ac:dyDescent="0.25">
      <c r="A690" s="33" t="s">
        <v>701</v>
      </c>
      <c r="B690" s="23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13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5"/>
      <c r="AD690" s="25">
        <f t="shared" si="434"/>
        <v>0</v>
      </c>
      <c r="AE690" s="26" t="s">
        <v>42</v>
      </c>
      <c r="AF690" s="27"/>
      <c r="AG690" s="17">
        <f t="shared" si="408"/>
        <v>0</v>
      </c>
      <c r="AH690" s="28">
        <f t="shared" si="409"/>
        <v>0</v>
      </c>
      <c r="AI690" s="17">
        <f t="shared" si="410"/>
        <v>0</v>
      </c>
      <c r="AJ690" s="28">
        <f t="shared" si="411"/>
        <v>0</v>
      </c>
      <c r="AK690" s="17">
        <f t="shared" si="419"/>
        <v>0</v>
      </c>
      <c r="AL690" s="28">
        <f t="shared" si="412"/>
        <v>0</v>
      </c>
      <c r="AM690" s="17">
        <f t="shared" si="427"/>
        <v>0</v>
      </c>
      <c r="AN690" s="28">
        <f t="shared" si="435"/>
        <v>0</v>
      </c>
      <c r="AO690" s="17">
        <f t="shared" si="428"/>
        <v>0</v>
      </c>
      <c r="AP690" s="28">
        <f t="shared" si="429"/>
        <v>0</v>
      </c>
      <c r="AQ690" s="17">
        <f t="shared" si="430"/>
        <v>0</v>
      </c>
      <c r="AR690" s="28">
        <f t="shared" si="431"/>
        <v>0</v>
      </c>
      <c r="AS690" s="17">
        <f t="shared" si="423"/>
        <v>0</v>
      </c>
      <c r="AT690" s="28">
        <f t="shared" si="424"/>
        <v>0</v>
      </c>
      <c r="AU690" s="17">
        <f t="shared" si="425"/>
        <v>0</v>
      </c>
      <c r="AV690" s="28">
        <f t="shared" si="426"/>
        <v>0</v>
      </c>
      <c r="AW690" s="17">
        <f t="shared" si="413"/>
        <v>0</v>
      </c>
      <c r="AX690" s="28">
        <f t="shared" si="414"/>
        <v>0</v>
      </c>
      <c r="AY690" s="17">
        <f t="shared" si="415"/>
        <v>0</v>
      </c>
      <c r="AZ690" s="28">
        <f t="shared" si="416"/>
        <v>0</v>
      </c>
      <c r="BA690" s="27">
        <f t="shared" si="402"/>
        <v>0</v>
      </c>
      <c r="BB690" s="27">
        <f t="shared" si="418"/>
        <v>0</v>
      </c>
      <c r="BC690" s="27">
        <f t="shared" si="420"/>
        <v>0</v>
      </c>
      <c r="BD690" s="27">
        <f t="shared" si="421"/>
        <v>0</v>
      </c>
      <c r="BE690" s="27">
        <f t="shared" si="422"/>
        <v>0</v>
      </c>
      <c r="BF690" s="29">
        <f t="shared" si="399"/>
        <v>0</v>
      </c>
      <c r="BH690" s="30">
        <f t="shared" si="417"/>
        <v>0</v>
      </c>
      <c r="BM690" s="2">
        <f t="shared" si="432"/>
        <v>0</v>
      </c>
      <c r="BP690" s="2">
        <f t="shared" si="433"/>
        <v>0</v>
      </c>
    </row>
    <row r="691" spans="1:68" ht="14.45" hidden="1" customHeight="1" x14ac:dyDescent="0.25">
      <c r="A691" s="33" t="s">
        <v>702</v>
      </c>
      <c r="B691" s="23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13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5"/>
      <c r="AD691" s="25">
        <f t="shared" si="434"/>
        <v>0</v>
      </c>
      <c r="AE691" s="26" t="s">
        <v>42</v>
      </c>
      <c r="AF691" s="27"/>
      <c r="AG691" s="17">
        <f t="shared" si="408"/>
        <v>0</v>
      </c>
      <c r="AH691" s="28">
        <f t="shared" si="409"/>
        <v>0</v>
      </c>
      <c r="AI691" s="17">
        <f t="shared" si="410"/>
        <v>0</v>
      </c>
      <c r="AJ691" s="28">
        <f t="shared" si="411"/>
        <v>0</v>
      </c>
      <c r="AK691" s="17">
        <f t="shared" si="419"/>
        <v>0</v>
      </c>
      <c r="AL691" s="28">
        <f t="shared" si="412"/>
        <v>0</v>
      </c>
      <c r="AM691" s="17">
        <f t="shared" si="427"/>
        <v>0</v>
      </c>
      <c r="AN691" s="28">
        <f t="shared" si="435"/>
        <v>0</v>
      </c>
      <c r="AO691" s="17">
        <f t="shared" si="428"/>
        <v>0</v>
      </c>
      <c r="AP691" s="28">
        <f t="shared" si="429"/>
        <v>0</v>
      </c>
      <c r="AQ691" s="17">
        <f t="shared" si="430"/>
        <v>0</v>
      </c>
      <c r="AR691" s="28">
        <f t="shared" si="431"/>
        <v>0</v>
      </c>
      <c r="AS691" s="17">
        <f t="shared" si="423"/>
        <v>0</v>
      </c>
      <c r="AT691" s="28">
        <f t="shared" si="424"/>
        <v>0</v>
      </c>
      <c r="AU691" s="17">
        <f t="shared" si="425"/>
        <v>0</v>
      </c>
      <c r="AV691" s="28">
        <f t="shared" si="426"/>
        <v>0</v>
      </c>
      <c r="AW691" s="17">
        <f t="shared" si="413"/>
        <v>0</v>
      </c>
      <c r="AX691" s="28">
        <f t="shared" si="414"/>
        <v>0</v>
      </c>
      <c r="AY691" s="17">
        <f t="shared" si="415"/>
        <v>0</v>
      </c>
      <c r="AZ691" s="28">
        <f t="shared" si="416"/>
        <v>0</v>
      </c>
      <c r="BA691" s="27">
        <f t="shared" si="402"/>
        <v>0</v>
      </c>
      <c r="BB691" s="27">
        <f t="shared" si="418"/>
        <v>0</v>
      </c>
      <c r="BC691" s="27">
        <f t="shared" si="420"/>
        <v>0</v>
      </c>
      <c r="BD691" s="27">
        <f t="shared" si="421"/>
        <v>0</v>
      </c>
      <c r="BE691" s="27">
        <f t="shared" si="422"/>
        <v>0</v>
      </c>
      <c r="BF691" s="29">
        <f t="shared" si="399"/>
        <v>0</v>
      </c>
      <c r="BH691" s="30">
        <f t="shared" si="417"/>
        <v>0</v>
      </c>
      <c r="BM691" s="2">
        <f t="shared" si="432"/>
        <v>0</v>
      </c>
      <c r="BP691" s="2">
        <f t="shared" si="433"/>
        <v>0</v>
      </c>
    </row>
    <row r="692" spans="1:68" ht="14.45" hidden="1" customHeight="1" x14ac:dyDescent="0.25">
      <c r="A692" s="33" t="s">
        <v>703</v>
      </c>
      <c r="B692" s="23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13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5"/>
      <c r="AD692" s="25">
        <f t="shared" si="434"/>
        <v>0</v>
      </c>
      <c r="AE692" s="26" t="s">
        <v>42</v>
      </c>
      <c r="AF692" s="27"/>
      <c r="AG692" s="17">
        <f t="shared" si="408"/>
        <v>0</v>
      </c>
      <c r="AH692" s="28">
        <f t="shared" si="409"/>
        <v>0</v>
      </c>
      <c r="AI692" s="17">
        <f t="shared" si="410"/>
        <v>0</v>
      </c>
      <c r="AJ692" s="28">
        <f t="shared" si="411"/>
        <v>0</v>
      </c>
      <c r="AK692" s="17">
        <f t="shared" si="419"/>
        <v>0</v>
      </c>
      <c r="AL692" s="28">
        <f t="shared" si="412"/>
        <v>0</v>
      </c>
      <c r="AM692" s="17">
        <f t="shared" si="427"/>
        <v>0</v>
      </c>
      <c r="AN692" s="28">
        <f t="shared" si="435"/>
        <v>0</v>
      </c>
      <c r="AO692" s="17">
        <f t="shared" si="428"/>
        <v>0</v>
      </c>
      <c r="AP692" s="28">
        <f t="shared" si="429"/>
        <v>0</v>
      </c>
      <c r="AQ692" s="17">
        <f t="shared" si="430"/>
        <v>0</v>
      </c>
      <c r="AR692" s="28">
        <f t="shared" si="431"/>
        <v>0</v>
      </c>
      <c r="AS692" s="17">
        <f t="shared" si="423"/>
        <v>0</v>
      </c>
      <c r="AT692" s="28">
        <f t="shared" si="424"/>
        <v>0</v>
      </c>
      <c r="AU692" s="17">
        <f t="shared" si="425"/>
        <v>0</v>
      </c>
      <c r="AV692" s="28">
        <f t="shared" si="426"/>
        <v>0</v>
      </c>
      <c r="AW692" s="17">
        <f t="shared" si="413"/>
        <v>0</v>
      </c>
      <c r="AX692" s="28">
        <f t="shared" si="414"/>
        <v>0</v>
      </c>
      <c r="AY692" s="17">
        <f t="shared" si="415"/>
        <v>0</v>
      </c>
      <c r="AZ692" s="28">
        <f t="shared" si="416"/>
        <v>0</v>
      </c>
      <c r="BA692" s="27">
        <f t="shared" si="402"/>
        <v>0</v>
      </c>
      <c r="BB692" s="27">
        <f t="shared" si="418"/>
        <v>0</v>
      </c>
      <c r="BC692" s="27">
        <f t="shared" si="420"/>
        <v>0</v>
      </c>
      <c r="BD692" s="27">
        <f t="shared" si="421"/>
        <v>0</v>
      </c>
      <c r="BE692" s="27">
        <f t="shared" si="422"/>
        <v>0</v>
      </c>
      <c r="BF692" s="29">
        <f t="shared" ref="BF692:BF755" si="436">+BB692+BA692*5%+BD692*30%</f>
        <v>0</v>
      </c>
      <c r="BH692" s="30">
        <f t="shared" si="417"/>
        <v>0</v>
      </c>
      <c r="BM692" s="2">
        <f t="shared" si="432"/>
        <v>0</v>
      </c>
      <c r="BP692" s="2">
        <f t="shared" si="433"/>
        <v>0</v>
      </c>
    </row>
    <row r="693" spans="1:68" ht="14.45" hidden="1" customHeight="1" x14ac:dyDescent="0.25">
      <c r="A693" s="33" t="s">
        <v>704</v>
      </c>
      <c r="B693" s="23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13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5"/>
      <c r="AD693" s="25">
        <f t="shared" si="434"/>
        <v>0</v>
      </c>
      <c r="AE693" s="26" t="s">
        <v>42</v>
      </c>
      <c r="AF693" s="27"/>
      <c r="AG693" s="17">
        <f t="shared" si="408"/>
        <v>0</v>
      </c>
      <c r="AH693" s="28">
        <f t="shared" si="409"/>
        <v>0</v>
      </c>
      <c r="AI693" s="17">
        <f t="shared" si="410"/>
        <v>0</v>
      </c>
      <c r="AJ693" s="28">
        <f t="shared" si="411"/>
        <v>0</v>
      </c>
      <c r="AK693" s="17">
        <f t="shared" si="419"/>
        <v>0</v>
      </c>
      <c r="AL693" s="28">
        <f t="shared" si="412"/>
        <v>0</v>
      </c>
      <c r="AM693" s="17">
        <f t="shared" si="427"/>
        <v>0</v>
      </c>
      <c r="AN693" s="28">
        <f t="shared" si="435"/>
        <v>0</v>
      </c>
      <c r="AO693" s="17">
        <f t="shared" si="428"/>
        <v>0</v>
      </c>
      <c r="AP693" s="28">
        <f t="shared" si="429"/>
        <v>0</v>
      </c>
      <c r="AQ693" s="17">
        <f t="shared" si="430"/>
        <v>0</v>
      </c>
      <c r="AR693" s="28">
        <f t="shared" si="431"/>
        <v>0</v>
      </c>
      <c r="AS693" s="17">
        <f t="shared" si="423"/>
        <v>0</v>
      </c>
      <c r="AT693" s="28">
        <f t="shared" si="424"/>
        <v>0</v>
      </c>
      <c r="AU693" s="17">
        <f t="shared" si="425"/>
        <v>0</v>
      </c>
      <c r="AV693" s="28">
        <f t="shared" si="426"/>
        <v>0</v>
      </c>
      <c r="AW693" s="17">
        <f t="shared" si="413"/>
        <v>0</v>
      </c>
      <c r="AX693" s="28">
        <f t="shared" si="414"/>
        <v>0</v>
      </c>
      <c r="AY693" s="17">
        <f t="shared" si="415"/>
        <v>0</v>
      </c>
      <c r="AZ693" s="28">
        <f t="shared" si="416"/>
        <v>0</v>
      </c>
      <c r="BA693" s="27">
        <f t="shared" si="402"/>
        <v>0</v>
      </c>
      <c r="BB693" s="27">
        <f t="shared" si="418"/>
        <v>0</v>
      </c>
      <c r="BC693" s="27">
        <f t="shared" si="420"/>
        <v>0</v>
      </c>
      <c r="BD693" s="27">
        <f t="shared" si="421"/>
        <v>0</v>
      </c>
      <c r="BE693" s="27">
        <f t="shared" si="422"/>
        <v>0</v>
      </c>
      <c r="BF693" s="29">
        <f t="shared" si="436"/>
        <v>0</v>
      </c>
      <c r="BH693" s="30">
        <f t="shared" si="417"/>
        <v>0</v>
      </c>
      <c r="BM693" s="2">
        <f t="shared" si="432"/>
        <v>0</v>
      </c>
      <c r="BP693" s="2">
        <f t="shared" si="433"/>
        <v>0</v>
      </c>
    </row>
    <row r="694" spans="1:68" ht="14.45" hidden="1" customHeight="1" x14ac:dyDescent="0.25">
      <c r="A694" s="33" t="s">
        <v>705</v>
      </c>
      <c r="B694" s="23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13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5"/>
      <c r="AD694" s="25">
        <f t="shared" si="434"/>
        <v>0</v>
      </c>
      <c r="AE694" s="26" t="s">
        <v>42</v>
      </c>
      <c r="AF694" s="27"/>
      <c r="AG694" s="17">
        <f t="shared" si="408"/>
        <v>0</v>
      </c>
      <c r="AH694" s="28">
        <f t="shared" si="409"/>
        <v>0</v>
      </c>
      <c r="AI694" s="17">
        <f t="shared" si="410"/>
        <v>0</v>
      </c>
      <c r="AJ694" s="28">
        <f t="shared" si="411"/>
        <v>0</v>
      </c>
      <c r="AK694" s="17">
        <f t="shared" si="419"/>
        <v>0</v>
      </c>
      <c r="AL694" s="28">
        <f t="shared" si="412"/>
        <v>0</v>
      </c>
      <c r="AM694" s="17">
        <f t="shared" si="427"/>
        <v>0</v>
      </c>
      <c r="AN694" s="28">
        <f t="shared" si="435"/>
        <v>0</v>
      </c>
      <c r="AO694" s="17">
        <f t="shared" si="428"/>
        <v>0</v>
      </c>
      <c r="AP694" s="28">
        <f t="shared" si="429"/>
        <v>0</v>
      </c>
      <c r="AQ694" s="17">
        <f t="shared" si="430"/>
        <v>0</v>
      </c>
      <c r="AR694" s="28">
        <f t="shared" si="431"/>
        <v>0</v>
      </c>
      <c r="AS694" s="17">
        <f t="shared" si="423"/>
        <v>0</v>
      </c>
      <c r="AT694" s="28">
        <f t="shared" si="424"/>
        <v>0</v>
      </c>
      <c r="AU694" s="17">
        <f t="shared" si="425"/>
        <v>0</v>
      </c>
      <c r="AV694" s="28">
        <f t="shared" si="426"/>
        <v>0</v>
      </c>
      <c r="AW694" s="17">
        <f t="shared" si="413"/>
        <v>0</v>
      </c>
      <c r="AX694" s="28">
        <f t="shared" si="414"/>
        <v>0</v>
      </c>
      <c r="AY694" s="17">
        <f t="shared" si="415"/>
        <v>0</v>
      </c>
      <c r="AZ694" s="28">
        <f t="shared" si="416"/>
        <v>0</v>
      </c>
      <c r="BA694" s="27">
        <f t="shared" si="402"/>
        <v>0</v>
      </c>
      <c r="BB694" s="27">
        <f t="shared" si="418"/>
        <v>0</v>
      </c>
      <c r="BC694" s="27">
        <f t="shared" si="420"/>
        <v>0</v>
      </c>
      <c r="BD694" s="27">
        <f t="shared" si="421"/>
        <v>0</v>
      </c>
      <c r="BE694" s="27">
        <f t="shared" si="422"/>
        <v>0</v>
      </c>
      <c r="BF694" s="29">
        <f t="shared" si="436"/>
        <v>0</v>
      </c>
      <c r="BH694" s="30">
        <f t="shared" si="417"/>
        <v>0</v>
      </c>
      <c r="BM694" s="2">
        <f t="shared" si="432"/>
        <v>0</v>
      </c>
      <c r="BP694" s="2">
        <f t="shared" si="433"/>
        <v>0</v>
      </c>
    </row>
    <row r="695" spans="1:68" ht="14.45" hidden="1" customHeight="1" x14ac:dyDescent="0.25">
      <c r="A695" s="33" t="s">
        <v>706</v>
      </c>
      <c r="B695" s="23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13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5"/>
      <c r="AD695" s="25">
        <f t="shared" si="434"/>
        <v>0</v>
      </c>
      <c r="AE695" s="26" t="s">
        <v>42</v>
      </c>
      <c r="AF695" s="27"/>
      <c r="AG695" s="17">
        <f t="shared" si="408"/>
        <v>0</v>
      </c>
      <c r="AH695" s="28">
        <f t="shared" si="409"/>
        <v>0</v>
      </c>
      <c r="AI695" s="17">
        <f t="shared" si="410"/>
        <v>0</v>
      </c>
      <c r="AJ695" s="28">
        <f t="shared" si="411"/>
        <v>0</v>
      </c>
      <c r="AK695" s="17">
        <f t="shared" si="419"/>
        <v>0</v>
      </c>
      <c r="AL695" s="28">
        <f t="shared" si="412"/>
        <v>0</v>
      </c>
      <c r="AM695" s="17">
        <f t="shared" si="427"/>
        <v>0</v>
      </c>
      <c r="AN695" s="28">
        <f t="shared" si="435"/>
        <v>0</v>
      </c>
      <c r="AO695" s="17">
        <f t="shared" si="428"/>
        <v>0</v>
      </c>
      <c r="AP695" s="28">
        <f t="shared" si="429"/>
        <v>0</v>
      </c>
      <c r="AQ695" s="17">
        <f t="shared" si="430"/>
        <v>0</v>
      </c>
      <c r="AR695" s="28">
        <f t="shared" si="431"/>
        <v>0</v>
      </c>
      <c r="AS695" s="17">
        <f t="shared" si="423"/>
        <v>0</v>
      </c>
      <c r="AT695" s="28">
        <f t="shared" si="424"/>
        <v>0</v>
      </c>
      <c r="AU695" s="17">
        <f t="shared" si="425"/>
        <v>0</v>
      </c>
      <c r="AV695" s="28">
        <f t="shared" si="426"/>
        <v>0</v>
      </c>
      <c r="AW695" s="17">
        <f t="shared" si="413"/>
        <v>0</v>
      </c>
      <c r="AX695" s="28">
        <f t="shared" si="414"/>
        <v>0</v>
      </c>
      <c r="AY695" s="17">
        <f t="shared" si="415"/>
        <v>0</v>
      </c>
      <c r="AZ695" s="28">
        <f t="shared" si="416"/>
        <v>0</v>
      </c>
      <c r="BA695" s="27">
        <f t="shared" si="402"/>
        <v>0</v>
      </c>
      <c r="BB695" s="27">
        <f t="shared" si="418"/>
        <v>0</v>
      </c>
      <c r="BC695" s="27">
        <f t="shared" si="420"/>
        <v>0</v>
      </c>
      <c r="BD695" s="27">
        <f t="shared" si="421"/>
        <v>0</v>
      </c>
      <c r="BE695" s="27">
        <f t="shared" si="422"/>
        <v>0</v>
      </c>
      <c r="BF695" s="29">
        <f t="shared" si="436"/>
        <v>0</v>
      </c>
      <c r="BH695" s="30">
        <f t="shared" si="417"/>
        <v>0</v>
      </c>
      <c r="BM695" s="2">
        <f t="shared" si="432"/>
        <v>0</v>
      </c>
      <c r="BP695" s="2">
        <f t="shared" si="433"/>
        <v>0</v>
      </c>
    </row>
    <row r="696" spans="1:68" ht="14.45" hidden="1" customHeight="1" x14ac:dyDescent="0.25">
      <c r="A696" s="33" t="s">
        <v>707</v>
      </c>
      <c r="B696" s="23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13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5"/>
      <c r="AD696" s="25">
        <f t="shared" si="434"/>
        <v>0</v>
      </c>
      <c r="AE696" s="26" t="s">
        <v>42</v>
      </c>
      <c r="AF696" s="27"/>
      <c r="AG696" s="17">
        <f t="shared" si="408"/>
        <v>0</v>
      </c>
      <c r="AH696" s="28">
        <f t="shared" si="409"/>
        <v>0</v>
      </c>
      <c r="AI696" s="17">
        <f t="shared" si="410"/>
        <v>0</v>
      </c>
      <c r="AJ696" s="28">
        <f t="shared" si="411"/>
        <v>0</v>
      </c>
      <c r="AK696" s="17">
        <f t="shared" si="419"/>
        <v>0</v>
      </c>
      <c r="AL696" s="28">
        <f t="shared" si="412"/>
        <v>0</v>
      </c>
      <c r="AM696" s="17">
        <f t="shared" si="427"/>
        <v>0</v>
      </c>
      <c r="AN696" s="28">
        <f t="shared" si="435"/>
        <v>0</v>
      </c>
      <c r="AO696" s="17">
        <f t="shared" si="428"/>
        <v>0</v>
      </c>
      <c r="AP696" s="28">
        <f t="shared" si="429"/>
        <v>0</v>
      </c>
      <c r="AQ696" s="17">
        <f t="shared" si="430"/>
        <v>0</v>
      </c>
      <c r="AR696" s="28">
        <f t="shared" si="431"/>
        <v>0</v>
      </c>
      <c r="AS696" s="17">
        <f t="shared" si="423"/>
        <v>0</v>
      </c>
      <c r="AT696" s="28">
        <f t="shared" si="424"/>
        <v>0</v>
      </c>
      <c r="AU696" s="17">
        <f t="shared" si="425"/>
        <v>0</v>
      </c>
      <c r="AV696" s="28">
        <f t="shared" si="426"/>
        <v>0</v>
      </c>
      <c r="AW696" s="17">
        <f t="shared" si="413"/>
        <v>0</v>
      </c>
      <c r="AX696" s="28">
        <f t="shared" si="414"/>
        <v>0</v>
      </c>
      <c r="AY696" s="17">
        <f t="shared" si="415"/>
        <v>0</v>
      </c>
      <c r="AZ696" s="28">
        <f t="shared" si="416"/>
        <v>0</v>
      </c>
      <c r="BA696" s="27">
        <f t="shared" si="402"/>
        <v>0</v>
      </c>
      <c r="BB696" s="27">
        <f t="shared" si="418"/>
        <v>0</v>
      </c>
      <c r="BC696" s="27">
        <f t="shared" si="420"/>
        <v>0</v>
      </c>
      <c r="BD696" s="27">
        <f t="shared" si="421"/>
        <v>0</v>
      </c>
      <c r="BE696" s="27">
        <f t="shared" si="422"/>
        <v>0</v>
      </c>
      <c r="BF696" s="29">
        <f t="shared" si="436"/>
        <v>0</v>
      </c>
      <c r="BH696" s="30">
        <f t="shared" si="417"/>
        <v>0</v>
      </c>
      <c r="BM696" s="2">
        <f t="shared" si="432"/>
        <v>0</v>
      </c>
      <c r="BP696" s="2">
        <f t="shared" si="433"/>
        <v>0</v>
      </c>
    </row>
    <row r="697" spans="1:68" ht="14.45" hidden="1" customHeight="1" x14ac:dyDescent="0.25">
      <c r="A697" s="33" t="s">
        <v>708</v>
      </c>
      <c r="B697" s="23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13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5"/>
      <c r="AD697" s="25">
        <f t="shared" si="434"/>
        <v>0</v>
      </c>
      <c r="AE697" s="26" t="s">
        <v>42</v>
      </c>
      <c r="AF697" s="27"/>
      <c r="AG697" s="17">
        <f t="shared" si="408"/>
        <v>0</v>
      </c>
      <c r="AH697" s="28">
        <f t="shared" si="409"/>
        <v>0</v>
      </c>
      <c r="AI697" s="17">
        <f t="shared" si="410"/>
        <v>0</v>
      </c>
      <c r="AJ697" s="28">
        <f t="shared" si="411"/>
        <v>0</v>
      </c>
      <c r="AK697" s="17">
        <f t="shared" si="419"/>
        <v>0</v>
      </c>
      <c r="AL697" s="28">
        <f t="shared" si="412"/>
        <v>0</v>
      </c>
      <c r="AM697" s="17">
        <f t="shared" si="427"/>
        <v>0</v>
      </c>
      <c r="AN697" s="28">
        <f t="shared" si="435"/>
        <v>0</v>
      </c>
      <c r="AO697" s="17">
        <f t="shared" si="428"/>
        <v>0</v>
      </c>
      <c r="AP697" s="28">
        <f t="shared" si="429"/>
        <v>0</v>
      </c>
      <c r="AQ697" s="17">
        <f t="shared" si="430"/>
        <v>0</v>
      </c>
      <c r="AR697" s="28">
        <f t="shared" si="431"/>
        <v>0</v>
      </c>
      <c r="AS697" s="17">
        <f t="shared" si="423"/>
        <v>0</v>
      </c>
      <c r="AT697" s="28">
        <f t="shared" si="424"/>
        <v>0</v>
      </c>
      <c r="AU697" s="17">
        <f t="shared" si="425"/>
        <v>0</v>
      </c>
      <c r="AV697" s="28">
        <f t="shared" si="426"/>
        <v>0</v>
      </c>
      <c r="AW697" s="17">
        <f t="shared" si="413"/>
        <v>0</v>
      </c>
      <c r="AX697" s="28">
        <f t="shared" si="414"/>
        <v>0</v>
      </c>
      <c r="AY697" s="17">
        <f t="shared" si="415"/>
        <v>0</v>
      </c>
      <c r="AZ697" s="28">
        <f t="shared" si="416"/>
        <v>0</v>
      </c>
      <c r="BA697" s="27">
        <f t="shared" si="402"/>
        <v>0</v>
      </c>
      <c r="BB697" s="27">
        <f t="shared" si="418"/>
        <v>0</v>
      </c>
      <c r="BC697" s="27">
        <f t="shared" si="420"/>
        <v>0</v>
      </c>
      <c r="BD697" s="27">
        <f t="shared" si="421"/>
        <v>0</v>
      </c>
      <c r="BE697" s="27">
        <f t="shared" si="422"/>
        <v>0</v>
      </c>
      <c r="BF697" s="29">
        <f t="shared" si="436"/>
        <v>0</v>
      </c>
      <c r="BH697" s="30">
        <f t="shared" si="417"/>
        <v>0</v>
      </c>
      <c r="BM697" s="2">
        <f t="shared" si="432"/>
        <v>0</v>
      </c>
      <c r="BP697" s="2">
        <f t="shared" si="433"/>
        <v>0</v>
      </c>
    </row>
    <row r="698" spans="1:68" ht="14.45" hidden="1" customHeight="1" x14ac:dyDescent="0.25">
      <c r="A698" s="33" t="s">
        <v>709</v>
      </c>
      <c r="B698" s="23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13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5"/>
      <c r="AD698" s="25">
        <f t="shared" si="434"/>
        <v>0</v>
      </c>
      <c r="AE698" s="26" t="s">
        <v>42</v>
      </c>
      <c r="AF698" s="27"/>
      <c r="AG698" s="17">
        <f t="shared" si="408"/>
        <v>0</v>
      </c>
      <c r="AH698" s="28">
        <f t="shared" si="409"/>
        <v>0</v>
      </c>
      <c r="AI698" s="17">
        <f t="shared" si="410"/>
        <v>0</v>
      </c>
      <c r="AJ698" s="28">
        <f t="shared" si="411"/>
        <v>0</v>
      </c>
      <c r="AK698" s="17">
        <f t="shared" si="419"/>
        <v>0</v>
      </c>
      <c r="AL698" s="28">
        <f t="shared" si="412"/>
        <v>0</v>
      </c>
      <c r="AM698" s="17">
        <f t="shared" si="427"/>
        <v>0</v>
      </c>
      <c r="AN698" s="28">
        <f t="shared" si="435"/>
        <v>0</v>
      </c>
      <c r="AO698" s="17">
        <f t="shared" si="428"/>
        <v>0</v>
      </c>
      <c r="AP698" s="28">
        <f t="shared" si="429"/>
        <v>0</v>
      </c>
      <c r="AQ698" s="17">
        <f t="shared" si="430"/>
        <v>0</v>
      </c>
      <c r="AR698" s="28">
        <f t="shared" si="431"/>
        <v>0</v>
      </c>
      <c r="AS698" s="17">
        <f t="shared" si="423"/>
        <v>0</v>
      </c>
      <c r="AT698" s="28">
        <f t="shared" si="424"/>
        <v>0</v>
      </c>
      <c r="AU698" s="17">
        <f t="shared" si="425"/>
        <v>0</v>
      </c>
      <c r="AV698" s="28">
        <f t="shared" si="426"/>
        <v>0</v>
      </c>
      <c r="AW698" s="17">
        <f t="shared" si="413"/>
        <v>0</v>
      </c>
      <c r="AX698" s="28">
        <f t="shared" si="414"/>
        <v>0</v>
      </c>
      <c r="AY698" s="17">
        <f t="shared" si="415"/>
        <v>0</v>
      </c>
      <c r="AZ698" s="28">
        <f t="shared" si="416"/>
        <v>0</v>
      </c>
      <c r="BA698" s="27">
        <f t="shared" si="402"/>
        <v>0</v>
      </c>
      <c r="BB698" s="27">
        <f t="shared" si="418"/>
        <v>0</v>
      </c>
      <c r="BC698" s="27">
        <f t="shared" si="420"/>
        <v>0</v>
      </c>
      <c r="BD698" s="27">
        <f t="shared" si="421"/>
        <v>0</v>
      </c>
      <c r="BE698" s="27">
        <f t="shared" si="422"/>
        <v>0</v>
      </c>
      <c r="BF698" s="29">
        <f t="shared" si="436"/>
        <v>0</v>
      </c>
      <c r="BH698" s="30">
        <f t="shared" si="417"/>
        <v>0</v>
      </c>
      <c r="BM698" s="2">
        <f t="shared" si="432"/>
        <v>0</v>
      </c>
      <c r="BP698" s="2">
        <f t="shared" si="433"/>
        <v>0</v>
      </c>
    </row>
    <row r="699" spans="1:68" ht="14.45" hidden="1" customHeight="1" x14ac:dyDescent="0.25">
      <c r="A699" s="33" t="s">
        <v>710</v>
      </c>
      <c r="B699" s="23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13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5"/>
      <c r="AD699" s="25">
        <f t="shared" si="434"/>
        <v>0</v>
      </c>
      <c r="AE699" s="26" t="s">
        <v>42</v>
      </c>
      <c r="AF699" s="27"/>
      <c r="AG699" s="17">
        <f t="shared" si="408"/>
        <v>0</v>
      </c>
      <c r="AH699" s="28">
        <f t="shared" si="409"/>
        <v>0</v>
      </c>
      <c r="AI699" s="17">
        <f t="shared" si="410"/>
        <v>0</v>
      </c>
      <c r="AJ699" s="28">
        <f t="shared" si="411"/>
        <v>0</v>
      </c>
      <c r="AK699" s="17">
        <f t="shared" si="419"/>
        <v>0</v>
      </c>
      <c r="AL699" s="28">
        <f t="shared" si="412"/>
        <v>0</v>
      </c>
      <c r="AM699" s="17">
        <f t="shared" si="427"/>
        <v>0</v>
      </c>
      <c r="AN699" s="28">
        <f t="shared" si="435"/>
        <v>0</v>
      </c>
      <c r="AO699" s="17">
        <f t="shared" si="428"/>
        <v>0</v>
      </c>
      <c r="AP699" s="28">
        <f t="shared" si="429"/>
        <v>0</v>
      </c>
      <c r="AQ699" s="17">
        <f t="shared" si="430"/>
        <v>0</v>
      </c>
      <c r="AR699" s="28">
        <f t="shared" si="431"/>
        <v>0</v>
      </c>
      <c r="AS699" s="17">
        <f t="shared" si="423"/>
        <v>0</v>
      </c>
      <c r="AT699" s="28">
        <f t="shared" si="424"/>
        <v>0</v>
      </c>
      <c r="AU699" s="17">
        <f t="shared" si="425"/>
        <v>0</v>
      </c>
      <c r="AV699" s="28">
        <f t="shared" si="426"/>
        <v>0</v>
      </c>
      <c r="AW699" s="17">
        <f t="shared" si="413"/>
        <v>0</v>
      </c>
      <c r="AX699" s="28">
        <f t="shared" si="414"/>
        <v>0</v>
      </c>
      <c r="AY699" s="17">
        <f t="shared" si="415"/>
        <v>0</v>
      </c>
      <c r="AZ699" s="28">
        <f t="shared" si="416"/>
        <v>0</v>
      </c>
      <c r="BA699" s="27">
        <f t="shared" si="402"/>
        <v>0</v>
      </c>
      <c r="BB699" s="27">
        <f t="shared" si="418"/>
        <v>0</v>
      </c>
      <c r="BC699" s="27">
        <f t="shared" si="420"/>
        <v>0</v>
      </c>
      <c r="BD699" s="27">
        <f t="shared" si="421"/>
        <v>0</v>
      </c>
      <c r="BE699" s="27">
        <f t="shared" si="422"/>
        <v>0</v>
      </c>
      <c r="BF699" s="29">
        <f t="shared" si="436"/>
        <v>0</v>
      </c>
      <c r="BH699" s="30">
        <f t="shared" si="417"/>
        <v>0</v>
      </c>
      <c r="BM699" s="2">
        <f t="shared" si="432"/>
        <v>0</v>
      </c>
      <c r="BP699" s="2">
        <f t="shared" si="433"/>
        <v>0</v>
      </c>
    </row>
    <row r="700" spans="1:68" ht="14.45" hidden="1" customHeight="1" x14ac:dyDescent="0.25">
      <c r="A700" s="33" t="s">
        <v>711</v>
      </c>
      <c r="B700" s="23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13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5"/>
      <c r="AD700" s="25">
        <f t="shared" si="434"/>
        <v>0</v>
      </c>
      <c r="AE700" s="26" t="s">
        <v>42</v>
      </c>
      <c r="AF700" s="27"/>
      <c r="AG700" s="17">
        <f t="shared" si="408"/>
        <v>0</v>
      </c>
      <c r="AH700" s="28">
        <f t="shared" si="409"/>
        <v>0</v>
      </c>
      <c r="AI700" s="17">
        <f t="shared" si="410"/>
        <v>0</v>
      </c>
      <c r="AJ700" s="28">
        <f t="shared" si="411"/>
        <v>0</v>
      </c>
      <c r="AK700" s="17">
        <f t="shared" si="419"/>
        <v>0</v>
      </c>
      <c r="AL700" s="28">
        <f t="shared" si="412"/>
        <v>0</v>
      </c>
      <c r="AM700" s="17">
        <f t="shared" si="427"/>
        <v>0</v>
      </c>
      <c r="AN700" s="28">
        <f t="shared" si="435"/>
        <v>0</v>
      </c>
      <c r="AO700" s="17">
        <f t="shared" si="428"/>
        <v>0</v>
      </c>
      <c r="AP700" s="28">
        <f t="shared" si="429"/>
        <v>0</v>
      </c>
      <c r="AQ700" s="17">
        <f t="shared" si="430"/>
        <v>0</v>
      </c>
      <c r="AR700" s="28">
        <f t="shared" si="431"/>
        <v>0</v>
      </c>
      <c r="AS700" s="17">
        <f t="shared" si="423"/>
        <v>0</v>
      </c>
      <c r="AT700" s="28">
        <f t="shared" si="424"/>
        <v>0</v>
      </c>
      <c r="AU700" s="17">
        <f t="shared" si="425"/>
        <v>0</v>
      </c>
      <c r="AV700" s="28">
        <f t="shared" si="426"/>
        <v>0</v>
      </c>
      <c r="AW700" s="17">
        <f t="shared" si="413"/>
        <v>0</v>
      </c>
      <c r="AX700" s="28">
        <f t="shared" si="414"/>
        <v>0</v>
      </c>
      <c r="AY700" s="17">
        <f t="shared" si="415"/>
        <v>0</v>
      </c>
      <c r="AZ700" s="28">
        <f t="shared" si="416"/>
        <v>0</v>
      </c>
      <c r="BA700" s="27">
        <f t="shared" si="402"/>
        <v>0</v>
      </c>
      <c r="BB700" s="27">
        <f t="shared" si="418"/>
        <v>0</v>
      </c>
      <c r="BC700" s="27">
        <f t="shared" si="420"/>
        <v>0</v>
      </c>
      <c r="BD700" s="27">
        <f t="shared" si="421"/>
        <v>0</v>
      </c>
      <c r="BE700" s="27">
        <f t="shared" si="422"/>
        <v>0</v>
      </c>
      <c r="BF700" s="29">
        <f t="shared" si="436"/>
        <v>0</v>
      </c>
      <c r="BH700" s="30">
        <f t="shared" si="417"/>
        <v>0</v>
      </c>
      <c r="BM700" s="2">
        <f t="shared" si="432"/>
        <v>0</v>
      </c>
      <c r="BP700" s="2">
        <f t="shared" si="433"/>
        <v>0</v>
      </c>
    </row>
    <row r="701" spans="1:68" ht="14.45" hidden="1" customHeight="1" x14ac:dyDescent="0.25">
      <c r="A701" s="33" t="s">
        <v>712</v>
      </c>
      <c r="B701" s="23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13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5"/>
      <c r="AD701" s="25">
        <f t="shared" si="434"/>
        <v>0</v>
      </c>
      <c r="AE701" s="26" t="s">
        <v>42</v>
      </c>
      <c r="AF701" s="27"/>
      <c r="AG701" s="17">
        <f t="shared" si="408"/>
        <v>0</v>
      </c>
      <c r="AH701" s="28">
        <f t="shared" si="409"/>
        <v>0</v>
      </c>
      <c r="AI701" s="17">
        <f t="shared" si="410"/>
        <v>0</v>
      </c>
      <c r="AJ701" s="28">
        <f t="shared" si="411"/>
        <v>0</v>
      </c>
      <c r="AK701" s="17">
        <f t="shared" si="419"/>
        <v>0</v>
      </c>
      <c r="AL701" s="28">
        <f t="shared" si="412"/>
        <v>0</v>
      </c>
      <c r="AM701" s="17">
        <f t="shared" si="427"/>
        <v>0</v>
      </c>
      <c r="AN701" s="28">
        <f t="shared" si="435"/>
        <v>0</v>
      </c>
      <c r="AO701" s="17">
        <f t="shared" si="428"/>
        <v>0</v>
      </c>
      <c r="AP701" s="28">
        <f t="shared" si="429"/>
        <v>0</v>
      </c>
      <c r="AQ701" s="17">
        <f t="shared" si="430"/>
        <v>0</v>
      </c>
      <c r="AR701" s="28">
        <f t="shared" si="431"/>
        <v>0</v>
      </c>
      <c r="AS701" s="17">
        <f t="shared" si="423"/>
        <v>0</v>
      </c>
      <c r="AT701" s="28">
        <f t="shared" si="424"/>
        <v>0</v>
      </c>
      <c r="AU701" s="17">
        <f t="shared" si="425"/>
        <v>0</v>
      </c>
      <c r="AV701" s="28">
        <f t="shared" si="426"/>
        <v>0</v>
      </c>
      <c r="AW701" s="17">
        <f t="shared" si="413"/>
        <v>0</v>
      </c>
      <c r="AX701" s="28">
        <f t="shared" si="414"/>
        <v>0</v>
      </c>
      <c r="AY701" s="17">
        <f t="shared" si="415"/>
        <v>0</v>
      </c>
      <c r="AZ701" s="28">
        <f t="shared" si="416"/>
        <v>0</v>
      </c>
      <c r="BA701" s="27">
        <f t="shared" si="402"/>
        <v>0</v>
      </c>
      <c r="BB701" s="27">
        <f t="shared" si="418"/>
        <v>0</v>
      </c>
      <c r="BC701" s="27">
        <f t="shared" si="420"/>
        <v>0</v>
      </c>
      <c r="BD701" s="27">
        <f t="shared" si="421"/>
        <v>0</v>
      </c>
      <c r="BE701" s="27">
        <f t="shared" si="422"/>
        <v>0</v>
      </c>
      <c r="BF701" s="29">
        <f t="shared" si="436"/>
        <v>0</v>
      </c>
      <c r="BH701" s="30">
        <f t="shared" si="417"/>
        <v>0</v>
      </c>
      <c r="BM701" s="2">
        <f t="shared" si="432"/>
        <v>0</v>
      </c>
      <c r="BP701" s="2">
        <f t="shared" si="433"/>
        <v>0</v>
      </c>
    </row>
    <row r="702" spans="1:68" ht="14.45" hidden="1" customHeight="1" x14ac:dyDescent="0.25">
      <c r="A702" s="33" t="s">
        <v>713</v>
      </c>
      <c r="B702" s="23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13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5"/>
      <c r="AD702" s="25">
        <f t="shared" si="434"/>
        <v>0</v>
      </c>
      <c r="AE702" s="26" t="s">
        <v>42</v>
      </c>
      <c r="AF702" s="27"/>
      <c r="AG702" s="17">
        <f t="shared" si="408"/>
        <v>0</v>
      </c>
      <c r="AH702" s="28">
        <f t="shared" si="409"/>
        <v>0</v>
      </c>
      <c r="AI702" s="17">
        <f t="shared" si="410"/>
        <v>0</v>
      </c>
      <c r="AJ702" s="28">
        <f t="shared" si="411"/>
        <v>0</v>
      </c>
      <c r="AK702" s="17">
        <f t="shared" si="419"/>
        <v>0</v>
      </c>
      <c r="AL702" s="28">
        <f t="shared" si="412"/>
        <v>0</v>
      </c>
      <c r="AM702" s="17">
        <f t="shared" si="427"/>
        <v>0</v>
      </c>
      <c r="AN702" s="28">
        <f t="shared" si="435"/>
        <v>0</v>
      </c>
      <c r="AO702" s="17">
        <f t="shared" si="428"/>
        <v>0</v>
      </c>
      <c r="AP702" s="28">
        <f t="shared" si="429"/>
        <v>0</v>
      </c>
      <c r="AQ702" s="17">
        <f t="shared" si="430"/>
        <v>0</v>
      </c>
      <c r="AR702" s="28">
        <f t="shared" si="431"/>
        <v>0</v>
      </c>
      <c r="AS702" s="17">
        <f t="shared" si="423"/>
        <v>0</v>
      </c>
      <c r="AT702" s="28">
        <f t="shared" si="424"/>
        <v>0</v>
      </c>
      <c r="AU702" s="17">
        <f t="shared" si="425"/>
        <v>0</v>
      </c>
      <c r="AV702" s="28">
        <f t="shared" si="426"/>
        <v>0</v>
      </c>
      <c r="AW702" s="17">
        <f t="shared" si="413"/>
        <v>0</v>
      </c>
      <c r="AX702" s="28">
        <f t="shared" si="414"/>
        <v>0</v>
      </c>
      <c r="AY702" s="17">
        <f t="shared" si="415"/>
        <v>0</v>
      </c>
      <c r="AZ702" s="28">
        <f t="shared" si="416"/>
        <v>0</v>
      </c>
      <c r="BA702" s="27">
        <f t="shared" ref="BA702:BA770" si="437">+AH702+AJ702</f>
        <v>0</v>
      </c>
      <c r="BB702" s="27">
        <f t="shared" si="418"/>
        <v>0</v>
      </c>
      <c r="BC702" s="27">
        <f t="shared" si="420"/>
        <v>0</v>
      </c>
      <c r="BD702" s="27">
        <f t="shared" si="421"/>
        <v>0</v>
      </c>
      <c r="BE702" s="27">
        <f t="shared" si="422"/>
        <v>0</v>
      </c>
      <c r="BF702" s="29">
        <f t="shared" si="436"/>
        <v>0</v>
      </c>
      <c r="BH702" s="30">
        <f t="shared" si="417"/>
        <v>0</v>
      </c>
      <c r="BM702" s="2">
        <f t="shared" si="432"/>
        <v>0</v>
      </c>
      <c r="BP702" s="2">
        <f t="shared" si="433"/>
        <v>0</v>
      </c>
    </row>
    <row r="703" spans="1:68" ht="14.45" hidden="1" customHeight="1" x14ac:dyDescent="0.25">
      <c r="A703" s="33" t="s">
        <v>714</v>
      </c>
      <c r="B703" s="23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13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5"/>
      <c r="AD703" s="25">
        <f t="shared" si="434"/>
        <v>0</v>
      </c>
      <c r="AE703" s="26" t="s">
        <v>42</v>
      </c>
      <c r="AF703" s="27"/>
      <c r="AG703" s="17">
        <f t="shared" si="408"/>
        <v>0</v>
      </c>
      <c r="AH703" s="28">
        <f t="shared" si="409"/>
        <v>0</v>
      </c>
      <c r="AI703" s="17">
        <f t="shared" si="410"/>
        <v>0</v>
      </c>
      <c r="AJ703" s="28">
        <f t="shared" si="411"/>
        <v>0</v>
      </c>
      <c r="AK703" s="17">
        <f t="shared" si="419"/>
        <v>0</v>
      </c>
      <c r="AL703" s="28">
        <f t="shared" si="412"/>
        <v>0</v>
      </c>
      <c r="AM703" s="17">
        <f t="shared" si="427"/>
        <v>0</v>
      </c>
      <c r="AN703" s="28">
        <f t="shared" si="435"/>
        <v>0</v>
      </c>
      <c r="AO703" s="17">
        <f t="shared" si="428"/>
        <v>0</v>
      </c>
      <c r="AP703" s="28">
        <f t="shared" si="429"/>
        <v>0</v>
      </c>
      <c r="AQ703" s="17">
        <f t="shared" si="430"/>
        <v>0</v>
      </c>
      <c r="AR703" s="28">
        <f t="shared" si="431"/>
        <v>0</v>
      </c>
      <c r="AS703" s="17">
        <f t="shared" si="423"/>
        <v>0</v>
      </c>
      <c r="AT703" s="28">
        <f t="shared" si="424"/>
        <v>0</v>
      </c>
      <c r="AU703" s="17">
        <f t="shared" si="425"/>
        <v>0</v>
      </c>
      <c r="AV703" s="28">
        <f t="shared" si="426"/>
        <v>0</v>
      </c>
      <c r="AW703" s="17">
        <f t="shared" si="413"/>
        <v>0</v>
      </c>
      <c r="AX703" s="28">
        <f t="shared" si="414"/>
        <v>0</v>
      </c>
      <c r="AY703" s="17">
        <f t="shared" si="415"/>
        <v>0</v>
      </c>
      <c r="AZ703" s="28">
        <f t="shared" si="416"/>
        <v>0</v>
      </c>
      <c r="BA703" s="27">
        <f t="shared" si="437"/>
        <v>0</v>
      </c>
      <c r="BB703" s="27">
        <f t="shared" si="418"/>
        <v>0</v>
      </c>
      <c r="BC703" s="27">
        <f t="shared" si="420"/>
        <v>0</v>
      </c>
      <c r="BD703" s="27">
        <f t="shared" si="421"/>
        <v>0</v>
      </c>
      <c r="BE703" s="27">
        <f t="shared" si="422"/>
        <v>0</v>
      </c>
      <c r="BF703" s="29">
        <f t="shared" si="436"/>
        <v>0</v>
      </c>
      <c r="BH703" s="30">
        <f t="shared" si="417"/>
        <v>0</v>
      </c>
      <c r="BM703" s="2">
        <f t="shared" si="432"/>
        <v>0</v>
      </c>
      <c r="BP703" s="2">
        <f t="shared" si="433"/>
        <v>0</v>
      </c>
    </row>
    <row r="704" spans="1:68" ht="14.45" hidden="1" customHeight="1" x14ac:dyDescent="0.25">
      <c r="A704" s="33" t="s">
        <v>715</v>
      </c>
      <c r="B704" s="23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13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5"/>
      <c r="AD704" s="25">
        <f t="shared" ref="AD704:AD731" si="438">SUM(B704:S704)</f>
        <v>0</v>
      </c>
      <c r="AE704" s="26" t="s">
        <v>42</v>
      </c>
      <c r="AF704" s="27"/>
      <c r="AG704" s="17">
        <f t="shared" si="408"/>
        <v>0</v>
      </c>
      <c r="AH704" s="28">
        <f t="shared" si="409"/>
        <v>0</v>
      </c>
      <c r="AI704" s="17">
        <f t="shared" si="410"/>
        <v>0</v>
      </c>
      <c r="AJ704" s="28">
        <f t="shared" si="411"/>
        <v>0</v>
      </c>
      <c r="AK704" s="17">
        <f t="shared" si="419"/>
        <v>0</v>
      </c>
      <c r="AL704" s="28">
        <f t="shared" si="412"/>
        <v>0</v>
      </c>
      <c r="AM704" s="17">
        <f t="shared" si="427"/>
        <v>0</v>
      </c>
      <c r="AN704" s="28">
        <f t="shared" si="435"/>
        <v>0</v>
      </c>
      <c r="AO704" s="17">
        <f t="shared" si="428"/>
        <v>0</v>
      </c>
      <c r="AP704" s="28">
        <f t="shared" si="429"/>
        <v>0</v>
      </c>
      <c r="AQ704" s="17">
        <f t="shared" si="430"/>
        <v>0</v>
      </c>
      <c r="AR704" s="28">
        <f t="shared" si="431"/>
        <v>0</v>
      </c>
      <c r="AS704" s="17">
        <f t="shared" si="423"/>
        <v>0</v>
      </c>
      <c r="AT704" s="28">
        <f t="shared" si="424"/>
        <v>0</v>
      </c>
      <c r="AU704" s="17">
        <f t="shared" si="425"/>
        <v>0</v>
      </c>
      <c r="AV704" s="28">
        <f t="shared" si="426"/>
        <v>0</v>
      </c>
      <c r="AW704" s="17">
        <f t="shared" si="413"/>
        <v>0</v>
      </c>
      <c r="AX704" s="28">
        <f t="shared" si="414"/>
        <v>0</v>
      </c>
      <c r="AY704" s="17">
        <f t="shared" si="415"/>
        <v>0</v>
      </c>
      <c r="AZ704" s="28">
        <f t="shared" si="416"/>
        <v>0</v>
      </c>
      <c r="BA704" s="27">
        <f t="shared" si="437"/>
        <v>0</v>
      </c>
      <c r="BB704" s="27">
        <f t="shared" si="418"/>
        <v>0</v>
      </c>
      <c r="BC704" s="27">
        <f t="shared" si="420"/>
        <v>0</v>
      </c>
      <c r="BD704" s="27">
        <f t="shared" si="421"/>
        <v>0</v>
      </c>
      <c r="BE704" s="27">
        <f t="shared" si="422"/>
        <v>0</v>
      </c>
      <c r="BF704" s="29">
        <f t="shared" si="436"/>
        <v>0</v>
      </c>
      <c r="BH704" s="30">
        <f t="shared" si="417"/>
        <v>0</v>
      </c>
      <c r="BM704" s="2">
        <f t="shared" si="432"/>
        <v>0</v>
      </c>
      <c r="BP704" s="2">
        <f t="shared" si="433"/>
        <v>0</v>
      </c>
    </row>
    <row r="705" spans="1:68" ht="14.45" hidden="1" customHeight="1" x14ac:dyDescent="0.25">
      <c r="A705" s="33" t="s">
        <v>716</v>
      </c>
      <c r="B705" s="23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13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5"/>
      <c r="AD705" s="25">
        <f t="shared" si="438"/>
        <v>0</v>
      </c>
      <c r="AE705" s="26" t="s">
        <v>42</v>
      </c>
      <c r="AF705" s="27"/>
      <c r="AG705" s="17">
        <f t="shared" si="408"/>
        <v>0</v>
      </c>
      <c r="AH705" s="28">
        <f t="shared" si="409"/>
        <v>0</v>
      </c>
      <c r="AI705" s="17">
        <f t="shared" si="410"/>
        <v>0</v>
      </c>
      <c r="AJ705" s="28">
        <f t="shared" si="411"/>
        <v>0</v>
      </c>
      <c r="AK705" s="17">
        <f t="shared" si="419"/>
        <v>0</v>
      </c>
      <c r="AL705" s="28">
        <f t="shared" si="412"/>
        <v>0</v>
      </c>
      <c r="AM705" s="17">
        <f t="shared" si="427"/>
        <v>0</v>
      </c>
      <c r="AN705" s="28">
        <f t="shared" si="435"/>
        <v>0</v>
      </c>
      <c r="AO705" s="17">
        <f t="shared" si="428"/>
        <v>0</v>
      </c>
      <c r="AP705" s="28">
        <f t="shared" si="429"/>
        <v>0</v>
      </c>
      <c r="AQ705" s="17">
        <f t="shared" si="430"/>
        <v>0</v>
      </c>
      <c r="AR705" s="28">
        <f t="shared" si="431"/>
        <v>0</v>
      </c>
      <c r="AS705" s="17">
        <f t="shared" si="423"/>
        <v>0</v>
      </c>
      <c r="AT705" s="28">
        <f t="shared" si="424"/>
        <v>0</v>
      </c>
      <c r="AU705" s="17">
        <f t="shared" si="425"/>
        <v>0</v>
      </c>
      <c r="AV705" s="28">
        <f t="shared" si="426"/>
        <v>0</v>
      </c>
      <c r="AW705" s="17">
        <f t="shared" si="413"/>
        <v>0</v>
      </c>
      <c r="AX705" s="28">
        <f t="shared" si="414"/>
        <v>0</v>
      </c>
      <c r="AY705" s="17">
        <f t="shared" si="415"/>
        <v>0</v>
      </c>
      <c r="AZ705" s="28">
        <f t="shared" si="416"/>
        <v>0</v>
      </c>
      <c r="BA705" s="27">
        <f t="shared" si="437"/>
        <v>0</v>
      </c>
      <c r="BB705" s="27">
        <f t="shared" si="418"/>
        <v>0</v>
      </c>
      <c r="BC705" s="27">
        <f t="shared" si="420"/>
        <v>0</v>
      </c>
      <c r="BD705" s="27">
        <f t="shared" si="421"/>
        <v>0</v>
      </c>
      <c r="BE705" s="27">
        <f t="shared" si="422"/>
        <v>0</v>
      </c>
      <c r="BF705" s="29">
        <f t="shared" si="436"/>
        <v>0</v>
      </c>
      <c r="BH705" s="30">
        <f t="shared" si="417"/>
        <v>0</v>
      </c>
      <c r="BM705" s="2">
        <f t="shared" si="432"/>
        <v>0</v>
      </c>
      <c r="BP705" s="2">
        <f t="shared" si="433"/>
        <v>0</v>
      </c>
    </row>
    <row r="706" spans="1:68" ht="14.45" hidden="1" customHeight="1" x14ac:dyDescent="0.25">
      <c r="A706" s="33" t="s">
        <v>717</v>
      </c>
      <c r="B706" s="23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13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5"/>
      <c r="AD706" s="25">
        <f t="shared" si="438"/>
        <v>0</v>
      </c>
      <c r="AE706" s="26" t="s">
        <v>42</v>
      </c>
      <c r="AF706" s="27"/>
      <c r="AG706" s="17">
        <f t="shared" si="408"/>
        <v>0</v>
      </c>
      <c r="AH706" s="28">
        <f t="shared" si="409"/>
        <v>0</v>
      </c>
      <c r="AI706" s="17">
        <f t="shared" si="410"/>
        <v>0</v>
      </c>
      <c r="AJ706" s="28">
        <f t="shared" si="411"/>
        <v>0</v>
      </c>
      <c r="AK706" s="17">
        <f t="shared" si="419"/>
        <v>0</v>
      </c>
      <c r="AL706" s="28">
        <f t="shared" si="412"/>
        <v>0</v>
      </c>
      <c r="AM706" s="17">
        <f t="shared" si="427"/>
        <v>0</v>
      </c>
      <c r="AN706" s="28">
        <f t="shared" si="435"/>
        <v>0</v>
      </c>
      <c r="AO706" s="17">
        <f t="shared" si="428"/>
        <v>0</v>
      </c>
      <c r="AP706" s="28">
        <f t="shared" si="429"/>
        <v>0</v>
      </c>
      <c r="AQ706" s="17">
        <f t="shared" si="430"/>
        <v>0</v>
      </c>
      <c r="AR706" s="28">
        <f t="shared" si="431"/>
        <v>0</v>
      </c>
      <c r="AS706" s="17">
        <f t="shared" si="423"/>
        <v>0</v>
      </c>
      <c r="AT706" s="28">
        <f t="shared" si="424"/>
        <v>0</v>
      </c>
      <c r="AU706" s="17">
        <f t="shared" si="425"/>
        <v>0</v>
      </c>
      <c r="AV706" s="28">
        <f t="shared" si="426"/>
        <v>0</v>
      </c>
      <c r="AW706" s="17">
        <f t="shared" si="413"/>
        <v>0</v>
      </c>
      <c r="AX706" s="28">
        <f t="shared" si="414"/>
        <v>0</v>
      </c>
      <c r="AY706" s="17">
        <f t="shared" si="415"/>
        <v>0</v>
      </c>
      <c r="AZ706" s="28">
        <f t="shared" si="416"/>
        <v>0</v>
      </c>
      <c r="BA706" s="27">
        <f t="shared" si="437"/>
        <v>0</v>
      </c>
      <c r="BB706" s="27">
        <f t="shared" si="418"/>
        <v>0</v>
      </c>
      <c r="BC706" s="27">
        <f t="shared" si="420"/>
        <v>0</v>
      </c>
      <c r="BD706" s="27">
        <f t="shared" si="421"/>
        <v>0</v>
      </c>
      <c r="BE706" s="27">
        <f t="shared" si="422"/>
        <v>0</v>
      </c>
      <c r="BF706" s="29">
        <f t="shared" si="436"/>
        <v>0</v>
      </c>
      <c r="BH706" s="30">
        <f t="shared" si="417"/>
        <v>0</v>
      </c>
      <c r="BM706" s="2">
        <f t="shared" si="432"/>
        <v>0</v>
      </c>
      <c r="BP706" s="2">
        <f t="shared" si="433"/>
        <v>0</v>
      </c>
    </row>
    <row r="707" spans="1:68" ht="14.45" hidden="1" customHeight="1" x14ac:dyDescent="0.25">
      <c r="A707" s="33" t="s">
        <v>718</v>
      </c>
      <c r="B707" s="23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13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5"/>
      <c r="AD707" s="25">
        <f t="shared" si="438"/>
        <v>0</v>
      </c>
      <c r="AE707" s="26" t="s">
        <v>42</v>
      </c>
      <c r="AF707" s="27"/>
      <c r="AG707" s="17">
        <f t="shared" si="408"/>
        <v>0</v>
      </c>
      <c r="AH707" s="28">
        <f t="shared" si="409"/>
        <v>0</v>
      </c>
      <c r="AI707" s="17">
        <f t="shared" si="410"/>
        <v>0</v>
      </c>
      <c r="AJ707" s="28">
        <f t="shared" si="411"/>
        <v>0</v>
      </c>
      <c r="AK707" s="17">
        <f t="shared" si="419"/>
        <v>0</v>
      </c>
      <c r="AL707" s="28">
        <f t="shared" si="412"/>
        <v>0</v>
      </c>
      <c r="AM707" s="17">
        <f t="shared" si="427"/>
        <v>0</v>
      </c>
      <c r="AN707" s="28">
        <f t="shared" si="435"/>
        <v>0</v>
      </c>
      <c r="AO707" s="17">
        <f t="shared" si="428"/>
        <v>0</v>
      </c>
      <c r="AP707" s="28">
        <f t="shared" si="429"/>
        <v>0</v>
      </c>
      <c r="AQ707" s="17">
        <f t="shared" si="430"/>
        <v>0</v>
      </c>
      <c r="AR707" s="28">
        <f t="shared" si="431"/>
        <v>0</v>
      </c>
      <c r="AS707" s="17">
        <f t="shared" si="423"/>
        <v>0</v>
      </c>
      <c r="AT707" s="28">
        <f t="shared" si="424"/>
        <v>0</v>
      </c>
      <c r="AU707" s="17">
        <f t="shared" si="425"/>
        <v>0</v>
      </c>
      <c r="AV707" s="28">
        <f t="shared" si="426"/>
        <v>0</v>
      </c>
      <c r="AW707" s="17">
        <f t="shared" si="413"/>
        <v>0</v>
      </c>
      <c r="AX707" s="28">
        <f t="shared" si="414"/>
        <v>0</v>
      </c>
      <c r="AY707" s="17">
        <f t="shared" si="415"/>
        <v>0</v>
      </c>
      <c r="AZ707" s="28">
        <f t="shared" si="416"/>
        <v>0</v>
      </c>
      <c r="BA707" s="27">
        <f t="shared" si="437"/>
        <v>0</v>
      </c>
      <c r="BB707" s="27">
        <f t="shared" si="418"/>
        <v>0</v>
      </c>
      <c r="BC707" s="27">
        <f t="shared" si="420"/>
        <v>0</v>
      </c>
      <c r="BD707" s="27">
        <f t="shared" si="421"/>
        <v>0</v>
      </c>
      <c r="BE707" s="27">
        <f t="shared" si="422"/>
        <v>0</v>
      </c>
      <c r="BF707" s="29">
        <f t="shared" si="436"/>
        <v>0</v>
      </c>
      <c r="BH707" s="30">
        <f t="shared" si="417"/>
        <v>0</v>
      </c>
      <c r="BM707" s="2">
        <f t="shared" si="432"/>
        <v>0</v>
      </c>
      <c r="BP707" s="2">
        <f t="shared" si="433"/>
        <v>0</v>
      </c>
    </row>
    <row r="708" spans="1:68" ht="14.45" hidden="1" customHeight="1" x14ac:dyDescent="0.25">
      <c r="A708" s="33" t="s">
        <v>719</v>
      </c>
      <c r="B708" s="23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13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5"/>
      <c r="AD708" s="25">
        <f t="shared" si="438"/>
        <v>0</v>
      </c>
      <c r="AE708" s="26" t="s">
        <v>42</v>
      </c>
      <c r="AF708" s="27"/>
      <c r="AG708" s="17">
        <f t="shared" si="408"/>
        <v>0</v>
      </c>
      <c r="AH708" s="28">
        <f t="shared" si="409"/>
        <v>0</v>
      </c>
      <c r="AI708" s="17">
        <f t="shared" si="410"/>
        <v>0</v>
      </c>
      <c r="AJ708" s="28">
        <f t="shared" si="411"/>
        <v>0</v>
      </c>
      <c r="AK708" s="17">
        <f t="shared" si="419"/>
        <v>0</v>
      </c>
      <c r="AL708" s="28">
        <f t="shared" si="412"/>
        <v>0</v>
      </c>
      <c r="AM708" s="17">
        <f t="shared" si="427"/>
        <v>0</v>
      </c>
      <c r="AN708" s="28">
        <f t="shared" si="435"/>
        <v>0</v>
      </c>
      <c r="AO708" s="17">
        <f t="shared" si="428"/>
        <v>0</v>
      </c>
      <c r="AP708" s="28">
        <f t="shared" si="429"/>
        <v>0</v>
      </c>
      <c r="AQ708" s="17">
        <f t="shared" si="430"/>
        <v>0</v>
      </c>
      <c r="AR708" s="28">
        <f t="shared" si="431"/>
        <v>0</v>
      </c>
      <c r="AS708" s="17">
        <f t="shared" si="423"/>
        <v>0</v>
      </c>
      <c r="AT708" s="28">
        <f t="shared" si="424"/>
        <v>0</v>
      </c>
      <c r="AU708" s="17">
        <f t="shared" si="425"/>
        <v>0</v>
      </c>
      <c r="AV708" s="28">
        <f t="shared" si="426"/>
        <v>0</v>
      </c>
      <c r="AW708" s="17">
        <f t="shared" si="413"/>
        <v>0</v>
      </c>
      <c r="AX708" s="28">
        <f t="shared" si="414"/>
        <v>0</v>
      </c>
      <c r="AY708" s="17">
        <f t="shared" si="415"/>
        <v>0</v>
      </c>
      <c r="AZ708" s="28">
        <f t="shared" si="416"/>
        <v>0</v>
      </c>
      <c r="BA708" s="27">
        <f t="shared" si="437"/>
        <v>0</v>
      </c>
      <c r="BB708" s="27">
        <f t="shared" si="418"/>
        <v>0</v>
      </c>
      <c r="BC708" s="27">
        <f t="shared" si="420"/>
        <v>0</v>
      </c>
      <c r="BD708" s="27">
        <f t="shared" si="421"/>
        <v>0</v>
      </c>
      <c r="BE708" s="27">
        <f t="shared" si="422"/>
        <v>0</v>
      </c>
      <c r="BF708" s="29">
        <f t="shared" si="436"/>
        <v>0</v>
      </c>
      <c r="BH708" s="30">
        <f t="shared" si="417"/>
        <v>0</v>
      </c>
      <c r="BM708" s="2">
        <f t="shared" si="432"/>
        <v>0</v>
      </c>
      <c r="BP708" s="2">
        <f t="shared" si="433"/>
        <v>0</v>
      </c>
    </row>
    <row r="709" spans="1:68" ht="14.45" hidden="1" customHeight="1" x14ac:dyDescent="0.25">
      <c r="A709" s="33" t="s">
        <v>720</v>
      </c>
      <c r="B709" s="23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13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5"/>
      <c r="AD709" s="25">
        <f t="shared" si="438"/>
        <v>0</v>
      </c>
      <c r="AE709" s="26" t="s">
        <v>42</v>
      </c>
      <c r="AF709" s="27"/>
      <c r="AG709" s="17">
        <f t="shared" si="408"/>
        <v>0</v>
      </c>
      <c r="AH709" s="28">
        <f t="shared" si="409"/>
        <v>0</v>
      </c>
      <c r="AI709" s="17">
        <f t="shared" si="410"/>
        <v>0</v>
      </c>
      <c r="AJ709" s="28">
        <f t="shared" si="411"/>
        <v>0</v>
      </c>
      <c r="AK709" s="17">
        <f t="shared" si="419"/>
        <v>0</v>
      </c>
      <c r="AL709" s="28">
        <f t="shared" si="412"/>
        <v>0</v>
      </c>
      <c r="AM709" s="17">
        <f t="shared" si="427"/>
        <v>0</v>
      </c>
      <c r="AN709" s="28">
        <f t="shared" si="435"/>
        <v>0</v>
      </c>
      <c r="AO709" s="17">
        <f t="shared" si="428"/>
        <v>0</v>
      </c>
      <c r="AP709" s="28">
        <f t="shared" si="429"/>
        <v>0</v>
      </c>
      <c r="AQ709" s="17">
        <f t="shared" si="430"/>
        <v>0</v>
      </c>
      <c r="AR709" s="28">
        <f t="shared" si="431"/>
        <v>0</v>
      </c>
      <c r="AS709" s="17">
        <f t="shared" si="423"/>
        <v>0</v>
      </c>
      <c r="AT709" s="28">
        <f t="shared" si="424"/>
        <v>0</v>
      </c>
      <c r="AU709" s="17">
        <f t="shared" si="425"/>
        <v>0</v>
      </c>
      <c r="AV709" s="28">
        <f t="shared" si="426"/>
        <v>0</v>
      </c>
      <c r="AW709" s="17">
        <f t="shared" si="413"/>
        <v>0</v>
      </c>
      <c r="AX709" s="28">
        <f t="shared" si="414"/>
        <v>0</v>
      </c>
      <c r="AY709" s="17">
        <f t="shared" si="415"/>
        <v>0</v>
      </c>
      <c r="AZ709" s="28">
        <f t="shared" si="416"/>
        <v>0</v>
      </c>
      <c r="BA709" s="27">
        <f t="shared" si="437"/>
        <v>0</v>
      </c>
      <c r="BB709" s="27">
        <f t="shared" si="418"/>
        <v>0</v>
      </c>
      <c r="BC709" s="27">
        <f t="shared" si="420"/>
        <v>0</v>
      </c>
      <c r="BD709" s="27">
        <f t="shared" si="421"/>
        <v>0</v>
      </c>
      <c r="BE709" s="27">
        <f t="shared" si="422"/>
        <v>0</v>
      </c>
      <c r="BF709" s="29">
        <f t="shared" si="436"/>
        <v>0</v>
      </c>
      <c r="BH709" s="30">
        <f t="shared" si="417"/>
        <v>0</v>
      </c>
      <c r="BM709" s="2">
        <f t="shared" si="432"/>
        <v>0</v>
      </c>
      <c r="BP709" s="2">
        <f t="shared" si="433"/>
        <v>0</v>
      </c>
    </row>
    <row r="710" spans="1:68" ht="14.45" hidden="1" customHeight="1" x14ac:dyDescent="0.25">
      <c r="A710" s="33" t="s">
        <v>721</v>
      </c>
      <c r="B710" s="23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13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5"/>
      <c r="AD710" s="25">
        <f t="shared" si="438"/>
        <v>0</v>
      </c>
      <c r="AE710" s="26" t="s">
        <v>42</v>
      </c>
      <c r="AF710" s="27"/>
      <c r="AG710" s="17">
        <f t="shared" si="408"/>
        <v>0</v>
      </c>
      <c r="AH710" s="28">
        <f t="shared" si="409"/>
        <v>0</v>
      </c>
      <c r="AI710" s="17">
        <f t="shared" si="410"/>
        <v>0</v>
      </c>
      <c r="AJ710" s="28">
        <f t="shared" si="411"/>
        <v>0</v>
      </c>
      <c r="AK710" s="17">
        <f t="shared" si="419"/>
        <v>0</v>
      </c>
      <c r="AL710" s="28">
        <f t="shared" si="412"/>
        <v>0</v>
      </c>
      <c r="AM710" s="17">
        <f t="shared" si="427"/>
        <v>0</v>
      </c>
      <c r="AN710" s="28">
        <f t="shared" si="435"/>
        <v>0</v>
      </c>
      <c r="AO710" s="17">
        <f t="shared" si="428"/>
        <v>0</v>
      </c>
      <c r="AP710" s="28">
        <f t="shared" si="429"/>
        <v>0</v>
      </c>
      <c r="AQ710" s="17">
        <f t="shared" si="430"/>
        <v>0</v>
      </c>
      <c r="AR710" s="28">
        <f t="shared" si="431"/>
        <v>0</v>
      </c>
      <c r="AS710" s="17">
        <f t="shared" si="423"/>
        <v>0</v>
      </c>
      <c r="AT710" s="28">
        <f t="shared" si="424"/>
        <v>0</v>
      </c>
      <c r="AU710" s="17">
        <f t="shared" si="425"/>
        <v>0</v>
      </c>
      <c r="AV710" s="28">
        <f t="shared" si="426"/>
        <v>0</v>
      </c>
      <c r="AW710" s="17">
        <f t="shared" si="413"/>
        <v>0</v>
      </c>
      <c r="AX710" s="28">
        <f t="shared" si="414"/>
        <v>0</v>
      </c>
      <c r="AY710" s="17">
        <f t="shared" si="415"/>
        <v>0</v>
      </c>
      <c r="AZ710" s="28">
        <f t="shared" si="416"/>
        <v>0</v>
      </c>
      <c r="BA710" s="27">
        <f t="shared" si="437"/>
        <v>0</v>
      </c>
      <c r="BB710" s="27">
        <f t="shared" si="418"/>
        <v>0</v>
      </c>
      <c r="BC710" s="27">
        <f t="shared" si="420"/>
        <v>0</v>
      </c>
      <c r="BD710" s="27">
        <f t="shared" si="421"/>
        <v>0</v>
      </c>
      <c r="BE710" s="27">
        <f t="shared" si="422"/>
        <v>0</v>
      </c>
      <c r="BF710" s="29">
        <f t="shared" si="436"/>
        <v>0</v>
      </c>
      <c r="BH710" s="30">
        <f t="shared" si="417"/>
        <v>0</v>
      </c>
      <c r="BM710" s="2">
        <f t="shared" si="432"/>
        <v>0</v>
      </c>
      <c r="BP710" s="2">
        <f t="shared" si="433"/>
        <v>0</v>
      </c>
    </row>
    <row r="711" spans="1:68" ht="14.45" hidden="1" customHeight="1" x14ac:dyDescent="0.25">
      <c r="A711" s="33" t="s">
        <v>722</v>
      </c>
      <c r="B711" s="23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13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5"/>
      <c r="AD711" s="25">
        <f t="shared" si="438"/>
        <v>0</v>
      </c>
      <c r="AE711" s="26" t="s">
        <v>42</v>
      </c>
      <c r="AF711" s="27"/>
      <c r="AG711" s="17">
        <f t="shared" ref="AG711:AG774" si="439">SUM(F711:L711)-G711</f>
        <v>0</v>
      </c>
      <c r="AH711" s="28">
        <f t="shared" ref="AH711:AH774" si="440">+AG711*AF711</f>
        <v>0</v>
      </c>
      <c r="AI711" s="17">
        <f t="shared" ref="AI711:AI768" si="441">SUM(T711:Y711)-U711</f>
        <v>0</v>
      </c>
      <c r="AJ711" s="28">
        <f t="shared" ref="AJ711:AJ774" si="442">+AI711*AF711</f>
        <v>0</v>
      </c>
      <c r="AK711" s="17">
        <f t="shared" si="419"/>
        <v>0</v>
      </c>
      <c r="AL711" s="28">
        <f t="shared" ref="AL711:AL774" si="443">+AK711*AF711</f>
        <v>0</v>
      </c>
      <c r="AM711" s="17">
        <f t="shared" si="427"/>
        <v>0</v>
      </c>
      <c r="AN711" s="28">
        <f t="shared" si="435"/>
        <v>0</v>
      </c>
      <c r="AO711" s="17">
        <f t="shared" si="428"/>
        <v>0</v>
      </c>
      <c r="AP711" s="28">
        <f t="shared" si="429"/>
        <v>0</v>
      </c>
      <c r="AQ711" s="17">
        <f t="shared" si="430"/>
        <v>0</v>
      </c>
      <c r="AR711" s="28">
        <f t="shared" si="431"/>
        <v>0</v>
      </c>
      <c r="AS711" s="17">
        <f t="shared" si="423"/>
        <v>0</v>
      </c>
      <c r="AT711" s="28">
        <f t="shared" si="424"/>
        <v>0</v>
      </c>
      <c r="AU711" s="17">
        <f t="shared" si="425"/>
        <v>0</v>
      </c>
      <c r="AV711" s="28">
        <f t="shared" si="426"/>
        <v>0</v>
      </c>
      <c r="AW711" s="17">
        <f t="shared" ref="AW711:AW768" si="444">+D711</f>
        <v>0</v>
      </c>
      <c r="AX711" s="28">
        <f t="shared" ref="AX711:AX768" si="445">+AW711*AF711</f>
        <v>0</v>
      </c>
      <c r="AY711" s="17">
        <f t="shared" ref="AY711:AY768" si="446">+R711</f>
        <v>0</v>
      </c>
      <c r="AZ711" s="28">
        <f t="shared" ref="AZ711:AZ768" si="447">+AY711*AF711</f>
        <v>0</v>
      </c>
      <c r="BA711" s="27">
        <f t="shared" si="437"/>
        <v>0</v>
      </c>
      <c r="BB711" s="27">
        <f t="shared" si="418"/>
        <v>0</v>
      </c>
      <c r="BC711" s="27">
        <f t="shared" si="420"/>
        <v>0</v>
      </c>
      <c r="BD711" s="27">
        <f t="shared" si="421"/>
        <v>0</v>
      </c>
      <c r="BE711" s="27">
        <f t="shared" si="422"/>
        <v>0</v>
      </c>
      <c r="BF711" s="29">
        <f t="shared" si="436"/>
        <v>0</v>
      </c>
      <c r="BH711" s="30">
        <f t="shared" ref="BH711:BH774" si="448">+B711+C711+E711+G711+M711+N711+O711+(P711+Q711+S711+U711+Z711+AA711+AB711)</f>
        <v>0</v>
      </c>
      <c r="BM711" s="2">
        <f t="shared" si="432"/>
        <v>0</v>
      </c>
      <c r="BP711" s="2">
        <f t="shared" si="433"/>
        <v>0</v>
      </c>
    </row>
    <row r="712" spans="1:68" ht="14.45" hidden="1" customHeight="1" x14ac:dyDescent="0.25">
      <c r="A712" s="33" t="s">
        <v>723</v>
      </c>
      <c r="B712" s="23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13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5"/>
      <c r="AD712" s="25">
        <f t="shared" si="438"/>
        <v>0</v>
      </c>
      <c r="AE712" s="26" t="s">
        <v>42</v>
      </c>
      <c r="AF712" s="27"/>
      <c r="AG712" s="17">
        <f t="shared" si="439"/>
        <v>0</v>
      </c>
      <c r="AH712" s="28">
        <f t="shared" si="440"/>
        <v>0</v>
      </c>
      <c r="AI712" s="17">
        <f t="shared" si="441"/>
        <v>0</v>
      </c>
      <c r="AJ712" s="28">
        <f t="shared" si="442"/>
        <v>0</v>
      </c>
      <c r="AK712" s="17">
        <f t="shared" si="419"/>
        <v>0</v>
      </c>
      <c r="AL712" s="28">
        <f t="shared" si="443"/>
        <v>0</v>
      </c>
      <c r="AM712" s="17">
        <f t="shared" si="427"/>
        <v>0</v>
      </c>
      <c r="AN712" s="28">
        <f t="shared" si="435"/>
        <v>0</v>
      </c>
      <c r="AO712" s="17">
        <f t="shared" si="428"/>
        <v>0</v>
      </c>
      <c r="AP712" s="28">
        <f t="shared" si="429"/>
        <v>0</v>
      </c>
      <c r="AQ712" s="17">
        <f t="shared" si="430"/>
        <v>0</v>
      </c>
      <c r="AR712" s="28">
        <f t="shared" si="431"/>
        <v>0</v>
      </c>
      <c r="AS712" s="17">
        <f t="shared" si="423"/>
        <v>0</v>
      </c>
      <c r="AT712" s="28">
        <f t="shared" si="424"/>
        <v>0</v>
      </c>
      <c r="AU712" s="17">
        <f t="shared" si="425"/>
        <v>0</v>
      </c>
      <c r="AV712" s="28">
        <f t="shared" si="426"/>
        <v>0</v>
      </c>
      <c r="AW712" s="17">
        <f t="shared" si="444"/>
        <v>0</v>
      </c>
      <c r="AX712" s="28">
        <f t="shared" si="445"/>
        <v>0</v>
      </c>
      <c r="AY712" s="17">
        <f t="shared" si="446"/>
        <v>0</v>
      </c>
      <c r="AZ712" s="28">
        <f t="shared" si="447"/>
        <v>0</v>
      </c>
      <c r="BA712" s="27">
        <f t="shared" si="437"/>
        <v>0</v>
      </c>
      <c r="BB712" s="27">
        <f t="shared" ref="BB712:BB775" si="449">+AL712+AN712</f>
        <v>0</v>
      </c>
      <c r="BC712" s="27">
        <f t="shared" si="420"/>
        <v>0</v>
      </c>
      <c r="BD712" s="27">
        <f t="shared" si="421"/>
        <v>0</v>
      </c>
      <c r="BE712" s="27">
        <f t="shared" si="422"/>
        <v>0</v>
      </c>
      <c r="BF712" s="29">
        <f t="shared" si="436"/>
        <v>0</v>
      </c>
      <c r="BH712" s="30">
        <f t="shared" si="448"/>
        <v>0</v>
      </c>
      <c r="BM712" s="2">
        <f t="shared" si="432"/>
        <v>0</v>
      </c>
      <c r="BP712" s="2">
        <f t="shared" si="433"/>
        <v>0</v>
      </c>
    </row>
    <row r="713" spans="1:68" ht="14.45" hidden="1" customHeight="1" x14ac:dyDescent="0.25">
      <c r="A713" s="33" t="s">
        <v>724</v>
      </c>
      <c r="B713" s="23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13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5"/>
      <c r="AD713" s="25">
        <f t="shared" si="438"/>
        <v>0</v>
      </c>
      <c r="AE713" s="26" t="s">
        <v>42</v>
      </c>
      <c r="AF713" s="27"/>
      <c r="AG713" s="17">
        <f t="shared" si="439"/>
        <v>0</v>
      </c>
      <c r="AH713" s="28">
        <f t="shared" si="440"/>
        <v>0</v>
      </c>
      <c r="AI713" s="17">
        <f t="shared" si="441"/>
        <v>0</v>
      </c>
      <c r="AJ713" s="28">
        <f t="shared" si="442"/>
        <v>0</v>
      </c>
      <c r="AK713" s="17">
        <f t="shared" ref="AK713:AK768" si="450">+N713+O713+G713</f>
        <v>0</v>
      </c>
      <c r="AL713" s="28">
        <f t="shared" si="443"/>
        <v>0</v>
      </c>
      <c r="AM713" s="17">
        <f t="shared" si="427"/>
        <v>0</v>
      </c>
      <c r="AN713" s="28">
        <f t="shared" si="435"/>
        <v>0</v>
      </c>
      <c r="AO713" s="17">
        <f t="shared" si="428"/>
        <v>0</v>
      </c>
      <c r="AP713" s="28">
        <f t="shared" si="429"/>
        <v>0</v>
      </c>
      <c r="AQ713" s="17">
        <f t="shared" si="430"/>
        <v>0</v>
      </c>
      <c r="AR713" s="28">
        <f t="shared" si="431"/>
        <v>0</v>
      </c>
      <c r="AS713" s="17">
        <f t="shared" si="423"/>
        <v>0</v>
      </c>
      <c r="AT713" s="28">
        <f t="shared" si="424"/>
        <v>0</v>
      </c>
      <c r="AU713" s="17">
        <f t="shared" si="425"/>
        <v>0</v>
      </c>
      <c r="AV713" s="28">
        <f t="shared" si="426"/>
        <v>0</v>
      </c>
      <c r="AW713" s="17">
        <f t="shared" si="444"/>
        <v>0</v>
      </c>
      <c r="AX713" s="28">
        <f t="shared" si="445"/>
        <v>0</v>
      </c>
      <c r="AY713" s="17">
        <f t="shared" si="446"/>
        <v>0</v>
      </c>
      <c r="AZ713" s="28">
        <f t="shared" si="447"/>
        <v>0</v>
      </c>
      <c r="BA713" s="27">
        <f t="shared" si="437"/>
        <v>0</v>
      </c>
      <c r="BB713" s="27">
        <f t="shared" si="449"/>
        <v>0</v>
      </c>
      <c r="BC713" s="27">
        <f t="shared" ref="BC713:BC776" si="451">+AP713+AR713</f>
        <v>0</v>
      </c>
      <c r="BD713" s="27">
        <f t="shared" ref="BD713:BD776" si="452">+AT713+AV713</f>
        <v>0</v>
      </c>
      <c r="BE713" s="27">
        <f t="shared" ref="BE713:BE776" si="453">+AX713+AZ713</f>
        <v>0</v>
      </c>
      <c r="BF713" s="29">
        <f t="shared" si="436"/>
        <v>0</v>
      </c>
      <c r="BH713" s="30">
        <f t="shared" si="448"/>
        <v>0</v>
      </c>
      <c r="BM713" s="2">
        <f t="shared" si="432"/>
        <v>0</v>
      </c>
      <c r="BP713" s="2">
        <f t="shared" si="433"/>
        <v>0</v>
      </c>
    </row>
    <row r="714" spans="1:68" ht="14.45" hidden="1" customHeight="1" x14ac:dyDescent="0.25">
      <c r="A714" s="33" t="s">
        <v>725</v>
      </c>
      <c r="B714" s="23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13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5"/>
      <c r="AD714" s="25">
        <f t="shared" si="438"/>
        <v>0</v>
      </c>
      <c r="AE714" s="26" t="s">
        <v>42</v>
      </c>
      <c r="AF714" s="27"/>
      <c r="AG714" s="17">
        <f t="shared" si="439"/>
        <v>0</v>
      </c>
      <c r="AH714" s="28">
        <f t="shared" si="440"/>
        <v>0</v>
      </c>
      <c r="AI714" s="17">
        <f t="shared" si="441"/>
        <v>0</v>
      </c>
      <c r="AJ714" s="28">
        <f t="shared" si="442"/>
        <v>0</v>
      </c>
      <c r="AK714" s="17">
        <f t="shared" si="450"/>
        <v>0</v>
      </c>
      <c r="AL714" s="28">
        <f t="shared" si="443"/>
        <v>0</v>
      </c>
      <c r="AM714" s="17">
        <f t="shared" si="427"/>
        <v>0</v>
      </c>
      <c r="AN714" s="28">
        <f t="shared" si="435"/>
        <v>0</v>
      </c>
      <c r="AO714" s="17">
        <f t="shared" si="428"/>
        <v>0</v>
      </c>
      <c r="AP714" s="28">
        <f t="shared" si="429"/>
        <v>0</v>
      </c>
      <c r="AQ714" s="17">
        <f t="shared" si="430"/>
        <v>0</v>
      </c>
      <c r="AR714" s="28">
        <f t="shared" si="431"/>
        <v>0</v>
      </c>
      <c r="AS714" s="17">
        <f t="shared" ref="AS714:AS777" si="454">+C714</f>
        <v>0</v>
      </c>
      <c r="AT714" s="28">
        <f t="shared" ref="AT714:AT777" si="455">+AS714*AF714</f>
        <v>0</v>
      </c>
      <c r="AU714" s="17">
        <f t="shared" ref="AU714:AU777" si="456">+Q714</f>
        <v>0</v>
      </c>
      <c r="AV714" s="28">
        <f t="shared" ref="AV714:AV777" si="457">+AU714*AF714</f>
        <v>0</v>
      </c>
      <c r="AW714" s="17">
        <f t="shared" si="444"/>
        <v>0</v>
      </c>
      <c r="AX714" s="28">
        <f t="shared" si="445"/>
        <v>0</v>
      </c>
      <c r="AY714" s="17">
        <f t="shared" si="446"/>
        <v>0</v>
      </c>
      <c r="AZ714" s="28">
        <f t="shared" si="447"/>
        <v>0</v>
      </c>
      <c r="BA714" s="27">
        <f t="shared" si="437"/>
        <v>0</v>
      </c>
      <c r="BB714" s="27">
        <f t="shared" si="449"/>
        <v>0</v>
      </c>
      <c r="BC714" s="27">
        <f t="shared" si="451"/>
        <v>0</v>
      </c>
      <c r="BD714" s="27">
        <f t="shared" si="452"/>
        <v>0</v>
      </c>
      <c r="BE714" s="27">
        <f t="shared" si="453"/>
        <v>0</v>
      </c>
      <c r="BF714" s="29">
        <f t="shared" si="436"/>
        <v>0</v>
      </c>
      <c r="BH714" s="30">
        <f t="shared" si="448"/>
        <v>0</v>
      </c>
      <c r="BM714" s="2">
        <f t="shared" si="432"/>
        <v>0</v>
      </c>
      <c r="BP714" s="2">
        <f t="shared" si="433"/>
        <v>0</v>
      </c>
    </row>
    <row r="715" spans="1:68" ht="14.45" hidden="1" customHeight="1" x14ac:dyDescent="0.25">
      <c r="A715" s="33" t="s">
        <v>726</v>
      </c>
      <c r="B715" s="23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13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5"/>
      <c r="AD715" s="25">
        <f t="shared" si="438"/>
        <v>0</v>
      </c>
      <c r="AE715" s="26" t="s">
        <v>42</v>
      </c>
      <c r="AF715" s="27"/>
      <c r="AG715" s="17">
        <f t="shared" si="439"/>
        <v>0</v>
      </c>
      <c r="AH715" s="28">
        <f t="shared" si="440"/>
        <v>0</v>
      </c>
      <c r="AI715" s="17">
        <f t="shared" si="441"/>
        <v>0</v>
      </c>
      <c r="AJ715" s="28">
        <f t="shared" si="442"/>
        <v>0</v>
      </c>
      <c r="AK715" s="17">
        <f t="shared" si="450"/>
        <v>0</v>
      </c>
      <c r="AL715" s="28">
        <f t="shared" si="443"/>
        <v>0</v>
      </c>
      <c r="AM715" s="17">
        <f t="shared" ref="AM715:AM768" si="458">+AA715+AB715+U715</f>
        <v>0</v>
      </c>
      <c r="AN715" s="28">
        <f t="shared" si="435"/>
        <v>0</v>
      </c>
      <c r="AO715" s="17">
        <f t="shared" si="428"/>
        <v>0</v>
      </c>
      <c r="AP715" s="28">
        <f t="shared" si="429"/>
        <v>0</v>
      </c>
      <c r="AQ715" s="17">
        <f t="shared" si="430"/>
        <v>0</v>
      </c>
      <c r="AR715" s="28">
        <f t="shared" si="431"/>
        <v>0</v>
      </c>
      <c r="AS715" s="17">
        <f t="shared" si="454"/>
        <v>0</v>
      </c>
      <c r="AT715" s="28">
        <f t="shared" si="455"/>
        <v>0</v>
      </c>
      <c r="AU715" s="17">
        <f t="shared" si="456"/>
        <v>0</v>
      </c>
      <c r="AV715" s="28">
        <f t="shared" si="457"/>
        <v>0</v>
      </c>
      <c r="AW715" s="17">
        <f t="shared" si="444"/>
        <v>0</v>
      </c>
      <c r="AX715" s="28">
        <f t="shared" si="445"/>
        <v>0</v>
      </c>
      <c r="AY715" s="17">
        <f t="shared" si="446"/>
        <v>0</v>
      </c>
      <c r="AZ715" s="28">
        <f t="shared" si="447"/>
        <v>0</v>
      </c>
      <c r="BA715" s="27">
        <f t="shared" si="437"/>
        <v>0</v>
      </c>
      <c r="BB715" s="27">
        <f t="shared" si="449"/>
        <v>0</v>
      </c>
      <c r="BC715" s="27">
        <f t="shared" si="451"/>
        <v>0</v>
      </c>
      <c r="BD715" s="27">
        <f t="shared" si="452"/>
        <v>0</v>
      </c>
      <c r="BE715" s="27">
        <f t="shared" si="453"/>
        <v>0</v>
      </c>
      <c r="BF715" s="29">
        <f t="shared" si="436"/>
        <v>0</v>
      </c>
      <c r="BH715" s="30">
        <f t="shared" si="448"/>
        <v>0</v>
      </c>
      <c r="BM715" s="2">
        <f t="shared" si="432"/>
        <v>0</v>
      </c>
      <c r="BP715" s="2">
        <f t="shared" si="433"/>
        <v>0</v>
      </c>
    </row>
    <row r="716" spans="1:68" ht="14.45" hidden="1" customHeight="1" x14ac:dyDescent="0.25">
      <c r="A716" s="33" t="s">
        <v>727</v>
      </c>
      <c r="B716" s="23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13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5"/>
      <c r="AD716" s="25">
        <f t="shared" si="438"/>
        <v>0</v>
      </c>
      <c r="AE716" s="26" t="s">
        <v>42</v>
      </c>
      <c r="AF716" s="27"/>
      <c r="AG716" s="17">
        <f t="shared" si="439"/>
        <v>0</v>
      </c>
      <c r="AH716" s="28">
        <f t="shared" si="440"/>
        <v>0</v>
      </c>
      <c r="AI716" s="17">
        <f t="shared" si="441"/>
        <v>0</v>
      </c>
      <c r="AJ716" s="28">
        <f t="shared" si="442"/>
        <v>0</v>
      </c>
      <c r="AK716" s="17">
        <f t="shared" si="450"/>
        <v>0</v>
      </c>
      <c r="AL716" s="28">
        <f t="shared" si="443"/>
        <v>0</v>
      </c>
      <c r="AM716" s="17">
        <f t="shared" si="458"/>
        <v>0</v>
      </c>
      <c r="AN716" s="28">
        <f t="shared" si="435"/>
        <v>0</v>
      </c>
      <c r="AO716" s="17">
        <f t="shared" si="428"/>
        <v>0</v>
      </c>
      <c r="AP716" s="28">
        <f t="shared" si="429"/>
        <v>0</v>
      </c>
      <c r="AQ716" s="17">
        <f t="shared" si="430"/>
        <v>0</v>
      </c>
      <c r="AR716" s="28">
        <f t="shared" si="431"/>
        <v>0</v>
      </c>
      <c r="AS716" s="17">
        <f t="shared" si="454"/>
        <v>0</v>
      </c>
      <c r="AT716" s="28">
        <f t="shared" si="455"/>
        <v>0</v>
      </c>
      <c r="AU716" s="17">
        <f t="shared" si="456"/>
        <v>0</v>
      </c>
      <c r="AV716" s="28">
        <f t="shared" si="457"/>
        <v>0</v>
      </c>
      <c r="AW716" s="17">
        <f t="shared" si="444"/>
        <v>0</v>
      </c>
      <c r="AX716" s="28">
        <f t="shared" si="445"/>
        <v>0</v>
      </c>
      <c r="AY716" s="17">
        <f t="shared" si="446"/>
        <v>0</v>
      </c>
      <c r="AZ716" s="28">
        <f t="shared" si="447"/>
        <v>0</v>
      </c>
      <c r="BA716" s="27">
        <f t="shared" si="437"/>
        <v>0</v>
      </c>
      <c r="BB716" s="27">
        <f t="shared" si="449"/>
        <v>0</v>
      </c>
      <c r="BC716" s="27">
        <f t="shared" si="451"/>
        <v>0</v>
      </c>
      <c r="BD716" s="27">
        <f t="shared" si="452"/>
        <v>0</v>
      </c>
      <c r="BE716" s="27">
        <f t="shared" si="453"/>
        <v>0</v>
      </c>
      <c r="BF716" s="29">
        <f t="shared" si="436"/>
        <v>0</v>
      </c>
      <c r="BH716" s="30">
        <f t="shared" si="448"/>
        <v>0</v>
      </c>
      <c r="BM716" s="2">
        <f t="shared" si="432"/>
        <v>0</v>
      </c>
      <c r="BP716" s="2">
        <f t="shared" si="433"/>
        <v>0</v>
      </c>
    </row>
    <row r="717" spans="1:68" ht="14.45" hidden="1" customHeight="1" x14ac:dyDescent="0.25">
      <c r="A717" s="33" t="s">
        <v>728</v>
      </c>
      <c r="B717" s="23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13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5"/>
      <c r="AD717" s="25">
        <f t="shared" si="438"/>
        <v>0</v>
      </c>
      <c r="AE717" s="26" t="s">
        <v>42</v>
      </c>
      <c r="AF717" s="27"/>
      <c r="AG717" s="17">
        <f t="shared" si="439"/>
        <v>0</v>
      </c>
      <c r="AH717" s="28">
        <f t="shared" si="440"/>
        <v>0</v>
      </c>
      <c r="AI717" s="17">
        <f t="shared" si="441"/>
        <v>0</v>
      </c>
      <c r="AJ717" s="28">
        <f t="shared" si="442"/>
        <v>0</v>
      </c>
      <c r="AK717" s="17">
        <f t="shared" si="450"/>
        <v>0</v>
      </c>
      <c r="AL717" s="28">
        <f t="shared" si="443"/>
        <v>0</v>
      </c>
      <c r="AM717" s="17">
        <f t="shared" si="458"/>
        <v>0</v>
      </c>
      <c r="AN717" s="28">
        <f t="shared" si="435"/>
        <v>0</v>
      </c>
      <c r="AO717" s="17">
        <f t="shared" si="428"/>
        <v>0</v>
      </c>
      <c r="AP717" s="28">
        <f t="shared" si="429"/>
        <v>0</v>
      </c>
      <c r="AQ717" s="17">
        <f t="shared" si="430"/>
        <v>0</v>
      </c>
      <c r="AR717" s="28">
        <f t="shared" si="431"/>
        <v>0</v>
      </c>
      <c r="AS717" s="17">
        <f t="shared" si="454"/>
        <v>0</v>
      </c>
      <c r="AT717" s="28">
        <f t="shared" si="455"/>
        <v>0</v>
      </c>
      <c r="AU717" s="17">
        <f t="shared" si="456"/>
        <v>0</v>
      </c>
      <c r="AV717" s="28">
        <f t="shared" si="457"/>
        <v>0</v>
      </c>
      <c r="AW717" s="17">
        <f t="shared" si="444"/>
        <v>0</v>
      </c>
      <c r="AX717" s="28">
        <f t="shared" si="445"/>
        <v>0</v>
      </c>
      <c r="AY717" s="17">
        <f t="shared" si="446"/>
        <v>0</v>
      </c>
      <c r="AZ717" s="28">
        <f t="shared" si="447"/>
        <v>0</v>
      </c>
      <c r="BA717" s="27">
        <f t="shared" si="437"/>
        <v>0</v>
      </c>
      <c r="BB717" s="27">
        <f t="shared" si="449"/>
        <v>0</v>
      </c>
      <c r="BC717" s="27">
        <f t="shared" si="451"/>
        <v>0</v>
      </c>
      <c r="BD717" s="27">
        <f t="shared" si="452"/>
        <v>0</v>
      </c>
      <c r="BE717" s="27">
        <f t="shared" si="453"/>
        <v>0</v>
      </c>
      <c r="BF717" s="29">
        <f t="shared" si="436"/>
        <v>0</v>
      </c>
      <c r="BH717" s="30">
        <f t="shared" si="448"/>
        <v>0</v>
      </c>
      <c r="BM717" s="2">
        <f t="shared" si="432"/>
        <v>0</v>
      </c>
      <c r="BP717" s="2">
        <f t="shared" si="433"/>
        <v>0</v>
      </c>
    </row>
    <row r="718" spans="1:68" ht="14.45" hidden="1" customHeight="1" x14ac:dyDescent="0.25">
      <c r="A718" s="33" t="s">
        <v>729</v>
      </c>
      <c r="B718" s="23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13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5"/>
      <c r="AD718" s="25">
        <f t="shared" si="438"/>
        <v>0</v>
      </c>
      <c r="AE718" s="26" t="s">
        <v>42</v>
      </c>
      <c r="AF718" s="27"/>
      <c r="AG718" s="17">
        <f t="shared" si="439"/>
        <v>0</v>
      </c>
      <c r="AH718" s="28">
        <f t="shared" si="440"/>
        <v>0</v>
      </c>
      <c r="AI718" s="17">
        <f t="shared" si="441"/>
        <v>0</v>
      </c>
      <c r="AJ718" s="28">
        <f t="shared" si="442"/>
        <v>0</v>
      </c>
      <c r="AK718" s="17">
        <f t="shared" si="450"/>
        <v>0</v>
      </c>
      <c r="AL718" s="28">
        <f t="shared" si="443"/>
        <v>0</v>
      </c>
      <c r="AM718" s="17">
        <f t="shared" si="458"/>
        <v>0</v>
      </c>
      <c r="AN718" s="28">
        <f t="shared" si="435"/>
        <v>0</v>
      </c>
      <c r="AO718" s="17">
        <f t="shared" si="428"/>
        <v>0</v>
      </c>
      <c r="AP718" s="28">
        <f t="shared" si="429"/>
        <v>0</v>
      </c>
      <c r="AQ718" s="17">
        <f t="shared" si="430"/>
        <v>0</v>
      </c>
      <c r="AR718" s="28">
        <f t="shared" si="431"/>
        <v>0</v>
      </c>
      <c r="AS718" s="17">
        <f t="shared" si="454"/>
        <v>0</v>
      </c>
      <c r="AT718" s="28">
        <f t="shared" si="455"/>
        <v>0</v>
      </c>
      <c r="AU718" s="17">
        <f t="shared" si="456"/>
        <v>0</v>
      </c>
      <c r="AV718" s="28">
        <f t="shared" si="457"/>
        <v>0</v>
      </c>
      <c r="AW718" s="17">
        <f t="shared" si="444"/>
        <v>0</v>
      </c>
      <c r="AX718" s="28">
        <f t="shared" si="445"/>
        <v>0</v>
      </c>
      <c r="AY718" s="17">
        <f t="shared" si="446"/>
        <v>0</v>
      </c>
      <c r="AZ718" s="28">
        <f t="shared" si="447"/>
        <v>0</v>
      </c>
      <c r="BA718" s="27">
        <f t="shared" si="437"/>
        <v>0</v>
      </c>
      <c r="BB718" s="27">
        <f t="shared" si="449"/>
        <v>0</v>
      </c>
      <c r="BC718" s="27">
        <f t="shared" si="451"/>
        <v>0</v>
      </c>
      <c r="BD718" s="27">
        <f t="shared" si="452"/>
        <v>0</v>
      </c>
      <c r="BE718" s="27">
        <f t="shared" si="453"/>
        <v>0</v>
      </c>
      <c r="BF718" s="29">
        <f t="shared" si="436"/>
        <v>0</v>
      </c>
      <c r="BH718" s="30">
        <f t="shared" si="448"/>
        <v>0</v>
      </c>
      <c r="BM718" s="2">
        <f t="shared" si="432"/>
        <v>0</v>
      </c>
      <c r="BP718" s="2">
        <f t="shared" si="433"/>
        <v>0</v>
      </c>
    </row>
    <row r="719" spans="1:68" ht="14.45" hidden="1" customHeight="1" x14ac:dyDescent="0.25">
      <c r="A719" s="33" t="s">
        <v>730</v>
      </c>
      <c r="B719" s="23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13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5"/>
      <c r="AD719" s="25">
        <f t="shared" si="438"/>
        <v>0</v>
      </c>
      <c r="AE719" s="26" t="s">
        <v>42</v>
      </c>
      <c r="AF719" s="27"/>
      <c r="AG719" s="17">
        <f t="shared" si="439"/>
        <v>0</v>
      </c>
      <c r="AH719" s="28">
        <f t="shared" si="440"/>
        <v>0</v>
      </c>
      <c r="AI719" s="17">
        <f t="shared" si="441"/>
        <v>0</v>
      </c>
      <c r="AJ719" s="28">
        <f t="shared" si="442"/>
        <v>0</v>
      </c>
      <c r="AK719" s="17">
        <f t="shared" si="450"/>
        <v>0</v>
      </c>
      <c r="AL719" s="28">
        <f t="shared" si="443"/>
        <v>0</v>
      </c>
      <c r="AM719" s="17">
        <f t="shared" si="458"/>
        <v>0</v>
      </c>
      <c r="AN719" s="28">
        <f t="shared" si="435"/>
        <v>0</v>
      </c>
      <c r="AO719" s="17">
        <f t="shared" si="428"/>
        <v>0</v>
      </c>
      <c r="AP719" s="28">
        <f t="shared" si="429"/>
        <v>0</v>
      </c>
      <c r="AQ719" s="17">
        <f t="shared" si="430"/>
        <v>0</v>
      </c>
      <c r="AR719" s="28">
        <f t="shared" si="431"/>
        <v>0</v>
      </c>
      <c r="AS719" s="17">
        <f t="shared" si="454"/>
        <v>0</v>
      </c>
      <c r="AT719" s="28">
        <f t="shared" si="455"/>
        <v>0</v>
      </c>
      <c r="AU719" s="17">
        <f t="shared" si="456"/>
        <v>0</v>
      </c>
      <c r="AV719" s="28">
        <f t="shared" si="457"/>
        <v>0</v>
      </c>
      <c r="AW719" s="17">
        <f t="shared" si="444"/>
        <v>0</v>
      </c>
      <c r="AX719" s="28">
        <f t="shared" si="445"/>
        <v>0</v>
      </c>
      <c r="AY719" s="17">
        <f t="shared" si="446"/>
        <v>0</v>
      </c>
      <c r="AZ719" s="28">
        <f t="shared" si="447"/>
        <v>0</v>
      </c>
      <c r="BA719" s="27">
        <f t="shared" si="437"/>
        <v>0</v>
      </c>
      <c r="BB719" s="27">
        <f t="shared" si="449"/>
        <v>0</v>
      </c>
      <c r="BC719" s="27">
        <f t="shared" si="451"/>
        <v>0</v>
      </c>
      <c r="BD719" s="27">
        <f t="shared" si="452"/>
        <v>0</v>
      </c>
      <c r="BE719" s="27">
        <f t="shared" si="453"/>
        <v>0</v>
      </c>
      <c r="BF719" s="29">
        <f t="shared" si="436"/>
        <v>0</v>
      </c>
      <c r="BH719" s="30">
        <f t="shared" si="448"/>
        <v>0</v>
      </c>
      <c r="BM719" s="2">
        <f t="shared" si="432"/>
        <v>0</v>
      </c>
      <c r="BP719" s="2">
        <f t="shared" si="433"/>
        <v>0</v>
      </c>
    </row>
    <row r="720" spans="1:68" ht="14.45" hidden="1" customHeight="1" x14ac:dyDescent="0.25">
      <c r="A720" s="33" t="s">
        <v>731</v>
      </c>
      <c r="B720" s="23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13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5"/>
      <c r="AD720" s="25">
        <f t="shared" si="438"/>
        <v>0</v>
      </c>
      <c r="AE720" s="26" t="s">
        <v>42</v>
      </c>
      <c r="AF720" s="27"/>
      <c r="AG720" s="17">
        <f t="shared" si="439"/>
        <v>0</v>
      </c>
      <c r="AH720" s="28">
        <f t="shared" si="440"/>
        <v>0</v>
      </c>
      <c r="AI720" s="17">
        <f t="shared" si="441"/>
        <v>0</v>
      </c>
      <c r="AJ720" s="28">
        <f t="shared" si="442"/>
        <v>0</v>
      </c>
      <c r="AK720" s="17">
        <f t="shared" si="450"/>
        <v>0</v>
      </c>
      <c r="AL720" s="28">
        <f t="shared" si="443"/>
        <v>0</v>
      </c>
      <c r="AM720" s="17">
        <f t="shared" si="458"/>
        <v>0</v>
      </c>
      <c r="AN720" s="28">
        <f t="shared" si="435"/>
        <v>0</v>
      </c>
      <c r="AO720" s="17">
        <f t="shared" si="428"/>
        <v>0</v>
      </c>
      <c r="AP720" s="28">
        <f t="shared" si="429"/>
        <v>0</v>
      </c>
      <c r="AQ720" s="17">
        <f t="shared" si="430"/>
        <v>0</v>
      </c>
      <c r="AR720" s="28">
        <f t="shared" si="431"/>
        <v>0</v>
      </c>
      <c r="AS720" s="17">
        <f t="shared" si="454"/>
        <v>0</v>
      </c>
      <c r="AT720" s="28">
        <f t="shared" si="455"/>
        <v>0</v>
      </c>
      <c r="AU720" s="17">
        <f t="shared" si="456"/>
        <v>0</v>
      </c>
      <c r="AV720" s="28">
        <f t="shared" si="457"/>
        <v>0</v>
      </c>
      <c r="AW720" s="17">
        <f t="shared" si="444"/>
        <v>0</v>
      </c>
      <c r="AX720" s="28">
        <f t="shared" si="445"/>
        <v>0</v>
      </c>
      <c r="AY720" s="17">
        <f t="shared" si="446"/>
        <v>0</v>
      </c>
      <c r="AZ720" s="28">
        <f t="shared" si="447"/>
        <v>0</v>
      </c>
      <c r="BA720" s="27">
        <f t="shared" si="437"/>
        <v>0</v>
      </c>
      <c r="BB720" s="27">
        <f t="shared" si="449"/>
        <v>0</v>
      </c>
      <c r="BC720" s="27">
        <f t="shared" si="451"/>
        <v>0</v>
      </c>
      <c r="BD720" s="27">
        <f t="shared" si="452"/>
        <v>0</v>
      </c>
      <c r="BE720" s="27">
        <f t="shared" si="453"/>
        <v>0</v>
      </c>
      <c r="BF720" s="29">
        <f t="shared" si="436"/>
        <v>0</v>
      </c>
      <c r="BH720" s="30">
        <f t="shared" si="448"/>
        <v>0</v>
      </c>
      <c r="BM720" s="2">
        <f t="shared" si="432"/>
        <v>0</v>
      </c>
      <c r="BP720" s="2">
        <f t="shared" si="433"/>
        <v>0</v>
      </c>
    </row>
    <row r="721" spans="1:68" ht="14.45" customHeight="1" x14ac:dyDescent="0.25">
      <c r="A721" s="33" t="s">
        <v>731</v>
      </c>
      <c r="B721" s="23"/>
      <c r="C721" s="24"/>
      <c r="D721" s="24">
        <v>3</v>
      </c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13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5"/>
      <c r="AD721" s="25"/>
      <c r="AE721" s="26"/>
      <c r="AF721" s="27"/>
      <c r="AG721" s="17">
        <f t="shared" si="439"/>
        <v>0</v>
      </c>
      <c r="AH721" s="28">
        <f t="shared" si="440"/>
        <v>0</v>
      </c>
      <c r="AI721" s="17">
        <f t="shared" si="441"/>
        <v>0</v>
      </c>
      <c r="AJ721" s="28">
        <f t="shared" si="442"/>
        <v>0</v>
      </c>
      <c r="AK721" s="17">
        <f t="shared" si="450"/>
        <v>0</v>
      </c>
      <c r="AL721" s="28">
        <f t="shared" si="443"/>
        <v>0</v>
      </c>
      <c r="AM721" s="17">
        <f t="shared" si="458"/>
        <v>0</v>
      </c>
      <c r="AN721" s="28">
        <f t="shared" si="435"/>
        <v>0</v>
      </c>
      <c r="AO721" s="17"/>
      <c r="AP721" s="28"/>
      <c r="AQ721" s="17"/>
      <c r="AR721" s="28"/>
      <c r="AS721" s="17">
        <f t="shared" si="454"/>
        <v>0</v>
      </c>
      <c r="AT721" s="28">
        <f t="shared" si="455"/>
        <v>0</v>
      </c>
      <c r="AU721" s="17">
        <f t="shared" si="456"/>
        <v>0</v>
      </c>
      <c r="AV721" s="28">
        <f t="shared" si="457"/>
        <v>0</v>
      </c>
      <c r="AW721" s="17">
        <f t="shared" si="444"/>
        <v>3</v>
      </c>
      <c r="AX721" s="28">
        <f t="shared" si="445"/>
        <v>0</v>
      </c>
      <c r="AY721" s="17">
        <f t="shared" si="446"/>
        <v>0</v>
      </c>
      <c r="AZ721" s="28">
        <f t="shared" si="447"/>
        <v>0</v>
      </c>
      <c r="BA721" s="27"/>
      <c r="BB721" s="27">
        <f t="shared" si="449"/>
        <v>0</v>
      </c>
      <c r="BC721" s="27">
        <f t="shared" si="451"/>
        <v>0</v>
      </c>
      <c r="BD721" s="27">
        <f t="shared" si="452"/>
        <v>0</v>
      </c>
      <c r="BE721" s="27">
        <f t="shared" si="453"/>
        <v>0</v>
      </c>
      <c r="BF721" s="29">
        <f t="shared" si="436"/>
        <v>0</v>
      </c>
      <c r="BH721" s="30">
        <f t="shared" si="448"/>
        <v>0</v>
      </c>
    </row>
    <row r="722" spans="1:68" x14ac:dyDescent="0.25">
      <c r="A722" s="33" t="s">
        <v>732</v>
      </c>
      <c r="B722" s="23"/>
      <c r="C722" s="24"/>
      <c r="D722" s="24">
        <v>3</v>
      </c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13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5"/>
      <c r="AD722" s="25">
        <f t="shared" si="438"/>
        <v>3</v>
      </c>
      <c r="AE722" s="26" t="s">
        <v>42</v>
      </c>
      <c r="AF722" s="27">
        <v>25000</v>
      </c>
      <c r="AG722" s="17">
        <f t="shared" si="439"/>
        <v>0</v>
      </c>
      <c r="AH722" s="28">
        <f t="shared" si="440"/>
        <v>0</v>
      </c>
      <c r="AI722" s="17">
        <f t="shared" si="441"/>
        <v>0</v>
      </c>
      <c r="AJ722" s="28">
        <f t="shared" si="442"/>
        <v>0</v>
      </c>
      <c r="AK722" s="17">
        <f t="shared" si="450"/>
        <v>0</v>
      </c>
      <c r="AL722" s="28">
        <f t="shared" si="443"/>
        <v>0</v>
      </c>
      <c r="AM722" s="17">
        <f t="shared" si="458"/>
        <v>0</v>
      </c>
      <c r="AN722" s="28">
        <f t="shared" si="435"/>
        <v>0</v>
      </c>
      <c r="AO722" s="17">
        <f>+B722</f>
        <v>0</v>
      </c>
      <c r="AP722" s="28">
        <f>+AO722*AF722</f>
        <v>0</v>
      </c>
      <c r="AQ722" s="17">
        <f>+P722</f>
        <v>0</v>
      </c>
      <c r="AR722" s="28">
        <f>+AQ722*AF722</f>
        <v>0</v>
      </c>
      <c r="AS722" s="17">
        <f t="shared" si="454"/>
        <v>0</v>
      </c>
      <c r="AT722" s="28">
        <f t="shared" si="455"/>
        <v>0</v>
      </c>
      <c r="AU722" s="17">
        <f t="shared" si="456"/>
        <v>0</v>
      </c>
      <c r="AV722" s="28">
        <f t="shared" si="457"/>
        <v>0</v>
      </c>
      <c r="AW722" s="17">
        <f t="shared" si="444"/>
        <v>3</v>
      </c>
      <c r="AX722" s="28">
        <f t="shared" si="445"/>
        <v>75000</v>
      </c>
      <c r="AY722" s="17">
        <f t="shared" si="446"/>
        <v>0</v>
      </c>
      <c r="AZ722" s="28">
        <f t="shared" si="447"/>
        <v>0</v>
      </c>
      <c r="BA722" s="27">
        <f t="shared" si="437"/>
        <v>0</v>
      </c>
      <c r="BB722" s="27">
        <f t="shared" si="449"/>
        <v>0</v>
      </c>
      <c r="BC722" s="27">
        <f t="shared" si="451"/>
        <v>0</v>
      </c>
      <c r="BD722" s="27">
        <f t="shared" si="452"/>
        <v>0</v>
      </c>
      <c r="BE722" s="27">
        <f t="shared" si="453"/>
        <v>75000</v>
      </c>
      <c r="BF722" s="29">
        <f t="shared" si="436"/>
        <v>0</v>
      </c>
      <c r="BH722" s="30">
        <f t="shared" si="448"/>
        <v>0</v>
      </c>
      <c r="BM722" s="2">
        <f>SUM(B722:S722)</f>
        <v>3</v>
      </c>
      <c r="BP722" s="2">
        <f>SUM(B722:S722)</f>
        <v>3</v>
      </c>
    </row>
    <row r="723" spans="1:68" ht="14.45" hidden="1" customHeight="1" x14ac:dyDescent="0.25">
      <c r="A723" s="33" t="s">
        <v>733</v>
      </c>
      <c r="B723" s="23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13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5"/>
      <c r="AD723" s="25">
        <f t="shared" si="438"/>
        <v>0</v>
      </c>
      <c r="AE723" s="26" t="s">
        <v>42</v>
      </c>
      <c r="AF723" s="27"/>
      <c r="AG723" s="17">
        <f t="shared" si="439"/>
        <v>0</v>
      </c>
      <c r="AH723" s="28">
        <f t="shared" si="440"/>
        <v>0</v>
      </c>
      <c r="AI723" s="17">
        <f t="shared" si="441"/>
        <v>0</v>
      </c>
      <c r="AJ723" s="28">
        <f t="shared" si="442"/>
        <v>0</v>
      </c>
      <c r="AK723" s="17">
        <f t="shared" si="450"/>
        <v>0</v>
      </c>
      <c r="AL723" s="28">
        <f t="shared" si="443"/>
        <v>0</v>
      </c>
      <c r="AM723" s="17">
        <f t="shared" si="458"/>
        <v>0</v>
      </c>
      <c r="AN723" s="28">
        <f t="shared" si="435"/>
        <v>0</v>
      </c>
      <c r="AO723" s="17">
        <f>+B723</f>
        <v>0</v>
      </c>
      <c r="AP723" s="28">
        <f>+AO723*AF723</f>
        <v>0</v>
      </c>
      <c r="AQ723" s="17">
        <f>+P723</f>
        <v>0</v>
      </c>
      <c r="AR723" s="28">
        <f>+AQ723*AF723</f>
        <v>0</v>
      </c>
      <c r="AS723" s="17">
        <f t="shared" si="454"/>
        <v>0</v>
      </c>
      <c r="AT723" s="28">
        <f t="shared" si="455"/>
        <v>0</v>
      </c>
      <c r="AU723" s="17">
        <f t="shared" si="456"/>
        <v>0</v>
      </c>
      <c r="AV723" s="28">
        <f t="shared" si="457"/>
        <v>0</v>
      </c>
      <c r="AW723" s="17">
        <f t="shared" si="444"/>
        <v>0</v>
      </c>
      <c r="AX723" s="28">
        <f t="shared" si="445"/>
        <v>0</v>
      </c>
      <c r="AY723" s="17">
        <f t="shared" si="446"/>
        <v>0</v>
      </c>
      <c r="AZ723" s="28">
        <f t="shared" si="447"/>
        <v>0</v>
      </c>
      <c r="BA723" s="27">
        <f t="shared" si="437"/>
        <v>0</v>
      </c>
      <c r="BB723" s="27">
        <f t="shared" si="449"/>
        <v>0</v>
      </c>
      <c r="BC723" s="27">
        <f t="shared" si="451"/>
        <v>0</v>
      </c>
      <c r="BD723" s="27">
        <f t="shared" si="452"/>
        <v>0</v>
      </c>
      <c r="BE723" s="27">
        <f t="shared" si="453"/>
        <v>0</v>
      </c>
      <c r="BF723" s="29">
        <f t="shared" si="436"/>
        <v>0</v>
      </c>
      <c r="BH723" s="30">
        <f t="shared" si="448"/>
        <v>0</v>
      </c>
      <c r="BM723" s="2">
        <f>SUM(B723:S723)</f>
        <v>0</v>
      </c>
      <c r="BP723" s="2">
        <f>SUM(B723:S723)</f>
        <v>0</v>
      </c>
    </row>
    <row r="724" spans="1:68" ht="14.45" hidden="1" customHeight="1" x14ac:dyDescent="0.25">
      <c r="A724" s="33" t="s">
        <v>733</v>
      </c>
      <c r="B724" s="23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13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5"/>
      <c r="AD724" s="25">
        <f t="shared" si="438"/>
        <v>0</v>
      </c>
      <c r="AE724" s="26" t="s">
        <v>42</v>
      </c>
      <c r="AF724" s="27"/>
      <c r="AG724" s="17">
        <f t="shared" si="439"/>
        <v>0</v>
      </c>
      <c r="AH724" s="28">
        <f t="shared" si="440"/>
        <v>0</v>
      </c>
      <c r="AI724" s="17">
        <f t="shared" si="441"/>
        <v>0</v>
      </c>
      <c r="AJ724" s="28">
        <f t="shared" si="442"/>
        <v>0</v>
      </c>
      <c r="AK724" s="17">
        <f t="shared" si="450"/>
        <v>0</v>
      </c>
      <c r="AL724" s="28">
        <f t="shared" si="443"/>
        <v>0</v>
      </c>
      <c r="AM724" s="17">
        <f t="shared" si="458"/>
        <v>0</v>
      </c>
      <c r="AN724" s="28">
        <f t="shared" si="435"/>
        <v>0</v>
      </c>
      <c r="AO724" s="17">
        <f>+B724</f>
        <v>0</v>
      </c>
      <c r="AP724" s="28">
        <f>+AO724*AF724</f>
        <v>0</v>
      </c>
      <c r="AQ724" s="17">
        <f>+P724</f>
        <v>0</v>
      </c>
      <c r="AR724" s="28">
        <f>+AQ724*AF724</f>
        <v>0</v>
      </c>
      <c r="AS724" s="17">
        <f t="shared" si="454"/>
        <v>0</v>
      </c>
      <c r="AT724" s="28">
        <f t="shared" si="455"/>
        <v>0</v>
      </c>
      <c r="AU724" s="17">
        <f t="shared" si="456"/>
        <v>0</v>
      </c>
      <c r="AV724" s="28">
        <f t="shared" si="457"/>
        <v>0</v>
      </c>
      <c r="AW724" s="17">
        <f t="shared" si="444"/>
        <v>0</v>
      </c>
      <c r="AX724" s="28">
        <f t="shared" si="445"/>
        <v>0</v>
      </c>
      <c r="AY724" s="17">
        <f t="shared" si="446"/>
        <v>0</v>
      </c>
      <c r="AZ724" s="28">
        <f t="shared" si="447"/>
        <v>0</v>
      </c>
      <c r="BA724" s="27">
        <f t="shared" si="437"/>
        <v>0</v>
      </c>
      <c r="BB724" s="27">
        <f t="shared" si="449"/>
        <v>0</v>
      </c>
      <c r="BC724" s="27">
        <f t="shared" si="451"/>
        <v>0</v>
      </c>
      <c r="BD724" s="27">
        <f t="shared" si="452"/>
        <v>0</v>
      </c>
      <c r="BE724" s="27">
        <f t="shared" si="453"/>
        <v>0</v>
      </c>
      <c r="BF724" s="29">
        <f t="shared" si="436"/>
        <v>0</v>
      </c>
      <c r="BH724" s="30">
        <f t="shared" si="448"/>
        <v>0</v>
      </c>
      <c r="BM724" s="2">
        <f>SUM(B724:S724)</f>
        <v>0</v>
      </c>
      <c r="BP724" s="2">
        <f>SUM(B724:S724)</f>
        <v>0</v>
      </c>
    </row>
    <row r="725" spans="1:68" ht="14.45" hidden="1" customHeight="1" x14ac:dyDescent="0.25">
      <c r="A725" s="33" t="s">
        <v>734</v>
      </c>
      <c r="B725" s="23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13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5"/>
      <c r="AD725" s="25">
        <f t="shared" si="438"/>
        <v>0</v>
      </c>
      <c r="AE725" s="26" t="s">
        <v>42</v>
      </c>
      <c r="AF725" s="27"/>
      <c r="AG725" s="17">
        <f t="shared" si="439"/>
        <v>0</v>
      </c>
      <c r="AH725" s="28">
        <f t="shared" si="440"/>
        <v>0</v>
      </c>
      <c r="AI725" s="17">
        <f t="shared" si="441"/>
        <v>0</v>
      </c>
      <c r="AJ725" s="28">
        <f t="shared" si="442"/>
        <v>0</v>
      </c>
      <c r="AK725" s="17">
        <f t="shared" si="450"/>
        <v>0</v>
      </c>
      <c r="AL725" s="28">
        <f t="shared" si="443"/>
        <v>0</v>
      </c>
      <c r="AM725" s="17">
        <f t="shared" si="458"/>
        <v>0</v>
      </c>
      <c r="AN725" s="28">
        <f t="shared" si="435"/>
        <v>0</v>
      </c>
      <c r="AO725" s="17">
        <f>+B725</f>
        <v>0</v>
      </c>
      <c r="AP725" s="28">
        <f>+AO725*AF725</f>
        <v>0</v>
      </c>
      <c r="AQ725" s="17">
        <f>+P725</f>
        <v>0</v>
      </c>
      <c r="AR725" s="28">
        <f>+AQ725*AF725</f>
        <v>0</v>
      </c>
      <c r="AS725" s="17">
        <f t="shared" si="454"/>
        <v>0</v>
      </c>
      <c r="AT725" s="28">
        <f t="shared" si="455"/>
        <v>0</v>
      </c>
      <c r="AU725" s="17">
        <f t="shared" si="456"/>
        <v>0</v>
      </c>
      <c r="AV725" s="28">
        <f t="shared" si="457"/>
        <v>0</v>
      </c>
      <c r="AW725" s="17">
        <f t="shared" si="444"/>
        <v>0</v>
      </c>
      <c r="AX725" s="28">
        <f t="shared" si="445"/>
        <v>0</v>
      </c>
      <c r="AY725" s="17">
        <f t="shared" si="446"/>
        <v>0</v>
      </c>
      <c r="AZ725" s="28">
        <f t="shared" si="447"/>
        <v>0</v>
      </c>
      <c r="BA725" s="27">
        <f t="shared" si="437"/>
        <v>0</v>
      </c>
      <c r="BB725" s="27">
        <f t="shared" si="449"/>
        <v>0</v>
      </c>
      <c r="BC725" s="27">
        <f t="shared" si="451"/>
        <v>0</v>
      </c>
      <c r="BD725" s="27">
        <f t="shared" si="452"/>
        <v>0</v>
      </c>
      <c r="BE725" s="27">
        <f t="shared" si="453"/>
        <v>0</v>
      </c>
      <c r="BF725" s="29">
        <f t="shared" si="436"/>
        <v>0</v>
      </c>
      <c r="BH725" s="30">
        <f t="shared" si="448"/>
        <v>0</v>
      </c>
      <c r="BM725" s="2">
        <f>SUM(B725:S725)</f>
        <v>0</v>
      </c>
      <c r="BP725" s="2">
        <f>SUM(B725:S725)</f>
        <v>0</v>
      </c>
    </row>
    <row r="726" spans="1:68" ht="14.45" customHeight="1" x14ac:dyDescent="0.25">
      <c r="A726" s="33" t="s">
        <v>735</v>
      </c>
      <c r="B726" s="23"/>
      <c r="C726" s="24"/>
      <c r="D726" s="24">
        <v>13</v>
      </c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13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5"/>
      <c r="AD726" s="39">
        <f t="shared" ref="AD726:AD727" si="459">SUM(B726:AB726)</f>
        <v>13</v>
      </c>
      <c r="AE726" s="26"/>
      <c r="AF726" s="27"/>
      <c r="AG726" s="17">
        <f t="shared" si="439"/>
        <v>0</v>
      </c>
      <c r="AH726" s="28">
        <f t="shared" si="440"/>
        <v>0</v>
      </c>
      <c r="AI726" s="17">
        <f t="shared" si="441"/>
        <v>0</v>
      </c>
      <c r="AJ726" s="28">
        <f t="shared" si="442"/>
        <v>0</v>
      </c>
      <c r="AK726" s="17">
        <f t="shared" si="450"/>
        <v>0</v>
      </c>
      <c r="AL726" s="28">
        <f t="shared" si="443"/>
        <v>0</v>
      </c>
      <c r="AM726" s="17">
        <f t="shared" si="458"/>
        <v>0</v>
      </c>
      <c r="AN726" s="28">
        <f t="shared" si="435"/>
        <v>0</v>
      </c>
      <c r="AO726" s="17"/>
      <c r="AP726" s="28"/>
      <c r="AQ726" s="17"/>
      <c r="AR726" s="28"/>
      <c r="AS726" s="17">
        <f t="shared" si="454"/>
        <v>0</v>
      </c>
      <c r="AT726" s="28">
        <f t="shared" si="455"/>
        <v>0</v>
      </c>
      <c r="AU726" s="17">
        <f t="shared" si="456"/>
        <v>0</v>
      </c>
      <c r="AV726" s="28">
        <f t="shared" si="457"/>
        <v>0</v>
      </c>
      <c r="AW726" s="17">
        <f t="shared" si="444"/>
        <v>13</v>
      </c>
      <c r="AX726" s="28">
        <f t="shared" si="445"/>
        <v>0</v>
      </c>
      <c r="AY726" s="17">
        <f t="shared" si="446"/>
        <v>0</v>
      </c>
      <c r="AZ726" s="28">
        <f t="shared" si="447"/>
        <v>0</v>
      </c>
      <c r="BA726" s="27"/>
      <c r="BB726" s="27">
        <f t="shared" si="449"/>
        <v>0</v>
      </c>
      <c r="BC726" s="27">
        <f t="shared" si="451"/>
        <v>0</v>
      </c>
      <c r="BD726" s="27">
        <f t="shared" si="452"/>
        <v>0</v>
      </c>
      <c r="BE726" s="27">
        <f t="shared" si="453"/>
        <v>0</v>
      </c>
      <c r="BF726" s="29">
        <f t="shared" si="436"/>
        <v>0</v>
      </c>
      <c r="BH726" s="30">
        <f t="shared" si="448"/>
        <v>0</v>
      </c>
    </row>
    <row r="727" spans="1:68" x14ac:dyDescent="0.25">
      <c r="A727" s="33" t="s">
        <v>736</v>
      </c>
      <c r="B727" s="23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13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>
        <v>24</v>
      </c>
      <c r="AC727" s="25"/>
      <c r="AD727" s="39">
        <f t="shared" si="459"/>
        <v>24</v>
      </c>
      <c r="AE727" s="26" t="s">
        <v>42</v>
      </c>
      <c r="AF727" s="34">
        <v>500000</v>
      </c>
      <c r="AG727" s="17">
        <f t="shared" si="439"/>
        <v>0</v>
      </c>
      <c r="AH727" s="28">
        <f t="shared" si="440"/>
        <v>0</v>
      </c>
      <c r="AI727" s="17">
        <f t="shared" si="441"/>
        <v>0</v>
      </c>
      <c r="AJ727" s="28">
        <f t="shared" si="442"/>
        <v>0</v>
      </c>
      <c r="AK727" s="17">
        <f t="shared" si="450"/>
        <v>0</v>
      </c>
      <c r="AL727" s="28">
        <f t="shared" si="443"/>
        <v>0</v>
      </c>
      <c r="AM727" s="17">
        <f t="shared" si="458"/>
        <v>24</v>
      </c>
      <c r="AN727" s="28">
        <f t="shared" si="435"/>
        <v>12000000</v>
      </c>
      <c r="AO727" s="17">
        <f t="shared" ref="AO727:AO736" si="460">+B727</f>
        <v>0</v>
      </c>
      <c r="AP727" s="28">
        <f>+AO727*AF727</f>
        <v>0</v>
      </c>
      <c r="AQ727" s="17">
        <f t="shared" ref="AQ727:AQ736" si="461">+P727</f>
        <v>0</v>
      </c>
      <c r="AR727" s="28">
        <f>+AQ727*AF727</f>
        <v>0</v>
      </c>
      <c r="AS727" s="17">
        <f t="shared" si="454"/>
        <v>0</v>
      </c>
      <c r="AT727" s="28">
        <f t="shared" si="455"/>
        <v>0</v>
      </c>
      <c r="AU727" s="17">
        <f t="shared" si="456"/>
        <v>0</v>
      </c>
      <c r="AV727" s="28">
        <f t="shared" si="457"/>
        <v>0</v>
      </c>
      <c r="AW727" s="17">
        <f t="shared" si="444"/>
        <v>0</v>
      </c>
      <c r="AX727" s="28">
        <f t="shared" si="445"/>
        <v>0</v>
      </c>
      <c r="AY727" s="17">
        <f t="shared" si="446"/>
        <v>0</v>
      </c>
      <c r="AZ727" s="28">
        <f t="shared" si="447"/>
        <v>0</v>
      </c>
      <c r="BA727" s="27">
        <f t="shared" si="437"/>
        <v>0</v>
      </c>
      <c r="BB727" s="27">
        <f t="shared" si="449"/>
        <v>12000000</v>
      </c>
      <c r="BC727" s="27">
        <f t="shared" si="451"/>
        <v>0</v>
      </c>
      <c r="BD727" s="27">
        <f t="shared" si="452"/>
        <v>0</v>
      </c>
      <c r="BE727" s="27">
        <f t="shared" si="453"/>
        <v>0</v>
      </c>
      <c r="BF727" s="29">
        <f t="shared" si="436"/>
        <v>12000000</v>
      </c>
      <c r="BH727" s="30">
        <f t="shared" si="448"/>
        <v>24</v>
      </c>
      <c r="BM727" s="2">
        <f>SUM(B727:S727)</f>
        <v>0</v>
      </c>
      <c r="BP727" s="2">
        <f>SUM(B727:S727)</f>
        <v>0</v>
      </c>
    </row>
    <row r="728" spans="1:68" ht="14.45" hidden="1" customHeight="1" x14ac:dyDescent="0.25">
      <c r="A728" s="33" t="s">
        <v>737</v>
      </c>
      <c r="B728" s="23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13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5"/>
      <c r="AD728" s="25">
        <f t="shared" si="438"/>
        <v>0</v>
      </c>
      <c r="AE728" s="26" t="s">
        <v>42</v>
      </c>
      <c r="AF728" s="27"/>
      <c r="AG728" s="17">
        <f t="shared" si="439"/>
        <v>0</v>
      </c>
      <c r="AH728" s="28">
        <f t="shared" si="440"/>
        <v>0</v>
      </c>
      <c r="AI728" s="17">
        <f t="shared" si="441"/>
        <v>0</v>
      </c>
      <c r="AJ728" s="28">
        <f t="shared" si="442"/>
        <v>0</v>
      </c>
      <c r="AK728" s="17">
        <f t="shared" si="450"/>
        <v>0</v>
      </c>
      <c r="AL728" s="28">
        <f t="shared" si="443"/>
        <v>0</v>
      </c>
      <c r="AM728" s="17">
        <f t="shared" si="458"/>
        <v>0</v>
      </c>
      <c r="AN728" s="28">
        <f t="shared" si="435"/>
        <v>0</v>
      </c>
      <c r="AO728" s="17">
        <f t="shared" si="460"/>
        <v>0</v>
      </c>
      <c r="AP728" s="28">
        <f>+AO728*AF728</f>
        <v>0</v>
      </c>
      <c r="AQ728" s="17">
        <f t="shared" si="461"/>
        <v>0</v>
      </c>
      <c r="AR728" s="28">
        <f>+AQ728*AF728</f>
        <v>0</v>
      </c>
      <c r="AS728" s="17">
        <f t="shared" si="454"/>
        <v>0</v>
      </c>
      <c r="AT728" s="28">
        <f t="shared" si="455"/>
        <v>0</v>
      </c>
      <c r="AU728" s="17">
        <f t="shared" si="456"/>
        <v>0</v>
      </c>
      <c r="AV728" s="28">
        <f t="shared" si="457"/>
        <v>0</v>
      </c>
      <c r="AW728" s="17">
        <f t="shared" si="444"/>
        <v>0</v>
      </c>
      <c r="AX728" s="28">
        <f t="shared" si="445"/>
        <v>0</v>
      </c>
      <c r="AY728" s="17">
        <f t="shared" si="446"/>
        <v>0</v>
      </c>
      <c r="AZ728" s="28">
        <f t="shared" si="447"/>
        <v>0</v>
      </c>
      <c r="BA728" s="27">
        <f t="shared" si="437"/>
        <v>0</v>
      </c>
      <c r="BB728" s="27">
        <f t="shared" si="449"/>
        <v>0</v>
      </c>
      <c r="BC728" s="27">
        <f t="shared" si="451"/>
        <v>0</v>
      </c>
      <c r="BD728" s="27">
        <f t="shared" si="452"/>
        <v>0</v>
      </c>
      <c r="BE728" s="27">
        <f t="shared" si="453"/>
        <v>0</v>
      </c>
      <c r="BF728" s="29">
        <f t="shared" si="436"/>
        <v>0</v>
      </c>
      <c r="BH728" s="30">
        <f t="shared" si="448"/>
        <v>0</v>
      </c>
      <c r="BM728" s="2">
        <f>SUM(B728:S728)</f>
        <v>0</v>
      </c>
      <c r="BP728" s="2">
        <f>SUM(B728:S728)</f>
        <v>0</v>
      </c>
    </row>
    <row r="729" spans="1:68" ht="14.45" hidden="1" customHeight="1" x14ac:dyDescent="0.25">
      <c r="A729" s="33" t="s">
        <v>738</v>
      </c>
      <c r="B729" s="23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13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5"/>
      <c r="AD729" s="25">
        <f t="shared" si="438"/>
        <v>0</v>
      </c>
      <c r="AE729" s="26" t="s">
        <v>42</v>
      </c>
      <c r="AF729" s="27"/>
      <c r="AG729" s="17">
        <f t="shared" si="439"/>
        <v>0</v>
      </c>
      <c r="AH729" s="28">
        <f t="shared" si="440"/>
        <v>0</v>
      </c>
      <c r="AI729" s="17">
        <f t="shared" si="441"/>
        <v>0</v>
      </c>
      <c r="AJ729" s="28">
        <f t="shared" si="442"/>
        <v>0</v>
      </c>
      <c r="AK729" s="17">
        <f t="shared" si="450"/>
        <v>0</v>
      </c>
      <c r="AL729" s="28">
        <f t="shared" si="443"/>
        <v>0</v>
      </c>
      <c r="AM729" s="17">
        <f t="shared" si="458"/>
        <v>0</v>
      </c>
      <c r="AN729" s="28">
        <f t="shared" si="435"/>
        <v>0</v>
      </c>
      <c r="AO729" s="17">
        <f t="shared" si="460"/>
        <v>0</v>
      </c>
      <c r="AP729" s="28">
        <f>+AO729*AF729</f>
        <v>0</v>
      </c>
      <c r="AQ729" s="17">
        <f t="shared" si="461"/>
        <v>0</v>
      </c>
      <c r="AR729" s="28">
        <f>+AQ729*AF729</f>
        <v>0</v>
      </c>
      <c r="AS729" s="17">
        <f t="shared" si="454"/>
        <v>0</v>
      </c>
      <c r="AT729" s="28">
        <f t="shared" si="455"/>
        <v>0</v>
      </c>
      <c r="AU729" s="17">
        <f t="shared" si="456"/>
        <v>0</v>
      </c>
      <c r="AV729" s="28">
        <f t="shared" si="457"/>
        <v>0</v>
      </c>
      <c r="AW729" s="17">
        <f t="shared" si="444"/>
        <v>0</v>
      </c>
      <c r="AX729" s="28">
        <f t="shared" si="445"/>
        <v>0</v>
      </c>
      <c r="AY729" s="17">
        <f t="shared" si="446"/>
        <v>0</v>
      </c>
      <c r="AZ729" s="28">
        <f t="shared" si="447"/>
        <v>0</v>
      </c>
      <c r="BA729" s="27">
        <f t="shared" si="437"/>
        <v>0</v>
      </c>
      <c r="BB729" s="27">
        <f t="shared" si="449"/>
        <v>0</v>
      </c>
      <c r="BC729" s="27">
        <f t="shared" si="451"/>
        <v>0</v>
      </c>
      <c r="BD729" s="27">
        <f t="shared" si="452"/>
        <v>0</v>
      </c>
      <c r="BE729" s="27">
        <f t="shared" si="453"/>
        <v>0</v>
      </c>
      <c r="BF729" s="29">
        <f t="shared" si="436"/>
        <v>0</v>
      </c>
      <c r="BH729" s="30">
        <f t="shared" si="448"/>
        <v>0</v>
      </c>
      <c r="BM729" s="2">
        <f>SUM(B729:S729)</f>
        <v>0</v>
      </c>
      <c r="BP729" s="2">
        <f>SUM(B729:S729)</f>
        <v>0</v>
      </c>
    </row>
    <row r="730" spans="1:68" ht="14.45" hidden="1" customHeight="1" x14ac:dyDescent="0.25">
      <c r="A730" s="33" t="s">
        <v>739</v>
      </c>
      <c r="B730" s="23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13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5"/>
      <c r="AD730" s="25">
        <f t="shared" si="438"/>
        <v>0</v>
      </c>
      <c r="AE730" s="26" t="s">
        <v>42</v>
      </c>
      <c r="AF730" s="27"/>
      <c r="AG730" s="17">
        <f t="shared" si="439"/>
        <v>0</v>
      </c>
      <c r="AH730" s="28">
        <f t="shared" si="440"/>
        <v>0</v>
      </c>
      <c r="AI730" s="17">
        <f t="shared" si="441"/>
        <v>0</v>
      </c>
      <c r="AJ730" s="28">
        <f t="shared" si="442"/>
        <v>0</v>
      </c>
      <c r="AK730" s="17">
        <f t="shared" si="450"/>
        <v>0</v>
      </c>
      <c r="AL730" s="28">
        <f t="shared" si="443"/>
        <v>0</v>
      </c>
      <c r="AM730" s="17">
        <f t="shared" si="458"/>
        <v>0</v>
      </c>
      <c r="AN730" s="28">
        <f t="shared" si="435"/>
        <v>0</v>
      </c>
      <c r="AO730" s="17">
        <f t="shared" si="460"/>
        <v>0</v>
      </c>
      <c r="AP730" s="28">
        <f>+AO730*AF730</f>
        <v>0</v>
      </c>
      <c r="AQ730" s="17">
        <f t="shared" si="461"/>
        <v>0</v>
      </c>
      <c r="AR730" s="28">
        <f>+AQ730*AF730</f>
        <v>0</v>
      </c>
      <c r="AS730" s="17">
        <f t="shared" si="454"/>
        <v>0</v>
      </c>
      <c r="AT730" s="28">
        <f t="shared" si="455"/>
        <v>0</v>
      </c>
      <c r="AU730" s="17">
        <f t="shared" si="456"/>
        <v>0</v>
      </c>
      <c r="AV730" s="28">
        <f t="shared" si="457"/>
        <v>0</v>
      </c>
      <c r="AW730" s="17">
        <f t="shared" si="444"/>
        <v>0</v>
      </c>
      <c r="AX730" s="28">
        <f t="shared" si="445"/>
        <v>0</v>
      </c>
      <c r="AY730" s="17">
        <f t="shared" si="446"/>
        <v>0</v>
      </c>
      <c r="AZ730" s="28">
        <f t="shared" si="447"/>
        <v>0</v>
      </c>
      <c r="BA730" s="27">
        <f t="shared" si="437"/>
        <v>0</v>
      </c>
      <c r="BB730" s="27">
        <f t="shared" si="449"/>
        <v>0</v>
      </c>
      <c r="BC730" s="27">
        <f t="shared" si="451"/>
        <v>0</v>
      </c>
      <c r="BD730" s="27">
        <f t="shared" si="452"/>
        <v>0</v>
      </c>
      <c r="BE730" s="27">
        <f t="shared" si="453"/>
        <v>0</v>
      </c>
      <c r="BF730" s="29">
        <f t="shared" si="436"/>
        <v>0</v>
      </c>
      <c r="BH730" s="30">
        <f t="shared" si="448"/>
        <v>0</v>
      </c>
      <c r="BM730" s="2">
        <f>SUM(B730:S730)</f>
        <v>0</v>
      </c>
      <c r="BP730" s="2">
        <f>SUM(B730:S730)</f>
        <v>0</v>
      </c>
    </row>
    <row r="731" spans="1:68" ht="14.45" hidden="1" customHeight="1" x14ac:dyDescent="0.25">
      <c r="A731" s="33" t="s">
        <v>740</v>
      </c>
      <c r="B731" s="23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13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5"/>
      <c r="AD731" s="25">
        <f t="shared" si="438"/>
        <v>0</v>
      </c>
      <c r="AE731" s="26" t="s">
        <v>42</v>
      </c>
      <c r="AF731" s="27"/>
      <c r="AG731" s="17">
        <f t="shared" si="439"/>
        <v>0</v>
      </c>
      <c r="AH731" s="28">
        <f t="shared" si="440"/>
        <v>0</v>
      </c>
      <c r="AI731" s="17">
        <f t="shared" si="441"/>
        <v>0</v>
      </c>
      <c r="AJ731" s="28">
        <f t="shared" si="442"/>
        <v>0</v>
      </c>
      <c r="AK731" s="17">
        <f t="shared" si="450"/>
        <v>0</v>
      </c>
      <c r="AL731" s="28">
        <f t="shared" si="443"/>
        <v>0</v>
      </c>
      <c r="AM731" s="17">
        <f t="shared" si="458"/>
        <v>0</v>
      </c>
      <c r="AN731" s="28">
        <f t="shared" si="435"/>
        <v>0</v>
      </c>
      <c r="AO731" s="17">
        <f t="shared" si="460"/>
        <v>0</v>
      </c>
      <c r="AP731" s="28">
        <f>+AO731*AF731</f>
        <v>0</v>
      </c>
      <c r="AQ731" s="17">
        <f t="shared" si="461"/>
        <v>0</v>
      </c>
      <c r="AR731" s="28">
        <f>+AQ731*AF731</f>
        <v>0</v>
      </c>
      <c r="AS731" s="17">
        <f t="shared" si="454"/>
        <v>0</v>
      </c>
      <c r="AT731" s="28">
        <f t="shared" si="455"/>
        <v>0</v>
      </c>
      <c r="AU731" s="17">
        <f t="shared" si="456"/>
        <v>0</v>
      </c>
      <c r="AV731" s="28">
        <f t="shared" si="457"/>
        <v>0</v>
      </c>
      <c r="AW731" s="17">
        <f t="shared" si="444"/>
        <v>0</v>
      </c>
      <c r="AX731" s="28">
        <f t="shared" si="445"/>
        <v>0</v>
      </c>
      <c r="AY731" s="17">
        <f t="shared" si="446"/>
        <v>0</v>
      </c>
      <c r="AZ731" s="28">
        <f t="shared" si="447"/>
        <v>0</v>
      </c>
      <c r="BA731" s="27">
        <f t="shared" si="437"/>
        <v>0</v>
      </c>
      <c r="BB731" s="27">
        <f t="shared" si="449"/>
        <v>0</v>
      </c>
      <c r="BC731" s="27">
        <f t="shared" si="451"/>
        <v>0</v>
      </c>
      <c r="BD731" s="27">
        <f t="shared" si="452"/>
        <v>0</v>
      </c>
      <c r="BE731" s="27">
        <f t="shared" si="453"/>
        <v>0</v>
      </c>
      <c r="BF731" s="29">
        <f t="shared" si="436"/>
        <v>0</v>
      </c>
      <c r="BH731" s="30">
        <f t="shared" si="448"/>
        <v>0</v>
      </c>
      <c r="BM731" s="2">
        <f>SUM(B731:S731)</f>
        <v>0</v>
      </c>
      <c r="BP731" s="2">
        <f>SUM(B731:S731)</f>
        <v>0</v>
      </c>
    </row>
    <row r="732" spans="1:68" ht="14.45" customHeight="1" x14ac:dyDescent="0.25">
      <c r="A732" s="33" t="s">
        <v>741</v>
      </c>
      <c r="B732" s="23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13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5"/>
      <c r="AD732" s="25"/>
      <c r="AE732" s="26" t="s">
        <v>42</v>
      </c>
      <c r="AF732" s="34">
        <v>2116</v>
      </c>
      <c r="AG732" s="17">
        <f t="shared" si="439"/>
        <v>0</v>
      </c>
      <c r="AH732" s="28">
        <f t="shared" si="440"/>
        <v>0</v>
      </c>
      <c r="AI732" s="17">
        <f t="shared" si="441"/>
        <v>0</v>
      </c>
      <c r="AJ732" s="28">
        <f t="shared" si="442"/>
        <v>0</v>
      </c>
      <c r="AK732" s="17">
        <f t="shared" si="450"/>
        <v>0</v>
      </c>
      <c r="AL732" s="28">
        <f t="shared" si="443"/>
        <v>0</v>
      </c>
      <c r="AM732" s="17">
        <f t="shared" si="458"/>
        <v>0</v>
      </c>
      <c r="AN732" s="28">
        <f t="shared" si="435"/>
        <v>0</v>
      </c>
      <c r="AO732" s="17">
        <f t="shared" si="460"/>
        <v>0</v>
      </c>
      <c r="AP732" s="28"/>
      <c r="AQ732" s="17">
        <f t="shared" si="461"/>
        <v>0</v>
      </c>
      <c r="AR732" s="28"/>
      <c r="AS732" s="17">
        <f t="shared" si="454"/>
        <v>0</v>
      </c>
      <c r="AT732" s="28">
        <f t="shared" si="455"/>
        <v>0</v>
      </c>
      <c r="AU732" s="17">
        <f t="shared" si="456"/>
        <v>0</v>
      </c>
      <c r="AV732" s="28">
        <f t="shared" si="457"/>
        <v>0</v>
      </c>
      <c r="AW732" s="17">
        <f t="shared" si="444"/>
        <v>0</v>
      </c>
      <c r="AX732" s="28">
        <f t="shared" si="445"/>
        <v>0</v>
      </c>
      <c r="AY732" s="17">
        <f t="shared" si="446"/>
        <v>0</v>
      </c>
      <c r="AZ732" s="28">
        <f t="shared" si="447"/>
        <v>0</v>
      </c>
      <c r="BA732" s="27">
        <f t="shared" si="437"/>
        <v>0</v>
      </c>
      <c r="BB732" s="27">
        <f t="shared" si="449"/>
        <v>0</v>
      </c>
      <c r="BC732" s="27">
        <f t="shared" si="451"/>
        <v>0</v>
      </c>
      <c r="BD732" s="27">
        <f t="shared" si="452"/>
        <v>0</v>
      </c>
      <c r="BE732" s="27">
        <f t="shared" si="453"/>
        <v>0</v>
      </c>
      <c r="BF732" s="29">
        <f t="shared" si="436"/>
        <v>0</v>
      </c>
      <c r="BH732" s="30">
        <f t="shared" si="448"/>
        <v>0</v>
      </c>
    </row>
    <row r="733" spans="1:68" ht="14.45" customHeight="1" x14ac:dyDescent="0.25">
      <c r="A733" s="33" t="s">
        <v>742</v>
      </c>
      <c r="B733" s="23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13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5"/>
      <c r="AD733" s="25"/>
      <c r="AE733" s="26" t="s">
        <v>42</v>
      </c>
      <c r="AF733" s="34">
        <v>14600</v>
      </c>
      <c r="AG733" s="17">
        <f t="shared" si="439"/>
        <v>0</v>
      </c>
      <c r="AH733" s="28">
        <f t="shared" si="440"/>
        <v>0</v>
      </c>
      <c r="AI733" s="17">
        <f t="shared" si="441"/>
        <v>0</v>
      </c>
      <c r="AJ733" s="28">
        <f t="shared" si="442"/>
        <v>0</v>
      </c>
      <c r="AK733" s="17">
        <f t="shared" si="450"/>
        <v>0</v>
      </c>
      <c r="AL733" s="28">
        <f t="shared" si="443"/>
        <v>0</v>
      </c>
      <c r="AM733" s="17">
        <f t="shared" si="458"/>
        <v>0</v>
      </c>
      <c r="AN733" s="28">
        <f t="shared" si="435"/>
        <v>0</v>
      </c>
      <c r="AO733" s="17">
        <f t="shared" si="460"/>
        <v>0</v>
      </c>
      <c r="AP733" s="28"/>
      <c r="AQ733" s="17">
        <f t="shared" si="461"/>
        <v>0</v>
      </c>
      <c r="AR733" s="28"/>
      <c r="AS733" s="17">
        <f t="shared" si="454"/>
        <v>0</v>
      </c>
      <c r="AT733" s="28">
        <f t="shared" si="455"/>
        <v>0</v>
      </c>
      <c r="AU733" s="17">
        <f t="shared" si="456"/>
        <v>0</v>
      </c>
      <c r="AV733" s="28">
        <f t="shared" si="457"/>
        <v>0</v>
      </c>
      <c r="AW733" s="17">
        <f t="shared" si="444"/>
        <v>0</v>
      </c>
      <c r="AX733" s="28">
        <f t="shared" si="445"/>
        <v>0</v>
      </c>
      <c r="AY733" s="17">
        <f t="shared" si="446"/>
        <v>0</v>
      </c>
      <c r="AZ733" s="28">
        <f t="shared" si="447"/>
        <v>0</v>
      </c>
      <c r="BA733" s="27">
        <f t="shared" si="437"/>
        <v>0</v>
      </c>
      <c r="BB733" s="27">
        <f t="shared" si="449"/>
        <v>0</v>
      </c>
      <c r="BC733" s="27">
        <f t="shared" si="451"/>
        <v>0</v>
      </c>
      <c r="BD733" s="27">
        <f t="shared" si="452"/>
        <v>0</v>
      </c>
      <c r="BE733" s="27">
        <f t="shared" si="453"/>
        <v>0</v>
      </c>
      <c r="BF733" s="29">
        <f t="shared" si="436"/>
        <v>0</v>
      </c>
      <c r="BH733" s="30">
        <f t="shared" si="448"/>
        <v>0</v>
      </c>
    </row>
    <row r="734" spans="1:68" ht="14.45" customHeight="1" x14ac:dyDescent="0.25">
      <c r="A734" s="33" t="s">
        <v>743</v>
      </c>
      <c r="B734" s="23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13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5"/>
      <c r="AD734" s="25"/>
      <c r="AE734" s="26" t="s">
        <v>42</v>
      </c>
      <c r="AF734" s="34">
        <v>380</v>
      </c>
      <c r="AG734" s="17">
        <f t="shared" si="439"/>
        <v>0</v>
      </c>
      <c r="AH734" s="28">
        <f t="shared" si="440"/>
        <v>0</v>
      </c>
      <c r="AI734" s="17">
        <f t="shared" si="441"/>
        <v>0</v>
      </c>
      <c r="AJ734" s="28">
        <f t="shared" si="442"/>
        <v>0</v>
      </c>
      <c r="AK734" s="17">
        <f t="shared" si="450"/>
        <v>0</v>
      </c>
      <c r="AL734" s="28">
        <f t="shared" si="443"/>
        <v>0</v>
      </c>
      <c r="AM734" s="17">
        <f t="shared" si="458"/>
        <v>0</v>
      </c>
      <c r="AN734" s="28">
        <f t="shared" si="435"/>
        <v>0</v>
      </c>
      <c r="AO734" s="17">
        <f t="shared" si="460"/>
        <v>0</v>
      </c>
      <c r="AP734" s="28"/>
      <c r="AQ734" s="17">
        <f t="shared" si="461"/>
        <v>0</v>
      </c>
      <c r="AR734" s="28"/>
      <c r="AS734" s="17">
        <f t="shared" si="454"/>
        <v>0</v>
      </c>
      <c r="AT734" s="28">
        <f t="shared" si="455"/>
        <v>0</v>
      </c>
      <c r="AU734" s="17">
        <f t="shared" si="456"/>
        <v>0</v>
      </c>
      <c r="AV734" s="28">
        <f t="shared" si="457"/>
        <v>0</v>
      </c>
      <c r="AW734" s="17">
        <f t="shared" si="444"/>
        <v>0</v>
      </c>
      <c r="AX734" s="28">
        <f t="shared" si="445"/>
        <v>0</v>
      </c>
      <c r="AY734" s="17">
        <f t="shared" si="446"/>
        <v>0</v>
      </c>
      <c r="AZ734" s="28">
        <f t="shared" si="447"/>
        <v>0</v>
      </c>
      <c r="BA734" s="27">
        <f t="shared" si="437"/>
        <v>0</v>
      </c>
      <c r="BB734" s="27">
        <f t="shared" si="449"/>
        <v>0</v>
      </c>
      <c r="BC734" s="27">
        <f t="shared" si="451"/>
        <v>0</v>
      </c>
      <c r="BD734" s="27">
        <f t="shared" si="452"/>
        <v>0</v>
      </c>
      <c r="BE734" s="27">
        <f t="shared" si="453"/>
        <v>0</v>
      </c>
      <c r="BF734" s="29">
        <f t="shared" si="436"/>
        <v>0</v>
      </c>
      <c r="BH734" s="30">
        <f t="shared" si="448"/>
        <v>0</v>
      </c>
    </row>
    <row r="735" spans="1:68" ht="14.45" customHeight="1" x14ac:dyDescent="0.25">
      <c r="A735" s="33" t="s">
        <v>744</v>
      </c>
      <c r="B735" s="23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13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5"/>
      <c r="AD735" s="25"/>
      <c r="AE735" s="26" t="s">
        <v>42</v>
      </c>
      <c r="AF735" s="34">
        <v>2869</v>
      </c>
      <c r="AG735" s="17">
        <f t="shared" si="439"/>
        <v>0</v>
      </c>
      <c r="AH735" s="28">
        <f t="shared" si="440"/>
        <v>0</v>
      </c>
      <c r="AI735" s="17">
        <f t="shared" si="441"/>
        <v>0</v>
      </c>
      <c r="AJ735" s="28">
        <f t="shared" si="442"/>
        <v>0</v>
      </c>
      <c r="AK735" s="17">
        <f t="shared" si="450"/>
        <v>0</v>
      </c>
      <c r="AL735" s="28">
        <f t="shared" si="443"/>
        <v>0</v>
      </c>
      <c r="AM735" s="17">
        <f t="shared" si="458"/>
        <v>0</v>
      </c>
      <c r="AN735" s="28">
        <f t="shared" si="435"/>
        <v>0</v>
      </c>
      <c r="AO735" s="17">
        <f t="shared" si="460"/>
        <v>0</v>
      </c>
      <c r="AP735" s="28"/>
      <c r="AQ735" s="17">
        <f t="shared" si="461"/>
        <v>0</v>
      </c>
      <c r="AR735" s="28"/>
      <c r="AS735" s="17">
        <f t="shared" si="454"/>
        <v>0</v>
      </c>
      <c r="AT735" s="28">
        <f t="shared" si="455"/>
        <v>0</v>
      </c>
      <c r="AU735" s="17">
        <f t="shared" si="456"/>
        <v>0</v>
      </c>
      <c r="AV735" s="28">
        <f t="shared" si="457"/>
        <v>0</v>
      </c>
      <c r="AW735" s="17">
        <f t="shared" si="444"/>
        <v>0</v>
      </c>
      <c r="AX735" s="28">
        <f t="shared" si="445"/>
        <v>0</v>
      </c>
      <c r="AY735" s="17">
        <f t="shared" si="446"/>
        <v>0</v>
      </c>
      <c r="AZ735" s="28">
        <f t="shared" si="447"/>
        <v>0</v>
      </c>
      <c r="BA735" s="27">
        <f t="shared" si="437"/>
        <v>0</v>
      </c>
      <c r="BB735" s="27">
        <f t="shared" si="449"/>
        <v>0</v>
      </c>
      <c r="BC735" s="27">
        <f t="shared" si="451"/>
        <v>0</v>
      </c>
      <c r="BD735" s="27">
        <f t="shared" si="452"/>
        <v>0</v>
      </c>
      <c r="BE735" s="27">
        <f t="shared" si="453"/>
        <v>0</v>
      </c>
      <c r="BF735" s="29">
        <f t="shared" si="436"/>
        <v>0</v>
      </c>
      <c r="BH735" s="30">
        <f t="shared" si="448"/>
        <v>0</v>
      </c>
    </row>
    <row r="736" spans="1:68" ht="14.45" customHeight="1" x14ac:dyDescent="0.25">
      <c r="A736" s="33" t="s">
        <v>745</v>
      </c>
      <c r="B736" s="23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13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5"/>
      <c r="AD736" s="25"/>
      <c r="AE736" s="26" t="s">
        <v>42</v>
      </c>
      <c r="AF736" s="34">
        <v>34630</v>
      </c>
      <c r="AG736" s="17">
        <f t="shared" si="439"/>
        <v>0</v>
      </c>
      <c r="AH736" s="28">
        <f t="shared" si="440"/>
        <v>0</v>
      </c>
      <c r="AI736" s="17">
        <f t="shared" si="441"/>
        <v>0</v>
      </c>
      <c r="AJ736" s="28">
        <f t="shared" si="442"/>
        <v>0</v>
      </c>
      <c r="AK736" s="17">
        <f t="shared" si="450"/>
        <v>0</v>
      </c>
      <c r="AL736" s="28">
        <f t="shared" si="443"/>
        <v>0</v>
      </c>
      <c r="AM736" s="17">
        <f t="shared" si="458"/>
        <v>0</v>
      </c>
      <c r="AN736" s="28">
        <f t="shared" si="435"/>
        <v>0</v>
      </c>
      <c r="AO736" s="17">
        <f t="shared" si="460"/>
        <v>0</v>
      </c>
      <c r="AP736" s="28"/>
      <c r="AQ736" s="17">
        <f t="shared" si="461"/>
        <v>0</v>
      </c>
      <c r="AR736" s="28"/>
      <c r="AS736" s="17">
        <f t="shared" si="454"/>
        <v>0</v>
      </c>
      <c r="AT736" s="28">
        <f t="shared" si="455"/>
        <v>0</v>
      </c>
      <c r="AU736" s="17">
        <f t="shared" si="456"/>
        <v>0</v>
      </c>
      <c r="AV736" s="28">
        <f t="shared" si="457"/>
        <v>0</v>
      </c>
      <c r="AW736" s="17">
        <f t="shared" si="444"/>
        <v>0</v>
      </c>
      <c r="AX736" s="28">
        <f t="shared" si="445"/>
        <v>0</v>
      </c>
      <c r="AY736" s="17">
        <f t="shared" si="446"/>
        <v>0</v>
      </c>
      <c r="AZ736" s="28">
        <f t="shared" si="447"/>
        <v>0</v>
      </c>
      <c r="BA736" s="27">
        <f t="shared" si="437"/>
        <v>0</v>
      </c>
      <c r="BB736" s="27">
        <f t="shared" si="449"/>
        <v>0</v>
      </c>
      <c r="BC736" s="27">
        <f t="shared" si="451"/>
        <v>0</v>
      </c>
      <c r="BD736" s="27">
        <f t="shared" si="452"/>
        <v>0</v>
      </c>
      <c r="BE736" s="27">
        <f t="shared" si="453"/>
        <v>0</v>
      </c>
      <c r="BF736" s="29">
        <f t="shared" si="436"/>
        <v>0</v>
      </c>
      <c r="BH736" s="30">
        <f t="shared" si="448"/>
        <v>0</v>
      </c>
    </row>
    <row r="737" spans="1:68" ht="14.45" customHeight="1" x14ac:dyDescent="0.25">
      <c r="A737" s="33" t="s">
        <v>746</v>
      </c>
      <c r="B737" s="23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13">
        <v>8</v>
      </c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5"/>
      <c r="AD737" s="39">
        <f t="shared" ref="AD737:AD749" si="462">SUM(B737:AB737)</f>
        <v>8</v>
      </c>
      <c r="AE737" s="26"/>
      <c r="AF737" s="27">
        <f>150*750</f>
        <v>112500</v>
      </c>
      <c r="AG737" s="17">
        <f t="shared" si="439"/>
        <v>0</v>
      </c>
      <c r="AH737" s="28">
        <f t="shared" si="440"/>
        <v>0</v>
      </c>
      <c r="AI737" s="17">
        <f t="shared" si="441"/>
        <v>0</v>
      </c>
      <c r="AJ737" s="28">
        <f t="shared" si="442"/>
        <v>0</v>
      </c>
      <c r="AK737" s="17">
        <f t="shared" si="450"/>
        <v>8</v>
      </c>
      <c r="AL737" s="28">
        <f t="shared" si="443"/>
        <v>900000</v>
      </c>
      <c r="AM737" s="17">
        <f t="shared" si="458"/>
        <v>0</v>
      </c>
      <c r="AN737" s="28">
        <f t="shared" si="435"/>
        <v>0</v>
      </c>
      <c r="AO737" s="17"/>
      <c r="AP737" s="28"/>
      <c r="AQ737" s="17"/>
      <c r="AR737" s="28"/>
      <c r="AS737" s="17">
        <f t="shared" si="454"/>
        <v>0</v>
      </c>
      <c r="AT737" s="28">
        <f t="shared" si="455"/>
        <v>0</v>
      </c>
      <c r="AU737" s="17">
        <f t="shared" si="456"/>
        <v>0</v>
      </c>
      <c r="AV737" s="28">
        <f t="shared" si="457"/>
        <v>0</v>
      </c>
      <c r="AW737" s="17">
        <f t="shared" si="444"/>
        <v>0</v>
      </c>
      <c r="AX737" s="28">
        <f t="shared" si="445"/>
        <v>0</v>
      </c>
      <c r="AY737" s="17">
        <f t="shared" si="446"/>
        <v>0</v>
      </c>
      <c r="AZ737" s="28">
        <f t="shared" si="447"/>
        <v>0</v>
      </c>
      <c r="BA737" s="27"/>
      <c r="BB737" s="27">
        <f t="shared" si="449"/>
        <v>900000</v>
      </c>
      <c r="BC737" s="27">
        <f t="shared" si="451"/>
        <v>0</v>
      </c>
      <c r="BD737" s="27">
        <f t="shared" si="452"/>
        <v>0</v>
      </c>
      <c r="BE737" s="27">
        <f t="shared" si="453"/>
        <v>0</v>
      </c>
      <c r="BF737" s="29">
        <f t="shared" si="436"/>
        <v>900000</v>
      </c>
      <c r="BH737" s="30">
        <f t="shared" si="448"/>
        <v>8</v>
      </c>
    </row>
    <row r="738" spans="1:68" x14ac:dyDescent="0.25">
      <c r="A738" s="33" t="s">
        <v>747</v>
      </c>
      <c r="B738" s="23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13">
        <v>15</v>
      </c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5"/>
      <c r="AD738" s="39">
        <f t="shared" si="462"/>
        <v>15</v>
      </c>
      <c r="AE738" s="26" t="s">
        <v>42</v>
      </c>
      <c r="AF738" s="27">
        <f>1100000*1.15</f>
        <v>1265000</v>
      </c>
      <c r="AG738" s="17">
        <f t="shared" si="439"/>
        <v>0</v>
      </c>
      <c r="AH738" s="28">
        <f t="shared" si="440"/>
        <v>0</v>
      </c>
      <c r="AI738" s="17">
        <f t="shared" si="441"/>
        <v>0</v>
      </c>
      <c r="AJ738" s="28">
        <f t="shared" si="442"/>
        <v>0</v>
      </c>
      <c r="AK738" s="17">
        <f t="shared" si="450"/>
        <v>15</v>
      </c>
      <c r="AL738" s="28">
        <f t="shared" si="443"/>
        <v>18975000</v>
      </c>
      <c r="AM738" s="17">
        <f t="shared" si="458"/>
        <v>0</v>
      </c>
      <c r="AN738" s="28">
        <f t="shared" si="435"/>
        <v>0</v>
      </c>
      <c r="AO738" s="17">
        <f t="shared" ref="AO738:AO748" si="463">+B738</f>
        <v>0</v>
      </c>
      <c r="AP738" s="28">
        <f t="shared" ref="AP738:AP748" si="464">+AO738*AF738</f>
        <v>0</v>
      </c>
      <c r="AQ738" s="17">
        <f t="shared" ref="AQ738:AQ748" si="465">+P738</f>
        <v>0</v>
      </c>
      <c r="AR738" s="28">
        <f t="shared" ref="AR738:AR748" si="466">+AQ738*AF738</f>
        <v>0</v>
      </c>
      <c r="AS738" s="17">
        <f t="shared" si="454"/>
        <v>0</v>
      </c>
      <c r="AT738" s="28">
        <f t="shared" si="455"/>
        <v>0</v>
      </c>
      <c r="AU738" s="17">
        <f t="shared" si="456"/>
        <v>0</v>
      </c>
      <c r="AV738" s="28">
        <f t="shared" si="457"/>
        <v>0</v>
      </c>
      <c r="AW738" s="17">
        <f t="shared" si="444"/>
        <v>0</v>
      </c>
      <c r="AX738" s="28">
        <f t="shared" si="445"/>
        <v>0</v>
      </c>
      <c r="AY738" s="17">
        <f t="shared" si="446"/>
        <v>0</v>
      </c>
      <c r="AZ738" s="28">
        <f t="shared" si="447"/>
        <v>0</v>
      </c>
      <c r="BA738" s="27">
        <f t="shared" si="437"/>
        <v>0</v>
      </c>
      <c r="BB738" s="27">
        <f t="shared" si="449"/>
        <v>18975000</v>
      </c>
      <c r="BC738" s="27">
        <f t="shared" si="451"/>
        <v>0</v>
      </c>
      <c r="BD738" s="27">
        <f t="shared" si="452"/>
        <v>0</v>
      </c>
      <c r="BE738" s="27">
        <f t="shared" si="453"/>
        <v>0</v>
      </c>
      <c r="BF738" s="29">
        <f t="shared" si="436"/>
        <v>18975000</v>
      </c>
      <c r="BH738" s="30">
        <f t="shared" si="448"/>
        <v>15</v>
      </c>
      <c r="BM738" s="2">
        <f t="shared" ref="BM738:BM748" si="467">SUM(B738:S738)</f>
        <v>15</v>
      </c>
      <c r="BP738" s="2">
        <f t="shared" ref="BP738:BP748" si="468">SUM(B738:S738)</f>
        <v>15</v>
      </c>
    </row>
    <row r="739" spans="1:68" ht="14.45" hidden="1" customHeight="1" x14ac:dyDescent="0.25">
      <c r="A739" s="33" t="s">
        <v>748</v>
      </c>
      <c r="B739" s="23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13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5"/>
      <c r="AD739" s="39">
        <f t="shared" si="462"/>
        <v>0</v>
      </c>
      <c r="AE739" s="26" t="s">
        <v>42</v>
      </c>
      <c r="AF739" s="27"/>
      <c r="AG739" s="17">
        <f t="shared" si="439"/>
        <v>0</v>
      </c>
      <c r="AH739" s="28">
        <f t="shared" si="440"/>
        <v>0</v>
      </c>
      <c r="AI739" s="17">
        <f t="shared" si="441"/>
        <v>0</v>
      </c>
      <c r="AJ739" s="28">
        <f t="shared" si="442"/>
        <v>0</v>
      </c>
      <c r="AK739" s="17">
        <f t="shared" si="450"/>
        <v>0</v>
      </c>
      <c r="AL739" s="28">
        <f t="shared" si="443"/>
        <v>0</v>
      </c>
      <c r="AM739" s="17">
        <f t="shared" si="458"/>
        <v>0</v>
      </c>
      <c r="AN739" s="28">
        <f t="shared" si="435"/>
        <v>0</v>
      </c>
      <c r="AO739" s="17">
        <f t="shared" si="463"/>
        <v>0</v>
      </c>
      <c r="AP739" s="28">
        <f t="shared" si="464"/>
        <v>0</v>
      </c>
      <c r="AQ739" s="17">
        <f t="shared" si="465"/>
        <v>0</v>
      </c>
      <c r="AR739" s="28">
        <f t="shared" si="466"/>
        <v>0</v>
      </c>
      <c r="AS739" s="17">
        <f t="shared" si="454"/>
        <v>0</v>
      </c>
      <c r="AT739" s="28">
        <f t="shared" si="455"/>
        <v>0</v>
      </c>
      <c r="AU739" s="17">
        <f t="shared" si="456"/>
        <v>0</v>
      </c>
      <c r="AV739" s="28">
        <f t="shared" si="457"/>
        <v>0</v>
      </c>
      <c r="AW739" s="17">
        <f t="shared" si="444"/>
        <v>0</v>
      </c>
      <c r="AX739" s="28">
        <f t="shared" si="445"/>
        <v>0</v>
      </c>
      <c r="AY739" s="17">
        <f t="shared" si="446"/>
        <v>0</v>
      </c>
      <c r="AZ739" s="28">
        <f t="shared" si="447"/>
        <v>0</v>
      </c>
      <c r="BA739" s="27">
        <f t="shared" si="437"/>
        <v>0</v>
      </c>
      <c r="BB739" s="27">
        <f t="shared" si="449"/>
        <v>0</v>
      </c>
      <c r="BC739" s="27">
        <f t="shared" si="451"/>
        <v>0</v>
      </c>
      <c r="BD739" s="27">
        <f t="shared" si="452"/>
        <v>0</v>
      </c>
      <c r="BE739" s="27">
        <f t="shared" si="453"/>
        <v>0</v>
      </c>
      <c r="BF739" s="29">
        <f t="shared" si="436"/>
        <v>0</v>
      </c>
      <c r="BH739" s="30">
        <f t="shared" si="448"/>
        <v>0</v>
      </c>
      <c r="BM739" s="2">
        <f t="shared" si="467"/>
        <v>0</v>
      </c>
      <c r="BP739" s="2">
        <f t="shared" si="468"/>
        <v>0</v>
      </c>
    </row>
    <row r="740" spans="1:68" ht="14.45" hidden="1" customHeight="1" x14ac:dyDescent="0.25">
      <c r="A740" s="33" t="s">
        <v>749</v>
      </c>
      <c r="B740" s="23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13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5"/>
      <c r="AD740" s="39">
        <f t="shared" si="462"/>
        <v>0</v>
      </c>
      <c r="AE740" s="26" t="s">
        <v>42</v>
      </c>
      <c r="AF740" s="27"/>
      <c r="AG740" s="17">
        <f t="shared" si="439"/>
        <v>0</v>
      </c>
      <c r="AH740" s="28">
        <f t="shared" si="440"/>
        <v>0</v>
      </c>
      <c r="AI740" s="17">
        <f t="shared" si="441"/>
        <v>0</v>
      </c>
      <c r="AJ740" s="28">
        <f t="shared" si="442"/>
        <v>0</v>
      </c>
      <c r="AK740" s="17">
        <f t="shared" si="450"/>
        <v>0</v>
      </c>
      <c r="AL740" s="28">
        <f t="shared" si="443"/>
        <v>0</v>
      </c>
      <c r="AM740" s="17">
        <f t="shared" si="458"/>
        <v>0</v>
      </c>
      <c r="AN740" s="28">
        <f t="shared" si="435"/>
        <v>0</v>
      </c>
      <c r="AO740" s="17">
        <f t="shared" si="463"/>
        <v>0</v>
      </c>
      <c r="AP740" s="28">
        <f t="shared" si="464"/>
        <v>0</v>
      </c>
      <c r="AQ740" s="17">
        <f t="shared" si="465"/>
        <v>0</v>
      </c>
      <c r="AR740" s="28">
        <f t="shared" si="466"/>
        <v>0</v>
      </c>
      <c r="AS740" s="17">
        <f t="shared" si="454"/>
        <v>0</v>
      </c>
      <c r="AT740" s="28">
        <f t="shared" si="455"/>
        <v>0</v>
      </c>
      <c r="AU740" s="17">
        <f t="shared" si="456"/>
        <v>0</v>
      </c>
      <c r="AV740" s="28">
        <f t="shared" si="457"/>
        <v>0</v>
      </c>
      <c r="AW740" s="17">
        <f t="shared" si="444"/>
        <v>0</v>
      </c>
      <c r="AX740" s="28">
        <f t="shared" si="445"/>
        <v>0</v>
      </c>
      <c r="AY740" s="17">
        <f t="shared" si="446"/>
        <v>0</v>
      </c>
      <c r="AZ740" s="28">
        <f t="shared" si="447"/>
        <v>0</v>
      </c>
      <c r="BA740" s="27">
        <f t="shared" si="437"/>
        <v>0</v>
      </c>
      <c r="BB740" s="27">
        <f t="shared" si="449"/>
        <v>0</v>
      </c>
      <c r="BC740" s="27">
        <f t="shared" si="451"/>
        <v>0</v>
      </c>
      <c r="BD740" s="27">
        <f t="shared" si="452"/>
        <v>0</v>
      </c>
      <c r="BE740" s="27">
        <f t="shared" si="453"/>
        <v>0</v>
      </c>
      <c r="BF740" s="29">
        <f t="shared" si="436"/>
        <v>0</v>
      </c>
      <c r="BH740" s="30">
        <f t="shared" si="448"/>
        <v>0</v>
      </c>
      <c r="BM740" s="2">
        <f t="shared" si="467"/>
        <v>0</v>
      </c>
      <c r="BP740" s="2">
        <f t="shared" si="468"/>
        <v>0</v>
      </c>
    </row>
    <row r="741" spans="1:68" ht="14.45" hidden="1" customHeight="1" x14ac:dyDescent="0.25">
      <c r="A741" s="33" t="s">
        <v>750</v>
      </c>
      <c r="B741" s="23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13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5"/>
      <c r="AD741" s="39">
        <f t="shared" si="462"/>
        <v>0</v>
      </c>
      <c r="AE741" s="26" t="s">
        <v>42</v>
      </c>
      <c r="AF741" s="27"/>
      <c r="AG741" s="17">
        <f t="shared" si="439"/>
        <v>0</v>
      </c>
      <c r="AH741" s="28">
        <f t="shared" si="440"/>
        <v>0</v>
      </c>
      <c r="AI741" s="17">
        <f t="shared" si="441"/>
        <v>0</v>
      </c>
      <c r="AJ741" s="28">
        <f t="shared" si="442"/>
        <v>0</v>
      </c>
      <c r="AK741" s="17">
        <f t="shared" si="450"/>
        <v>0</v>
      </c>
      <c r="AL741" s="28">
        <f t="shared" si="443"/>
        <v>0</v>
      </c>
      <c r="AM741" s="17">
        <f t="shared" si="458"/>
        <v>0</v>
      </c>
      <c r="AN741" s="28">
        <f t="shared" si="435"/>
        <v>0</v>
      </c>
      <c r="AO741" s="17">
        <f t="shared" si="463"/>
        <v>0</v>
      </c>
      <c r="AP741" s="28">
        <f t="shared" si="464"/>
        <v>0</v>
      </c>
      <c r="AQ741" s="17">
        <f t="shared" si="465"/>
        <v>0</v>
      </c>
      <c r="AR741" s="28">
        <f t="shared" si="466"/>
        <v>0</v>
      </c>
      <c r="AS741" s="17">
        <f t="shared" si="454"/>
        <v>0</v>
      </c>
      <c r="AT741" s="28">
        <f t="shared" si="455"/>
        <v>0</v>
      </c>
      <c r="AU741" s="17">
        <f t="shared" si="456"/>
        <v>0</v>
      </c>
      <c r="AV741" s="28">
        <f t="shared" si="457"/>
        <v>0</v>
      </c>
      <c r="AW741" s="17">
        <f t="shared" si="444"/>
        <v>0</v>
      </c>
      <c r="AX741" s="28">
        <f t="shared" si="445"/>
        <v>0</v>
      </c>
      <c r="AY741" s="17">
        <f t="shared" si="446"/>
        <v>0</v>
      </c>
      <c r="AZ741" s="28">
        <f t="shared" si="447"/>
        <v>0</v>
      </c>
      <c r="BA741" s="27">
        <f t="shared" si="437"/>
        <v>0</v>
      </c>
      <c r="BB741" s="27">
        <f t="shared" si="449"/>
        <v>0</v>
      </c>
      <c r="BC741" s="27">
        <f t="shared" si="451"/>
        <v>0</v>
      </c>
      <c r="BD741" s="27">
        <f t="shared" si="452"/>
        <v>0</v>
      </c>
      <c r="BE741" s="27">
        <f t="shared" si="453"/>
        <v>0</v>
      </c>
      <c r="BF741" s="29">
        <f t="shared" si="436"/>
        <v>0</v>
      </c>
      <c r="BH741" s="30">
        <f t="shared" si="448"/>
        <v>0</v>
      </c>
      <c r="BM741" s="2">
        <f t="shared" si="467"/>
        <v>0</v>
      </c>
      <c r="BP741" s="2">
        <f t="shared" si="468"/>
        <v>0</v>
      </c>
    </row>
    <row r="742" spans="1:68" ht="14.45" hidden="1" customHeight="1" x14ac:dyDescent="0.25">
      <c r="A742" s="33" t="s">
        <v>751</v>
      </c>
      <c r="B742" s="23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13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5"/>
      <c r="AD742" s="39">
        <f t="shared" si="462"/>
        <v>0</v>
      </c>
      <c r="AE742" s="26" t="s">
        <v>42</v>
      </c>
      <c r="AF742" s="27"/>
      <c r="AG742" s="17">
        <f t="shared" si="439"/>
        <v>0</v>
      </c>
      <c r="AH742" s="28">
        <f t="shared" si="440"/>
        <v>0</v>
      </c>
      <c r="AI742" s="17">
        <f t="shared" si="441"/>
        <v>0</v>
      </c>
      <c r="AJ742" s="28">
        <f t="shared" si="442"/>
        <v>0</v>
      </c>
      <c r="AK742" s="17">
        <f t="shared" si="450"/>
        <v>0</v>
      </c>
      <c r="AL742" s="28">
        <f t="shared" si="443"/>
        <v>0</v>
      </c>
      <c r="AM742" s="17">
        <f t="shared" si="458"/>
        <v>0</v>
      </c>
      <c r="AN742" s="28">
        <f t="shared" si="435"/>
        <v>0</v>
      </c>
      <c r="AO742" s="17">
        <f t="shared" si="463"/>
        <v>0</v>
      </c>
      <c r="AP742" s="28">
        <f t="shared" si="464"/>
        <v>0</v>
      </c>
      <c r="AQ742" s="17">
        <f t="shared" si="465"/>
        <v>0</v>
      </c>
      <c r="AR742" s="28">
        <f t="shared" si="466"/>
        <v>0</v>
      </c>
      <c r="AS742" s="17">
        <f t="shared" si="454"/>
        <v>0</v>
      </c>
      <c r="AT742" s="28">
        <f t="shared" si="455"/>
        <v>0</v>
      </c>
      <c r="AU742" s="17">
        <f t="shared" si="456"/>
        <v>0</v>
      </c>
      <c r="AV742" s="28">
        <f t="shared" si="457"/>
        <v>0</v>
      </c>
      <c r="AW742" s="17">
        <f t="shared" si="444"/>
        <v>0</v>
      </c>
      <c r="AX742" s="28">
        <f t="shared" si="445"/>
        <v>0</v>
      </c>
      <c r="AY742" s="17">
        <f t="shared" si="446"/>
        <v>0</v>
      </c>
      <c r="AZ742" s="28">
        <f t="shared" si="447"/>
        <v>0</v>
      </c>
      <c r="BA742" s="27">
        <f t="shared" si="437"/>
        <v>0</v>
      </c>
      <c r="BB742" s="27">
        <f t="shared" si="449"/>
        <v>0</v>
      </c>
      <c r="BC742" s="27">
        <f t="shared" si="451"/>
        <v>0</v>
      </c>
      <c r="BD742" s="27">
        <f t="shared" si="452"/>
        <v>0</v>
      </c>
      <c r="BE742" s="27">
        <f t="shared" si="453"/>
        <v>0</v>
      </c>
      <c r="BF742" s="29">
        <f t="shared" si="436"/>
        <v>0</v>
      </c>
      <c r="BH742" s="30">
        <f t="shared" si="448"/>
        <v>0</v>
      </c>
      <c r="BM742" s="2">
        <f t="shared" si="467"/>
        <v>0</v>
      </c>
      <c r="BP742" s="2">
        <f t="shared" si="468"/>
        <v>0</v>
      </c>
    </row>
    <row r="743" spans="1:68" ht="14.45" hidden="1" customHeight="1" x14ac:dyDescent="0.25">
      <c r="A743" s="33" t="s">
        <v>752</v>
      </c>
      <c r="B743" s="23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13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5"/>
      <c r="AD743" s="39">
        <f t="shared" si="462"/>
        <v>0</v>
      </c>
      <c r="AE743" s="26" t="s">
        <v>42</v>
      </c>
      <c r="AF743" s="27"/>
      <c r="AG743" s="17">
        <f t="shared" si="439"/>
        <v>0</v>
      </c>
      <c r="AH743" s="28">
        <f t="shared" si="440"/>
        <v>0</v>
      </c>
      <c r="AI743" s="17">
        <f t="shared" si="441"/>
        <v>0</v>
      </c>
      <c r="AJ743" s="28">
        <f t="shared" si="442"/>
        <v>0</v>
      </c>
      <c r="AK743" s="17">
        <f t="shared" si="450"/>
        <v>0</v>
      </c>
      <c r="AL743" s="28">
        <f t="shared" si="443"/>
        <v>0</v>
      </c>
      <c r="AM743" s="17">
        <f t="shared" si="458"/>
        <v>0</v>
      </c>
      <c r="AN743" s="28">
        <f t="shared" si="435"/>
        <v>0</v>
      </c>
      <c r="AO743" s="17">
        <f t="shared" si="463"/>
        <v>0</v>
      </c>
      <c r="AP743" s="28">
        <f t="shared" si="464"/>
        <v>0</v>
      </c>
      <c r="AQ743" s="17">
        <f t="shared" si="465"/>
        <v>0</v>
      </c>
      <c r="AR743" s="28">
        <f t="shared" si="466"/>
        <v>0</v>
      </c>
      <c r="AS743" s="17">
        <f t="shared" si="454"/>
        <v>0</v>
      </c>
      <c r="AT743" s="28">
        <f t="shared" si="455"/>
        <v>0</v>
      </c>
      <c r="AU743" s="17">
        <f t="shared" si="456"/>
        <v>0</v>
      </c>
      <c r="AV743" s="28">
        <f t="shared" si="457"/>
        <v>0</v>
      </c>
      <c r="AW743" s="17">
        <f t="shared" si="444"/>
        <v>0</v>
      </c>
      <c r="AX743" s="28">
        <f t="shared" si="445"/>
        <v>0</v>
      </c>
      <c r="AY743" s="17">
        <f t="shared" si="446"/>
        <v>0</v>
      </c>
      <c r="AZ743" s="28">
        <f t="shared" si="447"/>
        <v>0</v>
      </c>
      <c r="BA743" s="27">
        <f t="shared" si="437"/>
        <v>0</v>
      </c>
      <c r="BB743" s="27">
        <f t="shared" si="449"/>
        <v>0</v>
      </c>
      <c r="BC743" s="27">
        <f t="shared" si="451"/>
        <v>0</v>
      </c>
      <c r="BD743" s="27">
        <f t="shared" si="452"/>
        <v>0</v>
      </c>
      <c r="BE743" s="27">
        <f t="shared" si="453"/>
        <v>0</v>
      </c>
      <c r="BF743" s="29">
        <f t="shared" si="436"/>
        <v>0</v>
      </c>
      <c r="BH743" s="30">
        <f t="shared" si="448"/>
        <v>0</v>
      </c>
      <c r="BM743" s="2">
        <f t="shared" si="467"/>
        <v>0</v>
      </c>
      <c r="BP743" s="2">
        <f t="shared" si="468"/>
        <v>0</v>
      </c>
    </row>
    <row r="744" spans="1:68" ht="14.45" hidden="1" customHeight="1" x14ac:dyDescent="0.25">
      <c r="A744" s="33" t="s">
        <v>753</v>
      </c>
      <c r="B744" s="23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13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5"/>
      <c r="AD744" s="39">
        <f t="shared" si="462"/>
        <v>0</v>
      </c>
      <c r="AE744" s="26" t="s">
        <v>42</v>
      </c>
      <c r="AF744" s="27"/>
      <c r="AG744" s="17">
        <f t="shared" si="439"/>
        <v>0</v>
      </c>
      <c r="AH744" s="28">
        <f t="shared" si="440"/>
        <v>0</v>
      </c>
      <c r="AI744" s="17">
        <f t="shared" si="441"/>
        <v>0</v>
      </c>
      <c r="AJ744" s="28">
        <f t="shared" si="442"/>
        <v>0</v>
      </c>
      <c r="AK744" s="17">
        <f t="shared" si="450"/>
        <v>0</v>
      </c>
      <c r="AL744" s="28">
        <f t="shared" si="443"/>
        <v>0</v>
      </c>
      <c r="AM744" s="17">
        <f t="shared" si="458"/>
        <v>0</v>
      </c>
      <c r="AN744" s="28">
        <f t="shared" si="435"/>
        <v>0</v>
      </c>
      <c r="AO744" s="17">
        <f t="shared" si="463"/>
        <v>0</v>
      </c>
      <c r="AP744" s="28">
        <f t="shared" si="464"/>
        <v>0</v>
      </c>
      <c r="AQ744" s="17">
        <f t="shared" si="465"/>
        <v>0</v>
      </c>
      <c r="AR744" s="28">
        <f t="shared" si="466"/>
        <v>0</v>
      </c>
      <c r="AS744" s="17">
        <f t="shared" si="454"/>
        <v>0</v>
      </c>
      <c r="AT744" s="28">
        <f t="shared" si="455"/>
        <v>0</v>
      </c>
      <c r="AU744" s="17">
        <f t="shared" si="456"/>
        <v>0</v>
      </c>
      <c r="AV744" s="28">
        <f t="shared" si="457"/>
        <v>0</v>
      </c>
      <c r="AW744" s="17">
        <f t="shared" si="444"/>
        <v>0</v>
      </c>
      <c r="AX744" s="28">
        <f t="shared" si="445"/>
        <v>0</v>
      </c>
      <c r="AY744" s="17">
        <f t="shared" si="446"/>
        <v>0</v>
      </c>
      <c r="AZ744" s="28">
        <f t="shared" si="447"/>
        <v>0</v>
      </c>
      <c r="BA744" s="27">
        <f t="shared" si="437"/>
        <v>0</v>
      </c>
      <c r="BB744" s="27">
        <f t="shared" si="449"/>
        <v>0</v>
      </c>
      <c r="BC744" s="27">
        <f t="shared" si="451"/>
        <v>0</v>
      </c>
      <c r="BD744" s="27">
        <f t="shared" si="452"/>
        <v>0</v>
      </c>
      <c r="BE744" s="27">
        <f t="shared" si="453"/>
        <v>0</v>
      </c>
      <c r="BF744" s="29">
        <f t="shared" si="436"/>
        <v>0</v>
      </c>
      <c r="BH744" s="30">
        <f t="shared" si="448"/>
        <v>0</v>
      </c>
      <c r="BM744" s="2">
        <f t="shared" si="467"/>
        <v>0</v>
      </c>
      <c r="BP744" s="2">
        <f t="shared" si="468"/>
        <v>0</v>
      </c>
    </row>
    <row r="745" spans="1:68" ht="14.45" hidden="1" customHeight="1" x14ac:dyDescent="0.25">
      <c r="A745" s="33" t="s">
        <v>754</v>
      </c>
      <c r="B745" s="23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13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5"/>
      <c r="AD745" s="39">
        <f t="shared" si="462"/>
        <v>0</v>
      </c>
      <c r="AE745" s="26" t="s">
        <v>42</v>
      </c>
      <c r="AF745" s="27"/>
      <c r="AG745" s="17">
        <f t="shared" si="439"/>
        <v>0</v>
      </c>
      <c r="AH745" s="28">
        <f t="shared" si="440"/>
        <v>0</v>
      </c>
      <c r="AI745" s="17">
        <f t="shared" si="441"/>
        <v>0</v>
      </c>
      <c r="AJ745" s="28">
        <f t="shared" si="442"/>
        <v>0</v>
      </c>
      <c r="AK745" s="17">
        <f t="shared" si="450"/>
        <v>0</v>
      </c>
      <c r="AL745" s="28">
        <f t="shared" si="443"/>
        <v>0</v>
      </c>
      <c r="AM745" s="17">
        <f t="shared" si="458"/>
        <v>0</v>
      </c>
      <c r="AN745" s="28">
        <f t="shared" si="435"/>
        <v>0</v>
      </c>
      <c r="AO745" s="17">
        <f t="shared" si="463"/>
        <v>0</v>
      </c>
      <c r="AP745" s="28">
        <f t="shared" si="464"/>
        <v>0</v>
      </c>
      <c r="AQ745" s="17">
        <f t="shared" si="465"/>
        <v>0</v>
      </c>
      <c r="AR745" s="28">
        <f t="shared" si="466"/>
        <v>0</v>
      </c>
      <c r="AS745" s="17">
        <f t="shared" si="454"/>
        <v>0</v>
      </c>
      <c r="AT745" s="28">
        <f t="shared" si="455"/>
        <v>0</v>
      </c>
      <c r="AU745" s="17">
        <f t="shared" si="456"/>
        <v>0</v>
      </c>
      <c r="AV745" s="28">
        <f t="shared" si="457"/>
        <v>0</v>
      </c>
      <c r="AW745" s="17">
        <f t="shared" si="444"/>
        <v>0</v>
      </c>
      <c r="AX745" s="28">
        <f t="shared" si="445"/>
        <v>0</v>
      </c>
      <c r="AY745" s="17">
        <f t="shared" si="446"/>
        <v>0</v>
      </c>
      <c r="AZ745" s="28">
        <f t="shared" si="447"/>
        <v>0</v>
      </c>
      <c r="BA745" s="27">
        <f t="shared" si="437"/>
        <v>0</v>
      </c>
      <c r="BB745" s="27">
        <f t="shared" si="449"/>
        <v>0</v>
      </c>
      <c r="BC745" s="27">
        <f t="shared" si="451"/>
        <v>0</v>
      </c>
      <c r="BD745" s="27">
        <f t="shared" si="452"/>
        <v>0</v>
      </c>
      <c r="BE745" s="27">
        <f t="shared" si="453"/>
        <v>0</v>
      </c>
      <c r="BF745" s="29">
        <f t="shared" si="436"/>
        <v>0</v>
      </c>
      <c r="BH745" s="30">
        <f t="shared" si="448"/>
        <v>0</v>
      </c>
      <c r="BM745" s="2">
        <f t="shared" si="467"/>
        <v>0</v>
      </c>
      <c r="BP745" s="2">
        <f t="shared" si="468"/>
        <v>0</v>
      </c>
    </row>
    <row r="746" spans="1:68" ht="14.45" hidden="1" customHeight="1" x14ac:dyDescent="0.25">
      <c r="A746" s="33" t="s">
        <v>755</v>
      </c>
      <c r="B746" s="23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13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5"/>
      <c r="AD746" s="39">
        <f t="shared" si="462"/>
        <v>0</v>
      </c>
      <c r="AE746" s="26" t="s">
        <v>42</v>
      </c>
      <c r="AF746" s="27"/>
      <c r="AG746" s="17">
        <f t="shared" si="439"/>
        <v>0</v>
      </c>
      <c r="AH746" s="28">
        <f t="shared" si="440"/>
        <v>0</v>
      </c>
      <c r="AI746" s="17">
        <f t="shared" si="441"/>
        <v>0</v>
      </c>
      <c r="AJ746" s="28">
        <f t="shared" si="442"/>
        <v>0</v>
      </c>
      <c r="AK746" s="17">
        <f t="shared" si="450"/>
        <v>0</v>
      </c>
      <c r="AL746" s="28">
        <f t="shared" si="443"/>
        <v>0</v>
      </c>
      <c r="AM746" s="17">
        <f t="shared" si="458"/>
        <v>0</v>
      </c>
      <c r="AN746" s="28">
        <f t="shared" si="435"/>
        <v>0</v>
      </c>
      <c r="AO746" s="17">
        <f t="shared" si="463"/>
        <v>0</v>
      </c>
      <c r="AP746" s="28">
        <f t="shared" si="464"/>
        <v>0</v>
      </c>
      <c r="AQ746" s="17">
        <f t="shared" si="465"/>
        <v>0</v>
      </c>
      <c r="AR746" s="28">
        <f t="shared" si="466"/>
        <v>0</v>
      </c>
      <c r="AS746" s="17">
        <f t="shared" si="454"/>
        <v>0</v>
      </c>
      <c r="AT746" s="28">
        <f t="shared" si="455"/>
        <v>0</v>
      </c>
      <c r="AU746" s="17">
        <f t="shared" si="456"/>
        <v>0</v>
      </c>
      <c r="AV746" s="28">
        <f t="shared" si="457"/>
        <v>0</v>
      </c>
      <c r="AW746" s="17">
        <f t="shared" si="444"/>
        <v>0</v>
      </c>
      <c r="AX746" s="28">
        <f t="shared" si="445"/>
        <v>0</v>
      </c>
      <c r="AY746" s="17">
        <f t="shared" si="446"/>
        <v>0</v>
      </c>
      <c r="AZ746" s="28">
        <f t="shared" si="447"/>
        <v>0</v>
      </c>
      <c r="BA746" s="27">
        <f t="shared" si="437"/>
        <v>0</v>
      </c>
      <c r="BB746" s="27">
        <f t="shared" si="449"/>
        <v>0</v>
      </c>
      <c r="BC746" s="27">
        <f t="shared" si="451"/>
        <v>0</v>
      </c>
      <c r="BD746" s="27">
        <f t="shared" si="452"/>
        <v>0</v>
      </c>
      <c r="BE746" s="27">
        <f t="shared" si="453"/>
        <v>0</v>
      </c>
      <c r="BF746" s="29">
        <f t="shared" si="436"/>
        <v>0</v>
      </c>
      <c r="BH746" s="30">
        <f t="shared" si="448"/>
        <v>0</v>
      </c>
      <c r="BM746" s="2">
        <f t="shared" si="467"/>
        <v>0</v>
      </c>
      <c r="BP746" s="2">
        <f t="shared" si="468"/>
        <v>0</v>
      </c>
    </row>
    <row r="747" spans="1:68" ht="14.45" hidden="1" customHeight="1" x14ac:dyDescent="0.25">
      <c r="A747" s="33" t="s">
        <v>756</v>
      </c>
      <c r="B747" s="23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13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5"/>
      <c r="AD747" s="39">
        <f t="shared" si="462"/>
        <v>0</v>
      </c>
      <c r="AE747" s="26" t="s">
        <v>42</v>
      </c>
      <c r="AF747" s="27"/>
      <c r="AG747" s="17">
        <f t="shared" si="439"/>
        <v>0</v>
      </c>
      <c r="AH747" s="28">
        <f t="shared" si="440"/>
        <v>0</v>
      </c>
      <c r="AI747" s="17">
        <f t="shared" si="441"/>
        <v>0</v>
      </c>
      <c r="AJ747" s="28">
        <f t="shared" si="442"/>
        <v>0</v>
      </c>
      <c r="AK747" s="17">
        <f t="shared" si="450"/>
        <v>0</v>
      </c>
      <c r="AL747" s="28">
        <f t="shared" si="443"/>
        <v>0</v>
      </c>
      <c r="AM747" s="17">
        <f t="shared" si="458"/>
        <v>0</v>
      </c>
      <c r="AN747" s="28">
        <f t="shared" si="435"/>
        <v>0</v>
      </c>
      <c r="AO747" s="17">
        <f t="shared" si="463"/>
        <v>0</v>
      </c>
      <c r="AP747" s="28">
        <f t="shared" si="464"/>
        <v>0</v>
      </c>
      <c r="AQ747" s="17">
        <f t="shared" si="465"/>
        <v>0</v>
      </c>
      <c r="AR747" s="28">
        <f t="shared" si="466"/>
        <v>0</v>
      </c>
      <c r="AS747" s="17">
        <f t="shared" si="454"/>
        <v>0</v>
      </c>
      <c r="AT747" s="28">
        <f t="shared" si="455"/>
        <v>0</v>
      </c>
      <c r="AU747" s="17">
        <f t="shared" si="456"/>
        <v>0</v>
      </c>
      <c r="AV747" s="28">
        <f t="shared" si="457"/>
        <v>0</v>
      </c>
      <c r="AW747" s="17">
        <f t="shared" si="444"/>
        <v>0</v>
      </c>
      <c r="AX747" s="28">
        <f t="shared" si="445"/>
        <v>0</v>
      </c>
      <c r="AY747" s="17">
        <f t="shared" si="446"/>
        <v>0</v>
      </c>
      <c r="AZ747" s="28">
        <f t="shared" si="447"/>
        <v>0</v>
      </c>
      <c r="BA747" s="27">
        <f t="shared" si="437"/>
        <v>0</v>
      </c>
      <c r="BB747" s="27">
        <f t="shared" si="449"/>
        <v>0</v>
      </c>
      <c r="BC747" s="27">
        <f t="shared" si="451"/>
        <v>0</v>
      </c>
      <c r="BD747" s="27">
        <f t="shared" si="452"/>
        <v>0</v>
      </c>
      <c r="BE747" s="27">
        <f t="shared" si="453"/>
        <v>0</v>
      </c>
      <c r="BF747" s="29">
        <f t="shared" si="436"/>
        <v>0</v>
      </c>
      <c r="BH747" s="30">
        <f t="shared" si="448"/>
        <v>0</v>
      </c>
      <c r="BM747" s="2">
        <f t="shared" si="467"/>
        <v>0</v>
      </c>
      <c r="BP747" s="2">
        <f t="shared" si="468"/>
        <v>0</v>
      </c>
    </row>
    <row r="748" spans="1:68" ht="14.45" hidden="1" customHeight="1" x14ac:dyDescent="0.25">
      <c r="A748" s="33" t="s">
        <v>757</v>
      </c>
      <c r="B748" s="23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13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5"/>
      <c r="AD748" s="39">
        <f t="shared" si="462"/>
        <v>0</v>
      </c>
      <c r="AE748" s="26" t="s">
        <v>42</v>
      </c>
      <c r="AF748" s="27"/>
      <c r="AG748" s="17">
        <f t="shared" si="439"/>
        <v>0</v>
      </c>
      <c r="AH748" s="28">
        <f t="shared" si="440"/>
        <v>0</v>
      </c>
      <c r="AI748" s="17">
        <f t="shared" si="441"/>
        <v>0</v>
      </c>
      <c r="AJ748" s="28">
        <f t="shared" si="442"/>
        <v>0</v>
      </c>
      <c r="AK748" s="17">
        <f t="shared" si="450"/>
        <v>0</v>
      </c>
      <c r="AL748" s="28">
        <f t="shared" si="443"/>
        <v>0</v>
      </c>
      <c r="AM748" s="17">
        <f t="shared" si="458"/>
        <v>0</v>
      </c>
      <c r="AN748" s="28">
        <f t="shared" si="435"/>
        <v>0</v>
      </c>
      <c r="AO748" s="17">
        <f t="shared" si="463"/>
        <v>0</v>
      </c>
      <c r="AP748" s="28">
        <f t="shared" si="464"/>
        <v>0</v>
      </c>
      <c r="AQ748" s="17">
        <f t="shared" si="465"/>
        <v>0</v>
      </c>
      <c r="AR748" s="28">
        <f t="shared" si="466"/>
        <v>0</v>
      </c>
      <c r="AS748" s="17">
        <f t="shared" si="454"/>
        <v>0</v>
      </c>
      <c r="AT748" s="28">
        <f t="shared" si="455"/>
        <v>0</v>
      </c>
      <c r="AU748" s="17">
        <f t="shared" si="456"/>
        <v>0</v>
      </c>
      <c r="AV748" s="28">
        <f t="shared" si="457"/>
        <v>0</v>
      </c>
      <c r="AW748" s="17">
        <f t="shared" si="444"/>
        <v>0</v>
      </c>
      <c r="AX748" s="28">
        <f t="shared" si="445"/>
        <v>0</v>
      </c>
      <c r="AY748" s="17">
        <f t="shared" si="446"/>
        <v>0</v>
      </c>
      <c r="AZ748" s="28">
        <f t="shared" si="447"/>
        <v>0</v>
      </c>
      <c r="BA748" s="27">
        <f t="shared" si="437"/>
        <v>0</v>
      </c>
      <c r="BB748" s="27">
        <f t="shared" si="449"/>
        <v>0</v>
      </c>
      <c r="BC748" s="27">
        <f t="shared" si="451"/>
        <v>0</v>
      </c>
      <c r="BD748" s="27">
        <f t="shared" si="452"/>
        <v>0</v>
      </c>
      <c r="BE748" s="27">
        <f t="shared" si="453"/>
        <v>0</v>
      </c>
      <c r="BF748" s="29">
        <f t="shared" si="436"/>
        <v>0</v>
      </c>
      <c r="BH748" s="30">
        <f t="shared" si="448"/>
        <v>0</v>
      </c>
      <c r="BM748" s="2">
        <f t="shared" si="467"/>
        <v>0</v>
      </c>
      <c r="BP748" s="2">
        <f t="shared" si="468"/>
        <v>0</v>
      </c>
    </row>
    <row r="749" spans="1:68" ht="14.45" customHeight="1" x14ac:dyDescent="0.25">
      <c r="A749" s="33" t="s">
        <v>754</v>
      </c>
      <c r="B749" s="23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13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5"/>
      <c r="AD749" s="39">
        <f t="shared" si="462"/>
        <v>0</v>
      </c>
      <c r="AE749" s="26"/>
      <c r="AF749" s="27"/>
      <c r="AG749" s="17">
        <f t="shared" si="439"/>
        <v>0</v>
      </c>
      <c r="AH749" s="28">
        <f t="shared" si="440"/>
        <v>0</v>
      </c>
      <c r="AI749" s="17">
        <f t="shared" si="441"/>
        <v>0</v>
      </c>
      <c r="AJ749" s="28">
        <f t="shared" si="442"/>
        <v>0</v>
      </c>
      <c r="AK749" s="17">
        <f t="shared" si="450"/>
        <v>0</v>
      </c>
      <c r="AL749" s="28">
        <f t="shared" si="443"/>
        <v>0</v>
      </c>
      <c r="AM749" s="17">
        <f t="shared" si="458"/>
        <v>0</v>
      </c>
      <c r="AN749" s="28">
        <f t="shared" si="435"/>
        <v>0</v>
      </c>
      <c r="AO749" s="17"/>
      <c r="AP749" s="28"/>
      <c r="AQ749" s="17"/>
      <c r="AR749" s="28"/>
      <c r="AS749" s="17">
        <f t="shared" si="454"/>
        <v>0</v>
      </c>
      <c r="AT749" s="28">
        <f t="shared" si="455"/>
        <v>0</v>
      </c>
      <c r="AU749" s="17">
        <f t="shared" si="456"/>
        <v>0</v>
      </c>
      <c r="AV749" s="28">
        <f t="shared" si="457"/>
        <v>0</v>
      </c>
      <c r="AW749" s="17">
        <f t="shared" si="444"/>
        <v>0</v>
      </c>
      <c r="AX749" s="28">
        <f t="shared" si="445"/>
        <v>0</v>
      </c>
      <c r="AY749" s="17">
        <f t="shared" si="446"/>
        <v>0</v>
      </c>
      <c r="AZ749" s="28">
        <f t="shared" si="447"/>
        <v>0</v>
      </c>
      <c r="BA749" s="27"/>
      <c r="BB749" s="27">
        <f t="shared" si="449"/>
        <v>0</v>
      </c>
      <c r="BC749" s="27">
        <f t="shared" si="451"/>
        <v>0</v>
      </c>
      <c r="BD749" s="27">
        <f t="shared" si="452"/>
        <v>0</v>
      </c>
      <c r="BE749" s="27">
        <f t="shared" si="453"/>
        <v>0</v>
      </c>
      <c r="BF749" s="29">
        <f t="shared" si="436"/>
        <v>0</v>
      </c>
      <c r="BH749" s="30">
        <f t="shared" si="448"/>
        <v>0</v>
      </c>
    </row>
    <row r="750" spans="1:68" x14ac:dyDescent="0.25">
      <c r="A750" s="33" t="s">
        <v>758</v>
      </c>
      <c r="B750" s="23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13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5"/>
      <c r="AD750" s="25">
        <f t="shared" ref="AD750:AD784" si="469">SUM(B750:S750)</f>
        <v>0</v>
      </c>
      <c r="AE750" s="26" t="s">
        <v>42</v>
      </c>
      <c r="AF750" s="27">
        <v>521</v>
      </c>
      <c r="AG750" s="17">
        <f t="shared" si="439"/>
        <v>0</v>
      </c>
      <c r="AH750" s="28">
        <f t="shared" si="440"/>
        <v>0</v>
      </c>
      <c r="AI750" s="17">
        <f t="shared" si="441"/>
        <v>0</v>
      </c>
      <c r="AJ750" s="28">
        <f t="shared" si="442"/>
        <v>0</v>
      </c>
      <c r="AK750" s="17">
        <f t="shared" si="450"/>
        <v>0</v>
      </c>
      <c r="AL750" s="28">
        <f t="shared" si="443"/>
        <v>0</v>
      </c>
      <c r="AM750" s="17">
        <f t="shared" si="458"/>
        <v>0</v>
      </c>
      <c r="AN750" s="28">
        <f t="shared" si="435"/>
        <v>0</v>
      </c>
      <c r="AO750" s="17">
        <f t="shared" ref="AO750:AO758" si="470">+B750</f>
        <v>0</v>
      </c>
      <c r="AP750" s="28">
        <f t="shared" ref="AP750:AP758" si="471">+AO750*AF750</f>
        <v>0</v>
      </c>
      <c r="AQ750" s="17">
        <f t="shared" ref="AQ750:AQ758" si="472">+P750</f>
        <v>0</v>
      </c>
      <c r="AR750" s="28">
        <f t="shared" ref="AR750:AR758" si="473">+AQ750*AF750</f>
        <v>0</v>
      </c>
      <c r="AS750" s="17">
        <f t="shared" si="454"/>
        <v>0</v>
      </c>
      <c r="AT750" s="28">
        <f t="shared" si="455"/>
        <v>0</v>
      </c>
      <c r="AU750" s="17">
        <f t="shared" si="456"/>
        <v>0</v>
      </c>
      <c r="AV750" s="28">
        <f t="shared" si="457"/>
        <v>0</v>
      </c>
      <c r="AW750" s="17">
        <f t="shared" si="444"/>
        <v>0</v>
      </c>
      <c r="AX750" s="28">
        <f t="shared" si="445"/>
        <v>0</v>
      </c>
      <c r="AY750" s="17">
        <f t="shared" si="446"/>
        <v>0</v>
      </c>
      <c r="AZ750" s="28">
        <f t="shared" si="447"/>
        <v>0</v>
      </c>
      <c r="BA750" s="27">
        <f t="shared" si="437"/>
        <v>0</v>
      </c>
      <c r="BB750" s="27">
        <f t="shared" si="449"/>
        <v>0</v>
      </c>
      <c r="BC750" s="27">
        <f t="shared" si="451"/>
        <v>0</v>
      </c>
      <c r="BD750" s="27">
        <f t="shared" si="452"/>
        <v>0</v>
      </c>
      <c r="BE750" s="27">
        <f t="shared" si="453"/>
        <v>0</v>
      </c>
      <c r="BF750" s="29">
        <f t="shared" si="436"/>
        <v>0</v>
      </c>
      <c r="BH750" s="30">
        <f t="shared" si="448"/>
        <v>0</v>
      </c>
      <c r="BM750" s="2">
        <f t="shared" ref="BM750:BM758" si="474">SUM(B750:S750)</f>
        <v>0</v>
      </c>
      <c r="BP750" s="2">
        <f t="shared" ref="BP750:BP758" si="475">SUM(B750:S750)</f>
        <v>0</v>
      </c>
    </row>
    <row r="751" spans="1:68" ht="14.45" hidden="1" customHeight="1" x14ac:dyDescent="0.25">
      <c r="A751" s="33" t="s">
        <v>759</v>
      </c>
      <c r="B751" s="23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13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5"/>
      <c r="AD751" s="25">
        <f t="shared" si="469"/>
        <v>0</v>
      </c>
      <c r="AE751" s="26" t="s">
        <v>42</v>
      </c>
      <c r="AF751" s="27"/>
      <c r="AG751" s="17">
        <f t="shared" si="439"/>
        <v>0</v>
      </c>
      <c r="AH751" s="28">
        <f t="shared" si="440"/>
        <v>0</v>
      </c>
      <c r="AI751" s="17">
        <f t="shared" si="441"/>
        <v>0</v>
      </c>
      <c r="AJ751" s="28">
        <f t="shared" si="442"/>
        <v>0</v>
      </c>
      <c r="AK751" s="17">
        <f t="shared" si="450"/>
        <v>0</v>
      </c>
      <c r="AL751" s="28">
        <f t="shared" si="443"/>
        <v>0</v>
      </c>
      <c r="AM751" s="17">
        <f t="shared" si="458"/>
        <v>0</v>
      </c>
      <c r="AN751" s="28">
        <f t="shared" si="435"/>
        <v>0</v>
      </c>
      <c r="AO751" s="17">
        <f t="shared" si="470"/>
        <v>0</v>
      </c>
      <c r="AP751" s="28">
        <f t="shared" si="471"/>
        <v>0</v>
      </c>
      <c r="AQ751" s="17">
        <f t="shared" si="472"/>
        <v>0</v>
      </c>
      <c r="AR751" s="28">
        <f t="shared" si="473"/>
        <v>0</v>
      </c>
      <c r="AS751" s="17">
        <f t="shared" si="454"/>
        <v>0</v>
      </c>
      <c r="AT751" s="28">
        <f t="shared" si="455"/>
        <v>0</v>
      </c>
      <c r="AU751" s="17">
        <f t="shared" si="456"/>
        <v>0</v>
      </c>
      <c r="AV751" s="28">
        <f t="shared" si="457"/>
        <v>0</v>
      </c>
      <c r="AW751" s="17">
        <f t="shared" si="444"/>
        <v>0</v>
      </c>
      <c r="AX751" s="28">
        <f t="shared" si="445"/>
        <v>0</v>
      </c>
      <c r="AY751" s="17">
        <f t="shared" si="446"/>
        <v>0</v>
      </c>
      <c r="AZ751" s="28">
        <f t="shared" si="447"/>
        <v>0</v>
      </c>
      <c r="BA751" s="27">
        <f t="shared" si="437"/>
        <v>0</v>
      </c>
      <c r="BB751" s="27">
        <f t="shared" si="449"/>
        <v>0</v>
      </c>
      <c r="BC751" s="27">
        <f t="shared" si="451"/>
        <v>0</v>
      </c>
      <c r="BD751" s="27">
        <f t="shared" si="452"/>
        <v>0</v>
      </c>
      <c r="BE751" s="27">
        <f t="shared" si="453"/>
        <v>0</v>
      </c>
      <c r="BF751" s="29">
        <f t="shared" si="436"/>
        <v>0</v>
      </c>
      <c r="BH751" s="30">
        <f t="shared" si="448"/>
        <v>0</v>
      </c>
      <c r="BM751" s="2">
        <f t="shared" si="474"/>
        <v>0</v>
      </c>
      <c r="BP751" s="2">
        <f t="shared" si="475"/>
        <v>0</v>
      </c>
    </row>
    <row r="752" spans="1:68" x14ac:dyDescent="0.25">
      <c r="A752" s="33" t="s">
        <v>760</v>
      </c>
      <c r="B752" s="23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13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5"/>
      <c r="AD752" s="25">
        <f t="shared" si="469"/>
        <v>0</v>
      </c>
      <c r="AE752" s="26" t="s">
        <v>42</v>
      </c>
      <c r="AF752" s="27">
        <v>521</v>
      </c>
      <c r="AG752" s="17">
        <f t="shared" si="439"/>
        <v>0</v>
      </c>
      <c r="AH752" s="28">
        <f t="shared" si="440"/>
        <v>0</v>
      </c>
      <c r="AI752" s="17">
        <f t="shared" si="441"/>
        <v>0</v>
      </c>
      <c r="AJ752" s="28">
        <f t="shared" si="442"/>
        <v>0</v>
      </c>
      <c r="AK752" s="17">
        <f t="shared" si="450"/>
        <v>0</v>
      </c>
      <c r="AL752" s="28">
        <f t="shared" si="443"/>
        <v>0</v>
      </c>
      <c r="AM752" s="17">
        <f t="shared" si="458"/>
        <v>0</v>
      </c>
      <c r="AN752" s="28">
        <f t="shared" si="435"/>
        <v>0</v>
      </c>
      <c r="AO752" s="17">
        <f t="shared" si="470"/>
        <v>0</v>
      </c>
      <c r="AP752" s="28">
        <f t="shared" si="471"/>
        <v>0</v>
      </c>
      <c r="AQ752" s="17">
        <f t="shared" si="472"/>
        <v>0</v>
      </c>
      <c r="AR752" s="28">
        <f t="shared" si="473"/>
        <v>0</v>
      </c>
      <c r="AS752" s="17">
        <f t="shared" si="454"/>
        <v>0</v>
      </c>
      <c r="AT752" s="28">
        <f t="shared" si="455"/>
        <v>0</v>
      </c>
      <c r="AU752" s="17">
        <f t="shared" si="456"/>
        <v>0</v>
      </c>
      <c r="AV752" s="28">
        <f t="shared" si="457"/>
        <v>0</v>
      </c>
      <c r="AW752" s="17">
        <f t="shared" si="444"/>
        <v>0</v>
      </c>
      <c r="AX752" s="28">
        <f t="shared" si="445"/>
        <v>0</v>
      </c>
      <c r="AY752" s="17">
        <f t="shared" si="446"/>
        <v>0</v>
      </c>
      <c r="AZ752" s="28">
        <f t="shared" si="447"/>
        <v>0</v>
      </c>
      <c r="BA752" s="27">
        <f t="shared" si="437"/>
        <v>0</v>
      </c>
      <c r="BB752" s="27">
        <f t="shared" si="449"/>
        <v>0</v>
      </c>
      <c r="BC752" s="27">
        <f t="shared" si="451"/>
        <v>0</v>
      </c>
      <c r="BD752" s="27">
        <f t="shared" si="452"/>
        <v>0</v>
      </c>
      <c r="BE752" s="27">
        <f t="shared" si="453"/>
        <v>0</v>
      </c>
      <c r="BF752" s="29">
        <f t="shared" si="436"/>
        <v>0</v>
      </c>
      <c r="BH752" s="30">
        <f t="shared" si="448"/>
        <v>0</v>
      </c>
      <c r="BM752" s="2">
        <f t="shared" si="474"/>
        <v>0</v>
      </c>
      <c r="BP752" s="2">
        <f t="shared" si="475"/>
        <v>0</v>
      </c>
    </row>
    <row r="753" spans="1:68" x14ac:dyDescent="0.25">
      <c r="A753" s="33" t="s">
        <v>761</v>
      </c>
      <c r="B753" s="23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13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5"/>
      <c r="AD753" s="25">
        <f t="shared" si="469"/>
        <v>0</v>
      </c>
      <c r="AE753" s="26" t="s">
        <v>42</v>
      </c>
      <c r="AF753" s="27">
        <v>407</v>
      </c>
      <c r="AG753" s="17">
        <f t="shared" si="439"/>
        <v>0</v>
      </c>
      <c r="AH753" s="28">
        <f t="shared" si="440"/>
        <v>0</v>
      </c>
      <c r="AI753" s="17">
        <f t="shared" si="441"/>
        <v>0</v>
      </c>
      <c r="AJ753" s="28">
        <f t="shared" si="442"/>
        <v>0</v>
      </c>
      <c r="AK753" s="17">
        <f t="shared" si="450"/>
        <v>0</v>
      </c>
      <c r="AL753" s="28">
        <f t="shared" si="443"/>
        <v>0</v>
      </c>
      <c r="AM753" s="17">
        <f t="shared" si="458"/>
        <v>0</v>
      </c>
      <c r="AN753" s="28">
        <f t="shared" ref="AN753:AN784" si="476">+AM753*AF753</f>
        <v>0</v>
      </c>
      <c r="AO753" s="17">
        <f t="shared" si="470"/>
        <v>0</v>
      </c>
      <c r="AP753" s="28">
        <f t="shared" si="471"/>
        <v>0</v>
      </c>
      <c r="AQ753" s="17">
        <f t="shared" si="472"/>
        <v>0</v>
      </c>
      <c r="AR753" s="28">
        <f t="shared" si="473"/>
        <v>0</v>
      </c>
      <c r="AS753" s="17">
        <f t="shared" si="454"/>
        <v>0</v>
      </c>
      <c r="AT753" s="28">
        <f t="shared" si="455"/>
        <v>0</v>
      </c>
      <c r="AU753" s="17">
        <f t="shared" si="456"/>
        <v>0</v>
      </c>
      <c r="AV753" s="28">
        <f t="shared" si="457"/>
        <v>0</v>
      </c>
      <c r="AW753" s="17">
        <f t="shared" si="444"/>
        <v>0</v>
      </c>
      <c r="AX753" s="28">
        <f t="shared" si="445"/>
        <v>0</v>
      </c>
      <c r="AY753" s="17">
        <f t="shared" si="446"/>
        <v>0</v>
      </c>
      <c r="AZ753" s="28">
        <f t="shared" si="447"/>
        <v>0</v>
      </c>
      <c r="BA753" s="27">
        <f t="shared" si="437"/>
        <v>0</v>
      </c>
      <c r="BB753" s="27">
        <f t="shared" si="449"/>
        <v>0</v>
      </c>
      <c r="BC753" s="27">
        <f t="shared" si="451"/>
        <v>0</v>
      </c>
      <c r="BD753" s="27">
        <f t="shared" si="452"/>
        <v>0</v>
      </c>
      <c r="BE753" s="27">
        <f t="shared" si="453"/>
        <v>0</v>
      </c>
      <c r="BF753" s="29">
        <f t="shared" si="436"/>
        <v>0</v>
      </c>
      <c r="BH753" s="30">
        <f t="shared" si="448"/>
        <v>0</v>
      </c>
      <c r="BM753" s="2">
        <f t="shared" si="474"/>
        <v>0</v>
      </c>
      <c r="BP753" s="2">
        <f t="shared" si="475"/>
        <v>0</v>
      </c>
    </row>
    <row r="754" spans="1:68" ht="14.45" hidden="1" customHeight="1" x14ac:dyDescent="0.25">
      <c r="A754" s="33" t="s">
        <v>762</v>
      </c>
      <c r="B754" s="23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13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5"/>
      <c r="AD754" s="25">
        <f t="shared" si="469"/>
        <v>0</v>
      </c>
      <c r="AE754" s="26" t="s">
        <v>42</v>
      </c>
      <c r="AF754" s="27"/>
      <c r="AG754" s="17">
        <f t="shared" si="439"/>
        <v>0</v>
      </c>
      <c r="AH754" s="28">
        <f t="shared" si="440"/>
        <v>0</v>
      </c>
      <c r="AI754" s="17">
        <f t="shared" si="441"/>
        <v>0</v>
      </c>
      <c r="AJ754" s="28">
        <f t="shared" si="442"/>
        <v>0</v>
      </c>
      <c r="AK754" s="17">
        <f t="shared" si="450"/>
        <v>0</v>
      </c>
      <c r="AL754" s="28">
        <f t="shared" si="443"/>
        <v>0</v>
      </c>
      <c r="AM754" s="17">
        <f t="shared" si="458"/>
        <v>0</v>
      </c>
      <c r="AN754" s="28">
        <f t="shared" si="476"/>
        <v>0</v>
      </c>
      <c r="AO754" s="17">
        <f t="shared" si="470"/>
        <v>0</v>
      </c>
      <c r="AP754" s="28">
        <f t="shared" si="471"/>
        <v>0</v>
      </c>
      <c r="AQ754" s="17">
        <f t="shared" si="472"/>
        <v>0</v>
      </c>
      <c r="AR754" s="28">
        <f t="shared" si="473"/>
        <v>0</v>
      </c>
      <c r="AS754" s="17">
        <f t="shared" si="454"/>
        <v>0</v>
      </c>
      <c r="AT754" s="28">
        <f t="shared" si="455"/>
        <v>0</v>
      </c>
      <c r="AU754" s="17">
        <f t="shared" si="456"/>
        <v>0</v>
      </c>
      <c r="AV754" s="28">
        <f t="shared" si="457"/>
        <v>0</v>
      </c>
      <c r="AW754" s="17">
        <f t="shared" si="444"/>
        <v>0</v>
      </c>
      <c r="AX754" s="28">
        <f t="shared" si="445"/>
        <v>0</v>
      </c>
      <c r="AY754" s="17">
        <f t="shared" si="446"/>
        <v>0</v>
      </c>
      <c r="AZ754" s="28">
        <f t="shared" si="447"/>
        <v>0</v>
      </c>
      <c r="BA754" s="27">
        <f t="shared" si="437"/>
        <v>0</v>
      </c>
      <c r="BB754" s="27">
        <f t="shared" si="449"/>
        <v>0</v>
      </c>
      <c r="BC754" s="27">
        <f t="shared" si="451"/>
        <v>0</v>
      </c>
      <c r="BD754" s="27">
        <f t="shared" si="452"/>
        <v>0</v>
      </c>
      <c r="BE754" s="27">
        <f t="shared" si="453"/>
        <v>0</v>
      </c>
      <c r="BF754" s="29">
        <f t="shared" si="436"/>
        <v>0</v>
      </c>
      <c r="BH754" s="30">
        <f t="shared" si="448"/>
        <v>0</v>
      </c>
      <c r="BM754" s="2">
        <f t="shared" si="474"/>
        <v>0</v>
      </c>
      <c r="BP754" s="2">
        <f t="shared" si="475"/>
        <v>0</v>
      </c>
    </row>
    <row r="755" spans="1:68" ht="14.45" hidden="1" customHeight="1" x14ac:dyDescent="0.25">
      <c r="A755" s="33" t="s">
        <v>763</v>
      </c>
      <c r="B755" s="23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13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5"/>
      <c r="AD755" s="25">
        <f t="shared" si="469"/>
        <v>0</v>
      </c>
      <c r="AE755" s="26" t="s">
        <v>42</v>
      </c>
      <c r="AF755" s="27"/>
      <c r="AG755" s="17">
        <f t="shared" si="439"/>
        <v>0</v>
      </c>
      <c r="AH755" s="28">
        <f t="shared" si="440"/>
        <v>0</v>
      </c>
      <c r="AI755" s="17">
        <f t="shared" si="441"/>
        <v>0</v>
      </c>
      <c r="AJ755" s="28">
        <f t="shared" si="442"/>
        <v>0</v>
      </c>
      <c r="AK755" s="17">
        <f t="shared" si="450"/>
        <v>0</v>
      </c>
      <c r="AL755" s="28">
        <f t="shared" si="443"/>
        <v>0</v>
      </c>
      <c r="AM755" s="17">
        <f t="shared" si="458"/>
        <v>0</v>
      </c>
      <c r="AN755" s="28">
        <f t="shared" si="476"/>
        <v>0</v>
      </c>
      <c r="AO755" s="17">
        <f t="shared" si="470"/>
        <v>0</v>
      </c>
      <c r="AP755" s="28">
        <f t="shared" si="471"/>
        <v>0</v>
      </c>
      <c r="AQ755" s="17">
        <f t="shared" si="472"/>
        <v>0</v>
      </c>
      <c r="AR755" s="28">
        <f t="shared" si="473"/>
        <v>0</v>
      </c>
      <c r="AS755" s="17">
        <f t="shared" si="454"/>
        <v>0</v>
      </c>
      <c r="AT755" s="28">
        <f t="shared" si="455"/>
        <v>0</v>
      </c>
      <c r="AU755" s="17">
        <f t="shared" si="456"/>
        <v>0</v>
      </c>
      <c r="AV755" s="28">
        <f t="shared" si="457"/>
        <v>0</v>
      </c>
      <c r="AW755" s="17">
        <f t="shared" si="444"/>
        <v>0</v>
      </c>
      <c r="AX755" s="28">
        <f t="shared" si="445"/>
        <v>0</v>
      </c>
      <c r="AY755" s="17">
        <f t="shared" si="446"/>
        <v>0</v>
      </c>
      <c r="AZ755" s="28">
        <f t="shared" si="447"/>
        <v>0</v>
      </c>
      <c r="BA755" s="27">
        <f t="shared" si="437"/>
        <v>0</v>
      </c>
      <c r="BB755" s="27">
        <f t="shared" si="449"/>
        <v>0</v>
      </c>
      <c r="BC755" s="27">
        <f t="shared" si="451"/>
        <v>0</v>
      </c>
      <c r="BD755" s="27">
        <f t="shared" si="452"/>
        <v>0</v>
      </c>
      <c r="BE755" s="27">
        <f t="shared" si="453"/>
        <v>0</v>
      </c>
      <c r="BF755" s="29">
        <f t="shared" si="436"/>
        <v>0</v>
      </c>
      <c r="BH755" s="30">
        <f t="shared" si="448"/>
        <v>0</v>
      </c>
      <c r="BM755" s="2">
        <f t="shared" si="474"/>
        <v>0</v>
      </c>
      <c r="BP755" s="2">
        <f t="shared" si="475"/>
        <v>0</v>
      </c>
    </row>
    <row r="756" spans="1:68" ht="14.45" hidden="1" customHeight="1" x14ac:dyDescent="0.25">
      <c r="A756" s="38" t="s">
        <v>764</v>
      </c>
      <c r="B756" s="23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13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5"/>
      <c r="AD756" s="25">
        <f t="shared" si="469"/>
        <v>0</v>
      </c>
      <c r="AE756" s="26" t="s">
        <v>42</v>
      </c>
      <c r="AF756" s="27"/>
      <c r="AG756" s="17">
        <f t="shared" si="439"/>
        <v>0</v>
      </c>
      <c r="AH756" s="28">
        <f t="shared" si="440"/>
        <v>0</v>
      </c>
      <c r="AI756" s="17">
        <f t="shared" si="441"/>
        <v>0</v>
      </c>
      <c r="AJ756" s="28">
        <f t="shared" si="442"/>
        <v>0</v>
      </c>
      <c r="AK756" s="17">
        <f t="shared" si="450"/>
        <v>0</v>
      </c>
      <c r="AL756" s="28">
        <f t="shared" si="443"/>
        <v>0</v>
      </c>
      <c r="AM756" s="17">
        <f t="shared" si="458"/>
        <v>0</v>
      </c>
      <c r="AN756" s="28">
        <f t="shared" si="476"/>
        <v>0</v>
      </c>
      <c r="AO756" s="17">
        <f t="shared" si="470"/>
        <v>0</v>
      </c>
      <c r="AP756" s="28">
        <f t="shared" si="471"/>
        <v>0</v>
      </c>
      <c r="AQ756" s="17">
        <f t="shared" si="472"/>
        <v>0</v>
      </c>
      <c r="AR756" s="28">
        <f t="shared" si="473"/>
        <v>0</v>
      </c>
      <c r="AS756" s="17">
        <f t="shared" si="454"/>
        <v>0</v>
      </c>
      <c r="AT756" s="28">
        <f t="shared" si="455"/>
        <v>0</v>
      </c>
      <c r="AU756" s="17">
        <f t="shared" si="456"/>
        <v>0</v>
      </c>
      <c r="AV756" s="28">
        <f t="shared" si="457"/>
        <v>0</v>
      </c>
      <c r="AW756" s="17">
        <f t="shared" si="444"/>
        <v>0</v>
      </c>
      <c r="AX756" s="28">
        <f t="shared" si="445"/>
        <v>0</v>
      </c>
      <c r="AY756" s="17">
        <f t="shared" si="446"/>
        <v>0</v>
      </c>
      <c r="AZ756" s="28">
        <f t="shared" si="447"/>
        <v>0</v>
      </c>
      <c r="BA756" s="27">
        <f t="shared" si="437"/>
        <v>0</v>
      </c>
      <c r="BB756" s="27">
        <f t="shared" si="449"/>
        <v>0</v>
      </c>
      <c r="BC756" s="27">
        <f t="shared" si="451"/>
        <v>0</v>
      </c>
      <c r="BD756" s="27">
        <f t="shared" si="452"/>
        <v>0</v>
      </c>
      <c r="BE756" s="27">
        <f t="shared" si="453"/>
        <v>0</v>
      </c>
      <c r="BF756" s="29">
        <f t="shared" ref="BF756:BF784" si="477">+BB756+BA756*5%+BD756*30%</f>
        <v>0</v>
      </c>
      <c r="BH756" s="30">
        <f t="shared" si="448"/>
        <v>0</v>
      </c>
      <c r="BM756" s="2">
        <f t="shared" si="474"/>
        <v>0</v>
      </c>
      <c r="BP756" s="2">
        <f t="shared" si="475"/>
        <v>0</v>
      </c>
    </row>
    <row r="757" spans="1:68" ht="14.45" hidden="1" customHeight="1" x14ac:dyDescent="0.25">
      <c r="A757" s="33" t="s">
        <v>765</v>
      </c>
      <c r="B757" s="23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13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5"/>
      <c r="AD757" s="25">
        <f t="shared" si="469"/>
        <v>0</v>
      </c>
      <c r="AE757" s="26" t="s">
        <v>42</v>
      </c>
      <c r="AF757" s="27"/>
      <c r="AG757" s="17">
        <f t="shared" si="439"/>
        <v>0</v>
      </c>
      <c r="AH757" s="28">
        <f t="shared" si="440"/>
        <v>0</v>
      </c>
      <c r="AI757" s="17">
        <f t="shared" si="441"/>
        <v>0</v>
      </c>
      <c r="AJ757" s="28">
        <f t="shared" si="442"/>
        <v>0</v>
      </c>
      <c r="AK757" s="17">
        <f t="shared" si="450"/>
        <v>0</v>
      </c>
      <c r="AL757" s="28">
        <f t="shared" si="443"/>
        <v>0</v>
      </c>
      <c r="AM757" s="17">
        <f t="shared" si="458"/>
        <v>0</v>
      </c>
      <c r="AN757" s="28">
        <f t="shared" si="476"/>
        <v>0</v>
      </c>
      <c r="AO757" s="17">
        <f t="shared" si="470"/>
        <v>0</v>
      </c>
      <c r="AP757" s="28">
        <f t="shared" si="471"/>
        <v>0</v>
      </c>
      <c r="AQ757" s="17">
        <f t="shared" si="472"/>
        <v>0</v>
      </c>
      <c r="AR757" s="28">
        <f t="shared" si="473"/>
        <v>0</v>
      </c>
      <c r="AS757" s="17">
        <f t="shared" si="454"/>
        <v>0</v>
      </c>
      <c r="AT757" s="28">
        <f t="shared" si="455"/>
        <v>0</v>
      </c>
      <c r="AU757" s="17">
        <f t="shared" si="456"/>
        <v>0</v>
      </c>
      <c r="AV757" s="28">
        <f t="shared" si="457"/>
        <v>0</v>
      </c>
      <c r="AW757" s="17">
        <f t="shared" si="444"/>
        <v>0</v>
      </c>
      <c r="AX757" s="28">
        <f t="shared" si="445"/>
        <v>0</v>
      </c>
      <c r="AY757" s="17">
        <f t="shared" si="446"/>
        <v>0</v>
      </c>
      <c r="AZ757" s="28">
        <f t="shared" si="447"/>
        <v>0</v>
      </c>
      <c r="BA757" s="27">
        <f t="shared" si="437"/>
        <v>0</v>
      </c>
      <c r="BB757" s="27">
        <f t="shared" si="449"/>
        <v>0</v>
      </c>
      <c r="BC757" s="27">
        <f t="shared" si="451"/>
        <v>0</v>
      </c>
      <c r="BD757" s="27">
        <f t="shared" si="452"/>
        <v>0</v>
      </c>
      <c r="BE757" s="27">
        <f t="shared" si="453"/>
        <v>0</v>
      </c>
      <c r="BF757" s="29">
        <f t="shared" si="477"/>
        <v>0</v>
      </c>
      <c r="BH757" s="30">
        <f t="shared" si="448"/>
        <v>0</v>
      </c>
      <c r="BM757" s="2">
        <f t="shared" si="474"/>
        <v>0</v>
      </c>
      <c r="BP757" s="2">
        <f t="shared" si="475"/>
        <v>0</v>
      </c>
    </row>
    <row r="758" spans="1:68" ht="14.45" hidden="1" customHeight="1" x14ac:dyDescent="0.25">
      <c r="A758" s="33" t="s">
        <v>766</v>
      </c>
      <c r="B758" s="23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13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5"/>
      <c r="AD758" s="25">
        <f t="shared" si="469"/>
        <v>0</v>
      </c>
      <c r="AE758" s="26" t="s">
        <v>42</v>
      </c>
      <c r="AF758" s="27"/>
      <c r="AG758" s="17">
        <f t="shared" si="439"/>
        <v>0</v>
      </c>
      <c r="AH758" s="28">
        <f t="shared" si="440"/>
        <v>0</v>
      </c>
      <c r="AI758" s="17">
        <f t="shared" si="441"/>
        <v>0</v>
      </c>
      <c r="AJ758" s="28">
        <f t="shared" si="442"/>
        <v>0</v>
      </c>
      <c r="AK758" s="17">
        <f t="shared" si="450"/>
        <v>0</v>
      </c>
      <c r="AL758" s="28">
        <f t="shared" si="443"/>
        <v>0</v>
      </c>
      <c r="AM758" s="17">
        <f t="shared" si="458"/>
        <v>0</v>
      </c>
      <c r="AN758" s="28">
        <f t="shared" si="476"/>
        <v>0</v>
      </c>
      <c r="AO758" s="17">
        <f t="shared" si="470"/>
        <v>0</v>
      </c>
      <c r="AP758" s="28">
        <f t="shared" si="471"/>
        <v>0</v>
      </c>
      <c r="AQ758" s="17">
        <f t="shared" si="472"/>
        <v>0</v>
      </c>
      <c r="AR758" s="28">
        <f t="shared" si="473"/>
        <v>0</v>
      </c>
      <c r="AS758" s="17">
        <f t="shared" si="454"/>
        <v>0</v>
      </c>
      <c r="AT758" s="28">
        <f t="shared" si="455"/>
        <v>0</v>
      </c>
      <c r="AU758" s="17">
        <f t="shared" si="456"/>
        <v>0</v>
      </c>
      <c r="AV758" s="28">
        <f t="shared" si="457"/>
        <v>0</v>
      </c>
      <c r="AW758" s="17">
        <f t="shared" si="444"/>
        <v>0</v>
      </c>
      <c r="AX758" s="28">
        <f t="shared" si="445"/>
        <v>0</v>
      </c>
      <c r="AY758" s="17">
        <f t="shared" si="446"/>
        <v>0</v>
      </c>
      <c r="AZ758" s="28">
        <f t="shared" si="447"/>
        <v>0</v>
      </c>
      <c r="BA758" s="27">
        <f t="shared" si="437"/>
        <v>0</v>
      </c>
      <c r="BB758" s="27">
        <f t="shared" si="449"/>
        <v>0</v>
      </c>
      <c r="BC758" s="27">
        <f t="shared" si="451"/>
        <v>0</v>
      </c>
      <c r="BD758" s="27">
        <f t="shared" si="452"/>
        <v>0</v>
      </c>
      <c r="BE758" s="27">
        <f t="shared" si="453"/>
        <v>0</v>
      </c>
      <c r="BF758" s="29">
        <f t="shared" si="477"/>
        <v>0</v>
      </c>
      <c r="BH758" s="30">
        <f t="shared" si="448"/>
        <v>0</v>
      </c>
      <c r="BM758" s="2">
        <f t="shared" si="474"/>
        <v>0</v>
      </c>
      <c r="BP758" s="2">
        <f t="shared" si="475"/>
        <v>0</v>
      </c>
    </row>
    <row r="759" spans="1:68" ht="14.45" customHeight="1" x14ac:dyDescent="0.25">
      <c r="A759" s="33" t="s">
        <v>767</v>
      </c>
      <c r="B759" s="23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13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5"/>
      <c r="AD759" s="39">
        <f t="shared" ref="AD759:AD760" si="478">SUM(B759:AB759)</f>
        <v>0</v>
      </c>
      <c r="AE759" s="26"/>
      <c r="AF759" s="27"/>
      <c r="AG759" s="17">
        <f t="shared" si="439"/>
        <v>0</v>
      </c>
      <c r="AH759" s="28">
        <f t="shared" si="440"/>
        <v>0</v>
      </c>
      <c r="AI759" s="17">
        <f t="shared" si="441"/>
        <v>0</v>
      </c>
      <c r="AJ759" s="28">
        <f t="shared" si="442"/>
        <v>0</v>
      </c>
      <c r="AK759" s="17">
        <f t="shared" si="450"/>
        <v>0</v>
      </c>
      <c r="AL759" s="28">
        <f t="shared" si="443"/>
        <v>0</v>
      </c>
      <c r="AM759" s="17">
        <f t="shared" si="458"/>
        <v>0</v>
      </c>
      <c r="AN759" s="28">
        <f t="shared" si="476"/>
        <v>0</v>
      </c>
      <c r="AO759" s="17"/>
      <c r="AP759" s="28"/>
      <c r="AQ759" s="17"/>
      <c r="AR759" s="28"/>
      <c r="AS759" s="17">
        <f t="shared" si="454"/>
        <v>0</v>
      </c>
      <c r="AT759" s="28">
        <f t="shared" si="455"/>
        <v>0</v>
      </c>
      <c r="AU759" s="17">
        <f t="shared" si="456"/>
        <v>0</v>
      </c>
      <c r="AV759" s="28">
        <f t="shared" si="457"/>
        <v>0</v>
      </c>
      <c r="AW759" s="17">
        <f t="shared" si="444"/>
        <v>0</v>
      </c>
      <c r="AX759" s="28">
        <f t="shared" si="445"/>
        <v>0</v>
      </c>
      <c r="AY759" s="17">
        <f t="shared" si="446"/>
        <v>0</v>
      </c>
      <c r="AZ759" s="28">
        <f t="shared" si="447"/>
        <v>0</v>
      </c>
      <c r="BA759" s="27"/>
      <c r="BB759" s="27">
        <f t="shared" si="449"/>
        <v>0</v>
      </c>
      <c r="BC759" s="27">
        <f t="shared" si="451"/>
        <v>0</v>
      </c>
      <c r="BD759" s="27">
        <f t="shared" si="452"/>
        <v>0</v>
      </c>
      <c r="BE759" s="27">
        <f t="shared" si="453"/>
        <v>0</v>
      </c>
      <c r="BF759" s="29">
        <f t="shared" si="477"/>
        <v>0</v>
      </c>
      <c r="BH759" s="30">
        <f t="shared" si="448"/>
        <v>0</v>
      </c>
    </row>
    <row r="760" spans="1:68" x14ac:dyDescent="0.25">
      <c r="A760" s="33" t="s">
        <v>768</v>
      </c>
      <c r="B760" s="23"/>
      <c r="C760" s="24"/>
      <c r="D760" s="24"/>
      <c r="E760" s="24"/>
      <c r="F760" s="55"/>
      <c r="G760" s="24"/>
      <c r="H760" s="24"/>
      <c r="I760" s="24"/>
      <c r="J760" s="24"/>
      <c r="K760" s="24"/>
      <c r="L760" s="24"/>
      <c r="M760" s="24"/>
      <c r="N760" s="24"/>
      <c r="O760" s="13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5"/>
      <c r="AD760" s="39">
        <f t="shared" si="478"/>
        <v>0</v>
      </c>
      <c r="AE760" s="26" t="s">
        <v>42</v>
      </c>
      <c r="AF760" s="34"/>
      <c r="AG760" s="17">
        <f t="shared" si="439"/>
        <v>0</v>
      </c>
      <c r="AH760" s="28">
        <f t="shared" si="440"/>
        <v>0</v>
      </c>
      <c r="AI760" s="17">
        <f t="shared" si="441"/>
        <v>0</v>
      </c>
      <c r="AJ760" s="28">
        <f t="shared" si="442"/>
        <v>0</v>
      </c>
      <c r="AK760" s="17">
        <f t="shared" si="450"/>
        <v>0</v>
      </c>
      <c r="AL760" s="28">
        <f t="shared" si="443"/>
        <v>0</v>
      </c>
      <c r="AM760" s="17">
        <f t="shared" si="458"/>
        <v>0</v>
      </c>
      <c r="AN760" s="28">
        <f t="shared" si="476"/>
        <v>0</v>
      </c>
      <c r="AO760" s="17">
        <f t="shared" ref="AO760:AO784" si="479">+B760</f>
        <v>0</v>
      </c>
      <c r="AP760" s="28">
        <f t="shared" ref="AP760:AP784" si="480">+AO760*AF760</f>
        <v>0</v>
      </c>
      <c r="AQ760" s="17">
        <f t="shared" ref="AQ760:AQ784" si="481">+P760</f>
        <v>0</v>
      </c>
      <c r="AR760" s="28">
        <f t="shared" ref="AR760:AR784" si="482">+AQ760*AF760</f>
        <v>0</v>
      </c>
      <c r="AS760" s="17">
        <f t="shared" si="454"/>
        <v>0</v>
      </c>
      <c r="AT760" s="28">
        <f t="shared" si="455"/>
        <v>0</v>
      </c>
      <c r="AU760" s="17">
        <f t="shared" si="456"/>
        <v>0</v>
      </c>
      <c r="AV760" s="28">
        <f t="shared" si="457"/>
        <v>0</v>
      </c>
      <c r="AW760" s="17">
        <f t="shared" si="444"/>
        <v>0</v>
      </c>
      <c r="AX760" s="28">
        <f t="shared" si="445"/>
        <v>0</v>
      </c>
      <c r="AY760" s="17">
        <f t="shared" si="446"/>
        <v>0</v>
      </c>
      <c r="AZ760" s="28">
        <f t="shared" si="447"/>
        <v>0</v>
      </c>
      <c r="BA760" s="27">
        <f t="shared" si="437"/>
        <v>0</v>
      </c>
      <c r="BB760" s="27">
        <f t="shared" si="449"/>
        <v>0</v>
      </c>
      <c r="BC760" s="27">
        <f t="shared" si="451"/>
        <v>0</v>
      </c>
      <c r="BD760" s="27">
        <f t="shared" si="452"/>
        <v>0</v>
      </c>
      <c r="BE760" s="27">
        <f t="shared" si="453"/>
        <v>0</v>
      </c>
      <c r="BF760" s="29">
        <f t="shared" si="477"/>
        <v>0</v>
      </c>
      <c r="BH760" s="30">
        <f t="shared" si="448"/>
        <v>0</v>
      </c>
      <c r="BM760" s="2">
        <f t="shared" ref="BM760:BM786" si="483">SUM(B760:S760)</f>
        <v>0</v>
      </c>
      <c r="BP760" s="2">
        <f t="shared" ref="BP760:BP784" si="484">SUM(B760:S760)</f>
        <v>0</v>
      </c>
    </row>
    <row r="761" spans="1:68" ht="14.45" hidden="1" customHeight="1" x14ac:dyDescent="0.25">
      <c r="A761" s="33" t="s">
        <v>769</v>
      </c>
      <c r="B761" s="23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13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5"/>
      <c r="AD761" s="25">
        <f t="shared" si="469"/>
        <v>0</v>
      </c>
      <c r="AE761" s="26" t="s">
        <v>42</v>
      </c>
      <c r="AF761" s="27"/>
      <c r="AG761" s="17">
        <f t="shared" si="439"/>
        <v>0</v>
      </c>
      <c r="AH761" s="28">
        <f t="shared" si="440"/>
        <v>0</v>
      </c>
      <c r="AI761" s="17">
        <f t="shared" si="441"/>
        <v>0</v>
      </c>
      <c r="AJ761" s="28">
        <f t="shared" si="442"/>
        <v>0</v>
      </c>
      <c r="AK761" s="17">
        <f t="shared" si="450"/>
        <v>0</v>
      </c>
      <c r="AL761" s="28">
        <f t="shared" si="443"/>
        <v>0</v>
      </c>
      <c r="AM761" s="17">
        <f t="shared" si="458"/>
        <v>0</v>
      </c>
      <c r="AN761" s="28">
        <f t="shared" si="476"/>
        <v>0</v>
      </c>
      <c r="AO761" s="17">
        <f t="shared" si="479"/>
        <v>0</v>
      </c>
      <c r="AP761" s="28">
        <f t="shared" si="480"/>
        <v>0</v>
      </c>
      <c r="AQ761" s="17">
        <f t="shared" si="481"/>
        <v>0</v>
      </c>
      <c r="AR761" s="28">
        <f t="shared" si="482"/>
        <v>0</v>
      </c>
      <c r="AS761" s="17">
        <f t="shared" si="454"/>
        <v>0</v>
      </c>
      <c r="AT761" s="28">
        <f t="shared" si="455"/>
        <v>0</v>
      </c>
      <c r="AU761" s="17">
        <f t="shared" si="456"/>
        <v>0</v>
      </c>
      <c r="AV761" s="28">
        <f t="shared" si="457"/>
        <v>0</v>
      </c>
      <c r="AW761" s="17">
        <f t="shared" si="444"/>
        <v>0</v>
      </c>
      <c r="AX761" s="28">
        <f t="shared" si="445"/>
        <v>0</v>
      </c>
      <c r="AY761" s="17">
        <f t="shared" si="446"/>
        <v>0</v>
      </c>
      <c r="AZ761" s="28">
        <f t="shared" si="447"/>
        <v>0</v>
      </c>
      <c r="BA761" s="27">
        <f t="shared" si="437"/>
        <v>0</v>
      </c>
      <c r="BB761" s="27">
        <f t="shared" si="449"/>
        <v>0</v>
      </c>
      <c r="BC761" s="27">
        <f t="shared" si="451"/>
        <v>0</v>
      </c>
      <c r="BD761" s="27">
        <f t="shared" si="452"/>
        <v>0</v>
      </c>
      <c r="BE761" s="27">
        <f t="shared" si="453"/>
        <v>0</v>
      </c>
      <c r="BF761" s="29">
        <f t="shared" si="477"/>
        <v>0</v>
      </c>
      <c r="BH761" s="30">
        <f t="shared" si="448"/>
        <v>0</v>
      </c>
      <c r="BM761" s="2">
        <f t="shared" si="483"/>
        <v>0</v>
      </c>
      <c r="BP761" s="2">
        <f t="shared" si="484"/>
        <v>0</v>
      </c>
    </row>
    <row r="762" spans="1:68" ht="14.45" hidden="1" customHeight="1" x14ac:dyDescent="0.25">
      <c r="A762" s="33" t="s">
        <v>770</v>
      </c>
      <c r="B762" s="23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13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5"/>
      <c r="AD762" s="25">
        <f t="shared" si="469"/>
        <v>0</v>
      </c>
      <c r="AE762" s="26" t="s">
        <v>42</v>
      </c>
      <c r="AF762" s="27"/>
      <c r="AG762" s="17">
        <f t="shared" si="439"/>
        <v>0</v>
      </c>
      <c r="AH762" s="28">
        <f t="shared" si="440"/>
        <v>0</v>
      </c>
      <c r="AI762" s="17">
        <f t="shared" si="441"/>
        <v>0</v>
      </c>
      <c r="AJ762" s="28">
        <f t="shared" si="442"/>
        <v>0</v>
      </c>
      <c r="AK762" s="17">
        <f t="shared" si="450"/>
        <v>0</v>
      </c>
      <c r="AL762" s="28">
        <f t="shared" si="443"/>
        <v>0</v>
      </c>
      <c r="AM762" s="17">
        <f t="shared" si="458"/>
        <v>0</v>
      </c>
      <c r="AN762" s="28">
        <f t="shared" si="476"/>
        <v>0</v>
      </c>
      <c r="AO762" s="17">
        <f t="shared" si="479"/>
        <v>0</v>
      </c>
      <c r="AP762" s="28">
        <f t="shared" si="480"/>
        <v>0</v>
      </c>
      <c r="AQ762" s="17">
        <f t="shared" si="481"/>
        <v>0</v>
      </c>
      <c r="AR762" s="28">
        <f t="shared" si="482"/>
        <v>0</v>
      </c>
      <c r="AS762" s="17">
        <f t="shared" si="454"/>
        <v>0</v>
      </c>
      <c r="AT762" s="28">
        <f t="shared" si="455"/>
        <v>0</v>
      </c>
      <c r="AU762" s="17">
        <f t="shared" si="456"/>
        <v>0</v>
      </c>
      <c r="AV762" s="28">
        <f t="shared" si="457"/>
        <v>0</v>
      </c>
      <c r="AW762" s="17">
        <f t="shared" si="444"/>
        <v>0</v>
      </c>
      <c r="AX762" s="28">
        <f t="shared" si="445"/>
        <v>0</v>
      </c>
      <c r="AY762" s="17">
        <f t="shared" si="446"/>
        <v>0</v>
      </c>
      <c r="AZ762" s="28">
        <f t="shared" si="447"/>
        <v>0</v>
      </c>
      <c r="BA762" s="27">
        <f t="shared" si="437"/>
        <v>0</v>
      </c>
      <c r="BB762" s="27">
        <f t="shared" si="449"/>
        <v>0</v>
      </c>
      <c r="BC762" s="27">
        <f t="shared" si="451"/>
        <v>0</v>
      </c>
      <c r="BD762" s="27">
        <f t="shared" si="452"/>
        <v>0</v>
      </c>
      <c r="BE762" s="27">
        <f t="shared" si="453"/>
        <v>0</v>
      </c>
      <c r="BF762" s="29">
        <f t="shared" si="477"/>
        <v>0</v>
      </c>
      <c r="BH762" s="30">
        <f t="shared" si="448"/>
        <v>0</v>
      </c>
      <c r="BM762" s="2">
        <f t="shared" si="483"/>
        <v>0</v>
      </c>
      <c r="BP762" s="2">
        <f t="shared" si="484"/>
        <v>0</v>
      </c>
    </row>
    <row r="763" spans="1:68" ht="14.45" hidden="1" customHeight="1" x14ac:dyDescent="0.25">
      <c r="A763" s="33" t="s">
        <v>771</v>
      </c>
      <c r="B763" s="23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13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5"/>
      <c r="AD763" s="25">
        <f t="shared" si="469"/>
        <v>0</v>
      </c>
      <c r="AE763" s="26" t="s">
        <v>42</v>
      </c>
      <c r="AF763" s="27"/>
      <c r="AG763" s="17">
        <f t="shared" si="439"/>
        <v>0</v>
      </c>
      <c r="AH763" s="28">
        <f t="shared" si="440"/>
        <v>0</v>
      </c>
      <c r="AI763" s="17">
        <f t="shared" si="441"/>
        <v>0</v>
      </c>
      <c r="AJ763" s="28">
        <f t="shared" si="442"/>
        <v>0</v>
      </c>
      <c r="AK763" s="17">
        <f t="shared" si="450"/>
        <v>0</v>
      </c>
      <c r="AL763" s="28">
        <f t="shared" si="443"/>
        <v>0</v>
      </c>
      <c r="AM763" s="17">
        <f t="shared" si="458"/>
        <v>0</v>
      </c>
      <c r="AN763" s="28">
        <f t="shared" si="476"/>
        <v>0</v>
      </c>
      <c r="AO763" s="17">
        <f t="shared" si="479"/>
        <v>0</v>
      </c>
      <c r="AP763" s="28">
        <f t="shared" si="480"/>
        <v>0</v>
      </c>
      <c r="AQ763" s="17">
        <f t="shared" si="481"/>
        <v>0</v>
      </c>
      <c r="AR763" s="28">
        <f t="shared" si="482"/>
        <v>0</v>
      </c>
      <c r="AS763" s="17">
        <f t="shared" si="454"/>
        <v>0</v>
      </c>
      <c r="AT763" s="28">
        <f t="shared" si="455"/>
        <v>0</v>
      </c>
      <c r="AU763" s="17">
        <f t="shared" si="456"/>
        <v>0</v>
      </c>
      <c r="AV763" s="28">
        <f t="shared" si="457"/>
        <v>0</v>
      </c>
      <c r="AW763" s="17">
        <f t="shared" si="444"/>
        <v>0</v>
      </c>
      <c r="AX763" s="28">
        <f t="shared" si="445"/>
        <v>0</v>
      </c>
      <c r="AY763" s="17">
        <f t="shared" si="446"/>
        <v>0</v>
      </c>
      <c r="AZ763" s="28">
        <f t="shared" si="447"/>
        <v>0</v>
      </c>
      <c r="BA763" s="27">
        <f t="shared" si="437"/>
        <v>0</v>
      </c>
      <c r="BB763" s="27">
        <f t="shared" si="449"/>
        <v>0</v>
      </c>
      <c r="BC763" s="27">
        <f t="shared" si="451"/>
        <v>0</v>
      </c>
      <c r="BD763" s="27">
        <f t="shared" si="452"/>
        <v>0</v>
      </c>
      <c r="BE763" s="27">
        <f t="shared" si="453"/>
        <v>0</v>
      </c>
      <c r="BF763" s="29">
        <f t="shared" si="477"/>
        <v>0</v>
      </c>
      <c r="BH763" s="30">
        <f t="shared" si="448"/>
        <v>0</v>
      </c>
      <c r="BM763" s="2">
        <f t="shared" si="483"/>
        <v>0</v>
      </c>
      <c r="BP763" s="2">
        <f t="shared" si="484"/>
        <v>0</v>
      </c>
    </row>
    <row r="764" spans="1:68" x14ac:dyDescent="0.25">
      <c r="A764" s="33" t="s">
        <v>772</v>
      </c>
      <c r="B764" s="23"/>
      <c r="C764" s="24"/>
      <c r="D764" s="24">
        <v>2</v>
      </c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13"/>
      <c r="P764" s="24"/>
      <c r="Q764" s="24"/>
      <c r="R764" s="24">
        <v>9</v>
      </c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5"/>
      <c r="AD764" s="39">
        <f>SUM(B764:AB764)</f>
        <v>11</v>
      </c>
      <c r="AE764" s="54" t="s">
        <v>42</v>
      </c>
      <c r="AF764" s="34">
        <v>2800000</v>
      </c>
      <c r="AG764" s="17">
        <f t="shared" si="439"/>
        <v>0</v>
      </c>
      <c r="AH764" s="28">
        <f t="shared" si="440"/>
        <v>0</v>
      </c>
      <c r="AI764" s="17">
        <f t="shared" si="441"/>
        <v>0</v>
      </c>
      <c r="AJ764" s="28">
        <f t="shared" si="442"/>
        <v>0</v>
      </c>
      <c r="AK764" s="17">
        <f t="shared" si="450"/>
        <v>0</v>
      </c>
      <c r="AL764" s="28">
        <f t="shared" si="443"/>
        <v>0</v>
      </c>
      <c r="AM764" s="17">
        <f t="shared" si="458"/>
        <v>0</v>
      </c>
      <c r="AN764" s="28">
        <f t="shared" si="476"/>
        <v>0</v>
      </c>
      <c r="AO764" s="17">
        <f t="shared" si="479"/>
        <v>0</v>
      </c>
      <c r="AP764" s="28">
        <f t="shared" si="480"/>
        <v>0</v>
      </c>
      <c r="AQ764" s="17">
        <f t="shared" si="481"/>
        <v>0</v>
      </c>
      <c r="AR764" s="28">
        <f t="shared" si="482"/>
        <v>0</v>
      </c>
      <c r="AS764" s="17">
        <f t="shared" si="454"/>
        <v>0</v>
      </c>
      <c r="AT764" s="28">
        <f t="shared" si="455"/>
        <v>0</v>
      </c>
      <c r="AU764" s="17">
        <f t="shared" si="456"/>
        <v>0</v>
      </c>
      <c r="AV764" s="28">
        <f t="shared" si="457"/>
        <v>0</v>
      </c>
      <c r="AW764" s="17">
        <f t="shared" si="444"/>
        <v>2</v>
      </c>
      <c r="AX764" s="28">
        <f t="shared" si="445"/>
        <v>5600000</v>
      </c>
      <c r="AY764" s="17">
        <f t="shared" si="446"/>
        <v>9</v>
      </c>
      <c r="AZ764" s="28">
        <f t="shared" si="447"/>
        <v>25200000</v>
      </c>
      <c r="BA764" s="27">
        <f t="shared" si="437"/>
        <v>0</v>
      </c>
      <c r="BB764" s="27">
        <f t="shared" si="449"/>
        <v>0</v>
      </c>
      <c r="BC764" s="27">
        <f t="shared" si="451"/>
        <v>0</v>
      </c>
      <c r="BD764" s="27">
        <f t="shared" si="452"/>
        <v>0</v>
      </c>
      <c r="BE764" s="27">
        <f t="shared" si="453"/>
        <v>30800000</v>
      </c>
      <c r="BF764" s="29">
        <f t="shared" si="477"/>
        <v>0</v>
      </c>
      <c r="BH764" s="30">
        <f t="shared" si="448"/>
        <v>0</v>
      </c>
      <c r="BM764" s="2">
        <f t="shared" si="483"/>
        <v>11</v>
      </c>
      <c r="BP764" s="2">
        <f t="shared" si="484"/>
        <v>11</v>
      </c>
    </row>
    <row r="765" spans="1:68" x14ac:dyDescent="0.25">
      <c r="A765" s="38" t="s">
        <v>773</v>
      </c>
      <c r="B765" s="23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13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5"/>
      <c r="AD765" s="50">
        <f t="shared" si="469"/>
        <v>0</v>
      </c>
      <c r="AE765" s="54" t="s">
        <v>42</v>
      </c>
      <c r="AF765" s="34">
        <v>2800000</v>
      </c>
      <c r="AG765" s="17">
        <f t="shared" si="439"/>
        <v>0</v>
      </c>
      <c r="AH765" s="28">
        <f t="shared" si="440"/>
        <v>0</v>
      </c>
      <c r="AI765" s="17">
        <f t="shared" si="441"/>
        <v>0</v>
      </c>
      <c r="AJ765" s="28">
        <f t="shared" si="442"/>
        <v>0</v>
      </c>
      <c r="AK765" s="17">
        <f t="shared" si="450"/>
        <v>0</v>
      </c>
      <c r="AL765" s="28">
        <f t="shared" si="443"/>
        <v>0</v>
      </c>
      <c r="AM765" s="17">
        <f t="shared" si="458"/>
        <v>0</v>
      </c>
      <c r="AN765" s="28">
        <f t="shared" si="476"/>
        <v>0</v>
      </c>
      <c r="AO765" s="17">
        <f t="shared" si="479"/>
        <v>0</v>
      </c>
      <c r="AP765" s="28">
        <f t="shared" si="480"/>
        <v>0</v>
      </c>
      <c r="AQ765" s="17">
        <f t="shared" si="481"/>
        <v>0</v>
      </c>
      <c r="AR765" s="28">
        <f t="shared" si="482"/>
        <v>0</v>
      </c>
      <c r="AS765" s="17">
        <f t="shared" si="454"/>
        <v>0</v>
      </c>
      <c r="AT765" s="28">
        <f t="shared" si="455"/>
        <v>0</v>
      </c>
      <c r="AU765" s="17">
        <f t="shared" si="456"/>
        <v>0</v>
      </c>
      <c r="AV765" s="28">
        <f t="shared" si="457"/>
        <v>0</v>
      </c>
      <c r="AW765" s="17">
        <f t="shared" si="444"/>
        <v>0</v>
      </c>
      <c r="AX765" s="28">
        <f t="shared" si="445"/>
        <v>0</v>
      </c>
      <c r="AY765" s="17">
        <f t="shared" si="446"/>
        <v>0</v>
      </c>
      <c r="AZ765" s="28">
        <f t="shared" si="447"/>
        <v>0</v>
      </c>
      <c r="BA765" s="27">
        <f t="shared" si="437"/>
        <v>0</v>
      </c>
      <c r="BB765" s="27">
        <f t="shared" si="449"/>
        <v>0</v>
      </c>
      <c r="BC765" s="27">
        <f t="shared" si="451"/>
        <v>0</v>
      </c>
      <c r="BD765" s="27">
        <f t="shared" si="452"/>
        <v>0</v>
      </c>
      <c r="BE765" s="27">
        <f t="shared" si="453"/>
        <v>0</v>
      </c>
      <c r="BF765" s="29">
        <f t="shared" si="477"/>
        <v>0</v>
      </c>
      <c r="BH765" s="30">
        <f t="shared" si="448"/>
        <v>0</v>
      </c>
      <c r="BM765" s="2">
        <f t="shared" si="483"/>
        <v>0</v>
      </c>
      <c r="BP765" s="2">
        <f t="shared" si="484"/>
        <v>0</v>
      </c>
    </row>
    <row r="766" spans="1:68" ht="14.45" hidden="1" customHeight="1" x14ac:dyDescent="0.25">
      <c r="A766" s="33" t="s">
        <v>774</v>
      </c>
      <c r="B766" s="23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13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5"/>
      <c r="AD766" s="25">
        <f t="shared" si="469"/>
        <v>0</v>
      </c>
      <c r="AE766" s="26" t="s">
        <v>42</v>
      </c>
      <c r="AF766" s="27"/>
      <c r="AG766" s="17">
        <f t="shared" si="439"/>
        <v>0</v>
      </c>
      <c r="AH766" s="28">
        <f t="shared" si="440"/>
        <v>0</v>
      </c>
      <c r="AI766" s="17">
        <f t="shared" si="441"/>
        <v>0</v>
      </c>
      <c r="AJ766" s="28">
        <f t="shared" si="442"/>
        <v>0</v>
      </c>
      <c r="AK766" s="17">
        <f t="shared" si="450"/>
        <v>0</v>
      </c>
      <c r="AL766" s="28">
        <f t="shared" si="443"/>
        <v>0</v>
      </c>
      <c r="AM766" s="17">
        <f t="shared" si="458"/>
        <v>0</v>
      </c>
      <c r="AN766" s="28">
        <f t="shared" si="476"/>
        <v>0</v>
      </c>
      <c r="AO766" s="17">
        <f t="shared" si="479"/>
        <v>0</v>
      </c>
      <c r="AP766" s="28">
        <f t="shared" si="480"/>
        <v>0</v>
      </c>
      <c r="AQ766" s="17">
        <f t="shared" si="481"/>
        <v>0</v>
      </c>
      <c r="AR766" s="28">
        <f t="shared" si="482"/>
        <v>0</v>
      </c>
      <c r="AS766" s="17">
        <f t="shared" si="454"/>
        <v>0</v>
      </c>
      <c r="AT766" s="28">
        <f t="shared" si="455"/>
        <v>0</v>
      </c>
      <c r="AU766" s="17">
        <f t="shared" si="456"/>
        <v>0</v>
      </c>
      <c r="AV766" s="28">
        <f t="shared" si="457"/>
        <v>0</v>
      </c>
      <c r="AW766" s="17">
        <f t="shared" si="444"/>
        <v>0</v>
      </c>
      <c r="AX766" s="28">
        <f t="shared" si="445"/>
        <v>0</v>
      </c>
      <c r="AY766" s="17">
        <f t="shared" si="446"/>
        <v>0</v>
      </c>
      <c r="AZ766" s="28">
        <f t="shared" si="447"/>
        <v>0</v>
      </c>
      <c r="BA766" s="27">
        <f t="shared" si="437"/>
        <v>0</v>
      </c>
      <c r="BB766" s="27">
        <f t="shared" si="449"/>
        <v>0</v>
      </c>
      <c r="BC766" s="27">
        <f t="shared" si="451"/>
        <v>0</v>
      </c>
      <c r="BD766" s="27">
        <f t="shared" si="452"/>
        <v>0</v>
      </c>
      <c r="BE766" s="27">
        <f t="shared" si="453"/>
        <v>0</v>
      </c>
      <c r="BF766" s="29">
        <f t="shared" si="477"/>
        <v>0</v>
      </c>
      <c r="BH766" s="30">
        <f t="shared" si="448"/>
        <v>0</v>
      </c>
      <c r="BM766" s="2">
        <f t="shared" si="483"/>
        <v>0</v>
      </c>
      <c r="BP766" s="2">
        <f t="shared" si="484"/>
        <v>0</v>
      </c>
    </row>
    <row r="767" spans="1:68" ht="14.45" hidden="1" customHeight="1" x14ac:dyDescent="0.25">
      <c r="A767" s="33" t="s">
        <v>775</v>
      </c>
      <c r="B767" s="23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13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5"/>
      <c r="AD767" s="25">
        <f t="shared" si="469"/>
        <v>0</v>
      </c>
      <c r="AE767" s="26" t="s">
        <v>42</v>
      </c>
      <c r="AF767" s="27"/>
      <c r="AG767" s="17">
        <f t="shared" si="439"/>
        <v>0</v>
      </c>
      <c r="AH767" s="28">
        <f t="shared" si="440"/>
        <v>0</v>
      </c>
      <c r="AI767" s="17">
        <f t="shared" si="441"/>
        <v>0</v>
      </c>
      <c r="AJ767" s="28">
        <f t="shared" si="442"/>
        <v>0</v>
      </c>
      <c r="AK767" s="17">
        <f t="shared" si="450"/>
        <v>0</v>
      </c>
      <c r="AL767" s="28">
        <f t="shared" si="443"/>
        <v>0</v>
      </c>
      <c r="AM767" s="17">
        <f t="shared" si="458"/>
        <v>0</v>
      </c>
      <c r="AN767" s="28">
        <f t="shared" si="476"/>
        <v>0</v>
      </c>
      <c r="AO767" s="17">
        <f t="shared" si="479"/>
        <v>0</v>
      </c>
      <c r="AP767" s="28">
        <f t="shared" si="480"/>
        <v>0</v>
      </c>
      <c r="AQ767" s="17">
        <f t="shared" si="481"/>
        <v>0</v>
      </c>
      <c r="AR767" s="28">
        <f t="shared" si="482"/>
        <v>0</v>
      </c>
      <c r="AS767" s="17">
        <f t="shared" si="454"/>
        <v>0</v>
      </c>
      <c r="AT767" s="28">
        <f t="shared" si="455"/>
        <v>0</v>
      </c>
      <c r="AU767" s="17">
        <f t="shared" si="456"/>
        <v>0</v>
      </c>
      <c r="AV767" s="28">
        <f t="shared" si="457"/>
        <v>0</v>
      </c>
      <c r="AW767" s="17">
        <f t="shared" si="444"/>
        <v>0</v>
      </c>
      <c r="AX767" s="28">
        <f t="shared" si="445"/>
        <v>0</v>
      </c>
      <c r="AY767" s="17">
        <f t="shared" si="446"/>
        <v>0</v>
      </c>
      <c r="AZ767" s="28">
        <f t="shared" si="447"/>
        <v>0</v>
      </c>
      <c r="BA767" s="27">
        <f t="shared" si="437"/>
        <v>0</v>
      </c>
      <c r="BB767" s="27">
        <f t="shared" si="449"/>
        <v>0</v>
      </c>
      <c r="BC767" s="27">
        <f t="shared" si="451"/>
        <v>0</v>
      </c>
      <c r="BD767" s="27">
        <f t="shared" si="452"/>
        <v>0</v>
      </c>
      <c r="BE767" s="27">
        <f t="shared" si="453"/>
        <v>0</v>
      </c>
      <c r="BF767" s="29">
        <f t="shared" si="477"/>
        <v>0</v>
      </c>
      <c r="BH767" s="30">
        <f t="shared" si="448"/>
        <v>0</v>
      </c>
      <c r="BM767" s="2">
        <f t="shared" si="483"/>
        <v>0</v>
      </c>
      <c r="BP767" s="2">
        <f t="shared" si="484"/>
        <v>0</v>
      </c>
    </row>
    <row r="768" spans="1:68" x14ac:dyDescent="0.25">
      <c r="A768" s="33" t="s">
        <v>776</v>
      </c>
      <c r="B768" s="23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13"/>
      <c r="P768" s="24"/>
      <c r="Q768" s="24"/>
      <c r="R768" s="24">
        <v>65</v>
      </c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5"/>
      <c r="AD768" s="39">
        <f>SUM(B768:AB768)</f>
        <v>65</v>
      </c>
      <c r="AE768" s="26" t="s">
        <v>42</v>
      </c>
      <c r="AF768" s="27">
        <v>7500</v>
      </c>
      <c r="AG768" s="17">
        <f t="shared" si="439"/>
        <v>0</v>
      </c>
      <c r="AH768" s="28">
        <f t="shared" si="440"/>
        <v>0</v>
      </c>
      <c r="AI768" s="17">
        <f t="shared" si="441"/>
        <v>0</v>
      </c>
      <c r="AJ768" s="28">
        <f t="shared" si="442"/>
        <v>0</v>
      </c>
      <c r="AK768" s="17">
        <f t="shared" si="450"/>
        <v>0</v>
      </c>
      <c r="AL768" s="28">
        <f t="shared" si="443"/>
        <v>0</v>
      </c>
      <c r="AM768" s="17">
        <f t="shared" si="458"/>
        <v>0</v>
      </c>
      <c r="AN768" s="28">
        <f t="shared" si="476"/>
        <v>0</v>
      </c>
      <c r="AO768" s="17">
        <f t="shared" si="479"/>
        <v>0</v>
      </c>
      <c r="AP768" s="28">
        <f t="shared" si="480"/>
        <v>0</v>
      </c>
      <c r="AQ768" s="17">
        <f t="shared" si="481"/>
        <v>0</v>
      </c>
      <c r="AR768" s="28">
        <f t="shared" si="482"/>
        <v>0</v>
      </c>
      <c r="AS768" s="17">
        <f t="shared" si="454"/>
        <v>0</v>
      </c>
      <c r="AT768" s="28">
        <f t="shared" si="455"/>
        <v>0</v>
      </c>
      <c r="AU768" s="17">
        <f t="shared" si="456"/>
        <v>0</v>
      </c>
      <c r="AV768" s="28">
        <f t="shared" si="457"/>
        <v>0</v>
      </c>
      <c r="AW768" s="17">
        <f t="shared" si="444"/>
        <v>0</v>
      </c>
      <c r="AX768" s="28">
        <f t="shared" si="445"/>
        <v>0</v>
      </c>
      <c r="AY768" s="17">
        <f t="shared" si="446"/>
        <v>65</v>
      </c>
      <c r="AZ768" s="28">
        <f t="shared" si="447"/>
        <v>487500</v>
      </c>
      <c r="BA768" s="27">
        <f t="shared" si="437"/>
        <v>0</v>
      </c>
      <c r="BB768" s="27">
        <f t="shared" si="449"/>
        <v>0</v>
      </c>
      <c r="BC768" s="27">
        <f t="shared" si="451"/>
        <v>0</v>
      </c>
      <c r="BD768" s="27">
        <f t="shared" si="452"/>
        <v>0</v>
      </c>
      <c r="BE768" s="27">
        <f t="shared" si="453"/>
        <v>487500</v>
      </c>
      <c r="BF768" s="29">
        <f t="shared" si="477"/>
        <v>0</v>
      </c>
      <c r="BH768" s="30">
        <f t="shared" si="448"/>
        <v>0</v>
      </c>
      <c r="BM768" s="2">
        <f t="shared" si="483"/>
        <v>65</v>
      </c>
      <c r="BP768" s="2">
        <f t="shared" si="484"/>
        <v>65</v>
      </c>
    </row>
    <row r="769" spans="1:68" ht="14.45" hidden="1" customHeight="1" x14ac:dyDescent="0.25">
      <c r="A769" s="22" t="s">
        <v>777</v>
      </c>
      <c r="B769" s="23"/>
      <c r="C769" s="24"/>
      <c r="D769" s="24"/>
      <c r="E769" s="24"/>
      <c r="F769" s="31"/>
      <c r="G769" s="31"/>
      <c r="H769" s="31"/>
      <c r="I769" s="31"/>
      <c r="J769" s="31"/>
      <c r="K769" s="31"/>
      <c r="L769" s="31"/>
      <c r="M769" s="32"/>
      <c r="N769" s="32"/>
      <c r="O769" s="13"/>
      <c r="P769" s="23"/>
      <c r="Q769" s="24"/>
      <c r="R769" s="24"/>
      <c r="S769" s="31"/>
      <c r="T769" s="31"/>
      <c r="U769" s="31"/>
      <c r="V769" s="31"/>
      <c r="W769" s="31"/>
      <c r="X769" s="31"/>
      <c r="Y769" s="31"/>
      <c r="Z769" s="32"/>
      <c r="AA769" s="32"/>
      <c r="AB769" s="13"/>
      <c r="AC769" s="25"/>
      <c r="AD769" s="25">
        <f t="shared" si="469"/>
        <v>0</v>
      </c>
      <c r="AE769" s="26" t="s">
        <v>42</v>
      </c>
      <c r="AF769" s="27"/>
      <c r="AG769" s="17">
        <f t="shared" si="439"/>
        <v>0</v>
      </c>
      <c r="AH769" s="28">
        <f t="shared" si="440"/>
        <v>0</v>
      </c>
      <c r="AI769" s="17">
        <f t="shared" ref="AI769:AI784" si="485">SUM(S769:Y769)</f>
        <v>0</v>
      </c>
      <c r="AJ769" s="28">
        <f t="shared" si="442"/>
        <v>0</v>
      </c>
      <c r="AK769" s="17">
        <f t="shared" ref="AK769:AK783" si="486">+O769</f>
        <v>0</v>
      </c>
      <c r="AL769" s="28">
        <f t="shared" si="443"/>
        <v>0</v>
      </c>
      <c r="AM769" s="17">
        <f t="shared" ref="AM769:AM783" si="487">+AB769</f>
        <v>0</v>
      </c>
      <c r="AN769" s="28">
        <f t="shared" si="476"/>
        <v>0</v>
      </c>
      <c r="AO769" s="17">
        <f t="shared" si="479"/>
        <v>0</v>
      </c>
      <c r="AP769" s="28">
        <f t="shared" si="480"/>
        <v>0</v>
      </c>
      <c r="AQ769" s="17">
        <f t="shared" si="481"/>
        <v>0</v>
      </c>
      <c r="AR769" s="28">
        <f t="shared" si="482"/>
        <v>0</v>
      </c>
      <c r="AS769" s="17">
        <f t="shared" si="454"/>
        <v>0</v>
      </c>
      <c r="AT769" s="28">
        <f t="shared" si="455"/>
        <v>0</v>
      </c>
      <c r="AU769" s="17">
        <f t="shared" si="456"/>
        <v>0</v>
      </c>
      <c r="AV769" s="28">
        <f t="shared" si="457"/>
        <v>0</v>
      </c>
      <c r="AW769" s="17">
        <f t="shared" ref="AW769:AW783" si="488">+K769</f>
        <v>0</v>
      </c>
      <c r="AX769" s="28">
        <f t="shared" ref="AX769:AX783" si="489">+AW769*AN769</f>
        <v>0</v>
      </c>
      <c r="AY769" s="17">
        <f t="shared" ref="AY769:AY783" si="490">+Y769</f>
        <v>0</v>
      </c>
      <c r="AZ769" s="28">
        <f t="shared" ref="AZ769:AZ783" si="491">+AY769*AN769</f>
        <v>0</v>
      </c>
      <c r="BA769" s="27">
        <f t="shared" si="437"/>
        <v>0</v>
      </c>
      <c r="BB769" s="27">
        <f t="shared" si="449"/>
        <v>0</v>
      </c>
      <c r="BC769" s="27">
        <f t="shared" si="451"/>
        <v>0</v>
      </c>
      <c r="BD769" s="27">
        <f t="shared" si="452"/>
        <v>0</v>
      </c>
      <c r="BE769" s="27">
        <f t="shared" si="453"/>
        <v>0</v>
      </c>
      <c r="BF769" s="29">
        <f t="shared" si="477"/>
        <v>0</v>
      </c>
      <c r="BH769" s="30">
        <f t="shared" si="448"/>
        <v>0</v>
      </c>
      <c r="BM769" s="2">
        <f t="shared" si="483"/>
        <v>0</v>
      </c>
      <c r="BP769" s="2">
        <f t="shared" si="484"/>
        <v>0</v>
      </c>
    </row>
    <row r="770" spans="1:68" ht="14.45" hidden="1" customHeight="1" thickBot="1" x14ac:dyDescent="0.3">
      <c r="A770" s="22" t="s">
        <v>778</v>
      </c>
      <c r="B770" s="23"/>
      <c r="C770" s="24"/>
      <c r="D770" s="24"/>
      <c r="E770" s="24"/>
      <c r="F770" s="31"/>
      <c r="G770" s="31"/>
      <c r="H770" s="31"/>
      <c r="I770" s="31"/>
      <c r="J770" s="31"/>
      <c r="K770" s="31"/>
      <c r="L770" s="31"/>
      <c r="M770" s="32"/>
      <c r="N770" s="32"/>
      <c r="O770" s="13"/>
      <c r="P770" s="23"/>
      <c r="Q770" s="24"/>
      <c r="R770" s="24"/>
      <c r="S770" s="31"/>
      <c r="T770" s="31"/>
      <c r="U770" s="31"/>
      <c r="V770" s="31"/>
      <c r="W770" s="31"/>
      <c r="X770" s="31"/>
      <c r="Y770" s="31"/>
      <c r="Z770" s="32"/>
      <c r="AA770" s="32"/>
      <c r="AB770" s="13"/>
      <c r="AC770" s="25"/>
      <c r="AD770" s="25">
        <f t="shared" si="469"/>
        <v>0</v>
      </c>
      <c r="AE770" s="26" t="s">
        <v>42</v>
      </c>
      <c r="AF770" s="27"/>
      <c r="AG770" s="17">
        <f t="shared" si="439"/>
        <v>0</v>
      </c>
      <c r="AH770" s="28">
        <f t="shared" si="440"/>
        <v>0</v>
      </c>
      <c r="AI770" s="17">
        <f t="shared" si="485"/>
        <v>0</v>
      </c>
      <c r="AJ770" s="28">
        <f t="shared" si="442"/>
        <v>0</v>
      </c>
      <c r="AK770" s="17">
        <f t="shared" si="486"/>
        <v>0</v>
      </c>
      <c r="AL770" s="28">
        <f t="shared" si="443"/>
        <v>0</v>
      </c>
      <c r="AM770" s="17">
        <f t="shared" si="487"/>
        <v>0</v>
      </c>
      <c r="AN770" s="28">
        <f t="shared" si="476"/>
        <v>0</v>
      </c>
      <c r="AO770" s="17">
        <f t="shared" si="479"/>
        <v>0</v>
      </c>
      <c r="AP770" s="28">
        <f t="shared" si="480"/>
        <v>0</v>
      </c>
      <c r="AQ770" s="17">
        <f t="shared" si="481"/>
        <v>0</v>
      </c>
      <c r="AR770" s="28">
        <f t="shared" si="482"/>
        <v>0</v>
      </c>
      <c r="AS770" s="17">
        <f t="shared" si="454"/>
        <v>0</v>
      </c>
      <c r="AT770" s="28">
        <f t="shared" si="455"/>
        <v>0</v>
      </c>
      <c r="AU770" s="17">
        <f t="shared" si="456"/>
        <v>0</v>
      </c>
      <c r="AV770" s="28">
        <f t="shared" si="457"/>
        <v>0</v>
      </c>
      <c r="AW770" s="17">
        <f t="shared" si="488"/>
        <v>0</v>
      </c>
      <c r="AX770" s="28">
        <f t="shared" si="489"/>
        <v>0</v>
      </c>
      <c r="AY770" s="17">
        <f t="shared" si="490"/>
        <v>0</v>
      </c>
      <c r="AZ770" s="28">
        <f t="shared" si="491"/>
        <v>0</v>
      </c>
      <c r="BA770" s="27">
        <f t="shared" si="437"/>
        <v>0</v>
      </c>
      <c r="BB770" s="27">
        <f t="shared" si="449"/>
        <v>0</v>
      </c>
      <c r="BC770" s="27">
        <f t="shared" si="451"/>
        <v>0</v>
      </c>
      <c r="BD770" s="27">
        <f t="shared" si="452"/>
        <v>0</v>
      </c>
      <c r="BE770" s="27">
        <f t="shared" si="453"/>
        <v>0</v>
      </c>
      <c r="BF770" s="29">
        <f t="shared" si="477"/>
        <v>0</v>
      </c>
      <c r="BH770" s="30">
        <f t="shared" si="448"/>
        <v>0</v>
      </c>
      <c r="BM770" s="2">
        <f t="shared" si="483"/>
        <v>0</v>
      </c>
      <c r="BP770" s="2">
        <f t="shared" si="484"/>
        <v>0</v>
      </c>
    </row>
    <row r="771" spans="1:68" ht="14.45" hidden="1" customHeight="1" thickBot="1" x14ac:dyDescent="0.3">
      <c r="A771" s="22" t="s">
        <v>779</v>
      </c>
      <c r="B771" s="23"/>
      <c r="C771" s="24"/>
      <c r="D771" s="24"/>
      <c r="E771" s="24"/>
      <c r="F771" s="31"/>
      <c r="G771" s="31"/>
      <c r="H771" s="31"/>
      <c r="I771" s="31"/>
      <c r="J771" s="31"/>
      <c r="K771" s="31"/>
      <c r="L771" s="31"/>
      <c r="M771" s="32"/>
      <c r="N771" s="32"/>
      <c r="O771" s="13"/>
      <c r="P771" s="23"/>
      <c r="Q771" s="24"/>
      <c r="R771" s="24"/>
      <c r="S771" s="31"/>
      <c r="T771" s="31"/>
      <c r="U771" s="31"/>
      <c r="V771" s="31"/>
      <c r="W771" s="31"/>
      <c r="X771" s="31"/>
      <c r="Y771" s="31"/>
      <c r="Z771" s="32"/>
      <c r="AA771" s="32"/>
      <c r="AB771" s="13"/>
      <c r="AC771" s="25"/>
      <c r="AD771" s="25">
        <f t="shared" si="469"/>
        <v>0</v>
      </c>
      <c r="AE771" s="26" t="s">
        <v>42</v>
      </c>
      <c r="AF771" s="27"/>
      <c r="AG771" s="17">
        <f t="shared" si="439"/>
        <v>0</v>
      </c>
      <c r="AH771" s="28">
        <f t="shared" si="440"/>
        <v>0</v>
      </c>
      <c r="AI771" s="17">
        <f t="shared" si="485"/>
        <v>0</v>
      </c>
      <c r="AJ771" s="28">
        <f t="shared" si="442"/>
        <v>0</v>
      </c>
      <c r="AK771" s="17">
        <f t="shared" si="486"/>
        <v>0</v>
      </c>
      <c r="AL771" s="28">
        <f t="shared" si="443"/>
        <v>0</v>
      </c>
      <c r="AM771" s="17">
        <f t="shared" si="487"/>
        <v>0</v>
      </c>
      <c r="AN771" s="28">
        <f t="shared" si="476"/>
        <v>0</v>
      </c>
      <c r="AO771" s="17">
        <f t="shared" si="479"/>
        <v>0</v>
      </c>
      <c r="AP771" s="28">
        <f t="shared" si="480"/>
        <v>0</v>
      </c>
      <c r="AQ771" s="17">
        <f t="shared" si="481"/>
        <v>0</v>
      </c>
      <c r="AR771" s="28">
        <f t="shared" si="482"/>
        <v>0</v>
      </c>
      <c r="AS771" s="17">
        <f t="shared" si="454"/>
        <v>0</v>
      </c>
      <c r="AT771" s="28">
        <f t="shared" si="455"/>
        <v>0</v>
      </c>
      <c r="AU771" s="17">
        <f t="shared" si="456"/>
        <v>0</v>
      </c>
      <c r="AV771" s="28">
        <f t="shared" si="457"/>
        <v>0</v>
      </c>
      <c r="AW771" s="17">
        <f t="shared" si="488"/>
        <v>0</v>
      </c>
      <c r="AX771" s="28">
        <f t="shared" si="489"/>
        <v>0</v>
      </c>
      <c r="AY771" s="17">
        <f t="shared" si="490"/>
        <v>0</v>
      </c>
      <c r="AZ771" s="28">
        <f t="shared" si="491"/>
        <v>0</v>
      </c>
      <c r="BA771" s="27">
        <f t="shared" ref="BA771:BA784" si="492">+AH771+AJ771</f>
        <v>0</v>
      </c>
      <c r="BB771" s="27">
        <f t="shared" si="449"/>
        <v>0</v>
      </c>
      <c r="BC771" s="27">
        <f t="shared" si="451"/>
        <v>0</v>
      </c>
      <c r="BD771" s="27">
        <f t="shared" si="452"/>
        <v>0</v>
      </c>
      <c r="BE771" s="27">
        <f t="shared" si="453"/>
        <v>0</v>
      </c>
      <c r="BF771" s="29">
        <f t="shared" si="477"/>
        <v>0</v>
      </c>
      <c r="BH771" s="30">
        <f t="shared" si="448"/>
        <v>0</v>
      </c>
      <c r="BM771" s="2">
        <f t="shared" si="483"/>
        <v>0</v>
      </c>
      <c r="BP771" s="2">
        <f t="shared" si="484"/>
        <v>0</v>
      </c>
    </row>
    <row r="772" spans="1:68" ht="14.45" hidden="1" customHeight="1" thickBot="1" x14ac:dyDescent="0.3">
      <c r="A772" s="22" t="s">
        <v>780</v>
      </c>
      <c r="B772" s="23"/>
      <c r="C772" s="24"/>
      <c r="D772" s="24"/>
      <c r="E772" s="24"/>
      <c r="F772" s="31"/>
      <c r="G772" s="31"/>
      <c r="H772" s="31"/>
      <c r="I772" s="31"/>
      <c r="J772" s="31"/>
      <c r="K772" s="31"/>
      <c r="L772" s="31"/>
      <c r="M772" s="32"/>
      <c r="N772" s="32"/>
      <c r="O772" s="13"/>
      <c r="P772" s="23"/>
      <c r="Q772" s="24"/>
      <c r="R772" s="24"/>
      <c r="S772" s="31"/>
      <c r="T772" s="31"/>
      <c r="U772" s="31"/>
      <c r="V772" s="31"/>
      <c r="W772" s="31"/>
      <c r="X772" s="31"/>
      <c r="Y772" s="31"/>
      <c r="Z772" s="32"/>
      <c r="AA772" s="32"/>
      <c r="AB772" s="13"/>
      <c r="AC772" s="25"/>
      <c r="AD772" s="25">
        <f t="shared" si="469"/>
        <v>0</v>
      </c>
      <c r="AE772" s="26" t="s">
        <v>42</v>
      </c>
      <c r="AF772" s="27"/>
      <c r="AG772" s="17">
        <f t="shared" si="439"/>
        <v>0</v>
      </c>
      <c r="AH772" s="28">
        <f t="shared" si="440"/>
        <v>0</v>
      </c>
      <c r="AI772" s="17">
        <f t="shared" si="485"/>
        <v>0</v>
      </c>
      <c r="AJ772" s="28">
        <f t="shared" si="442"/>
        <v>0</v>
      </c>
      <c r="AK772" s="17">
        <f t="shared" si="486"/>
        <v>0</v>
      </c>
      <c r="AL772" s="28">
        <f t="shared" si="443"/>
        <v>0</v>
      </c>
      <c r="AM772" s="17">
        <f t="shared" si="487"/>
        <v>0</v>
      </c>
      <c r="AN772" s="28">
        <f t="shared" si="476"/>
        <v>0</v>
      </c>
      <c r="AO772" s="17">
        <f t="shared" si="479"/>
        <v>0</v>
      </c>
      <c r="AP772" s="28">
        <f t="shared" si="480"/>
        <v>0</v>
      </c>
      <c r="AQ772" s="17">
        <f t="shared" si="481"/>
        <v>0</v>
      </c>
      <c r="AR772" s="28">
        <f t="shared" si="482"/>
        <v>0</v>
      </c>
      <c r="AS772" s="17">
        <f t="shared" si="454"/>
        <v>0</v>
      </c>
      <c r="AT772" s="28">
        <f t="shared" si="455"/>
        <v>0</v>
      </c>
      <c r="AU772" s="17">
        <f t="shared" si="456"/>
        <v>0</v>
      </c>
      <c r="AV772" s="28">
        <f t="shared" si="457"/>
        <v>0</v>
      </c>
      <c r="AW772" s="17">
        <f t="shared" si="488"/>
        <v>0</v>
      </c>
      <c r="AX772" s="28">
        <f t="shared" si="489"/>
        <v>0</v>
      </c>
      <c r="AY772" s="17">
        <f t="shared" si="490"/>
        <v>0</v>
      </c>
      <c r="AZ772" s="28">
        <f t="shared" si="491"/>
        <v>0</v>
      </c>
      <c r="BA772" s="27">
        <f t="shared" si="492"/>
        <v>0</v>
      </c>
      <c r="BB772" s="27">
        <f t="shared" si="449"/>
        <v>0</v>
      </c>
      <c r="BC772" s="27">
        <f t="shared" si="451"/>
        <v>0</v>
      </c>
      <c r="BD772" s="27">
        <f t="shared" si="452"/>
        <v>0</v>
      </c>
      <c r="BE772" s="27">
        <f t="shared" si="453"/>
        <v>0</v>
      </c>
      <c r="BF772" s="29">
        <f t="shared" si="477"/>
        <v>0</v>
      </c>
      <c r="BH772" s="30">
        <f t="shared" si="448"/>
        <v>0</v>
      </c>
      <c r="BM772" s="2">
        <f t="shared" si="483"/>
        <v>0</v>
      </c>
      <c r="BP772" s="2">
        <f t="shared" si="484"/>
        <v>0</v>
      </c>
    </row>
    <row r="773" spans="1:68" ht="14.45" hidden="1" customHeight="1" thickBot="1" x14ac:dyDescent="0.3">
      <c r="A773" s="22" t="s">
        <v>781</v>
      </c>
      <c r="B773" s="23"/>
      <c r="C773" s="24"/>
      <c r="D773" s="24"/>
      <c r="E773" s="24"/>
      <c r="F773" s="31"/>
      <c r="G773" s="31"/>
      <c r="H773" s="31"/>
      <c r="I773" s="31"/>
      <c r="J773" s="31"/>
      <c r="K773" s="31"/>
      <c r="L773" s="31"/>
      <c r="M773" s="32"/>
      <c r="N773" s="32"/>
      <c r="O773" s="13"/>
      <c r="P773" s="23"/>
      <c r="Q773" s="24"/>
      <c r="R773" s="24"/>
      <c r="S773" s="31"/>
      <c r="T773" s="31"/>
      <c r="U773" s="31"/>
      <c r="V773" s="31"/>
      <c r="W773" s="31"/>
      <c r="X773" s="31"/>
      <c r="Y773" s="31"/>
      <c r="Z773" s="32"/>
      <c r="AA773" s="32"/>
      <c r="AB773" s="13"/>
      <c r="AC773" s="25"/>
      <c r="AD773" s="25">
        <f t="shared" si="469"/>
        <v>0</v>
      </c>
      <c r="AE773" s="26" t="s">
        <v>42</v>
      </c>
      <c r="AF773" s="27"/>
      <c r="AG773" s="17">
        <f t="shared" si="439"/>
        <v>0</v>
      </c>
      <c r="AH773" s="28">
        <f t="shared" si="440"/>
        <v>0</v>
      </c>
      <c r="AI773" s="17">
        <f t="shared" si="485"/>
        <v>0</v>
      </c>
      <c r="AJ773" s="28">
        <f t="shared" si="442"/>
        <v>0</v>
      </c>
      <c r="AK773" s="17">
        <f t="shared" si="486"/>
        <v>0</v>
      </c>
      <c r="AL773" s="28">
        <f t="shared" si="443"/>
        <v>0</v>
      </c>
      <c r="AM773" s="17">
        <f t="shared" si="487"/>
        <v>0</v>
      </c>
      <c r="AN773" s="28">
        <f t="shared" si="476"/>
        <v>0</v>
      </c>
      <c r="AO773" s="17">
        <f t="shared" si="479"/>
        <v>0</v>
      </c>
      <c r="AP773" s="28">
        <f t="shared" si="480"/>
        <v>0</v>
      </c>
      <c r="AQ773" s="17">
        <f t="shared" si="481"/>
        <v>0</v>
      </c>
      <c r="AR773" s="28">
        <f t="shared" si="482"/>
        <v>0</v>
      </c>
      <c r="AS773" s="17">
        <f t="shared" si="454"/>
        <v>0</v>
      </c>
      <c r="AT773" s="28">
        <f t="shared" si="455"/>
        <v>0</v>
      </c>
      <c r="AU773" s="17">
        <f t="shared" si="456"/>
        <v>0</v>
      </c>
      <c r="AV773" s="28">
        <f t="shared" si="457"/>
        <v>0</v>
      </c>
      <c r="AW773" s="17">
        <f t="shared" si="488"/>
        <v>0</v>
      </c>
      <c r="AX773" s="28">
        <f t="shared" si="489"/>
        <v>0</v>
      </c>
      <c r="AY773" s="17">
        <f t="shared" si="490"/>
        <v>0</v>
      </c>
      <c r="AZ773" s="28">
        <f t="shared" si="491"/>
        <v>0</v>
      </c>
      <c r="BA773" s="27">
        <f t="shared" si="492"/>
        <v>0</v>
      </c>
      <c r="BB773" s="27">
        <f t="shared" si="449"/>
        <v>0</v>
      </c>
      <c r="BC773" s="27">
        <f t="shared" si="451"/>
        <v>0</v>
      </c>
      <c r="BD773" s="27">
        <f t="shared" si="452"/>
        <v>0</v>
      </c>
      <c r="BE773" s="27">
        <f t="shared" si="453"/>
        <v>0</v>
      </c>
      <c r="BF773" s="29">
        <f t="shared" si="477"/>
        <v>0</v>
      </c>
      <c r="BH773" s="30">
        <f t="shared" si="448"/>
        <v>0</v>
      </c>
      <c r="BM773" s="2">
        <f t="shared" si="483"/>
        <v>0</v>
      </c>
      <c r="BP773" s="2">
        <f t="shared" si="484"/>
        <v>0</v>
      </c>
    </row>
    <row r="774" spans="1:68" ht="14.45" hidden="1" customHeight="1" thickBot="1" x14ac:dyDescent="0.3">
      <c r="A774" s="22" t="s">
        <v>782</v>
      </c>
      <c r="B774" s="23"/>
      <c r="C774" s="24"/>
      <c r="D774" s="24"/>
      <c r="E774" s="24"/>
      <c r="F774" s="31"/>
      <c r="G774" s="31"/>
      <c r="H774" s="31"/>
      <c r="I774" s="31"/>
      <c r="J774" s="31"/>
      <c r="K774" s="31"/>
      <c r="L774" s="31"/>
      <c r="M774" s="32"/>
      <c r="N774" s="32"/>
      <c r="O774" s="13"/>
      <c r="P774" s="23"/>
      <c r="Q774" s="24"/>
      <c r="R774" s="24"/>
      <c r="S774" s="31"/>
      <c r="T774" s="31"/>
      <c r="U774" s="31"/>
      <c r="V774" s="31"/>
      <c r="W774" s="31"/>
      <c r="X774" s="31"/>
      <c r="Y774" s="31"/>
      <c r="Z774" s="32"/>
      <c r="AA774" s="32"/>
      <c r="AB774" s="13"/>
      <c r="AC774" s="25"/>
      <c r="AD774" s="25">
        <f t="shared" si="469"/>
        <v>0</v>
      </c>
      <c r="AE774" s="26" t="s">
        <v>42</v>
      </c>
      <c r="AF774" s="27"/>
      <c r="AG774" s="17">
        <f t="shared" si="439"/>
        <v>0</v>
      </c>
      <c r="AH774" s="28">
        <f t="shared" si="440"/>
        <v>0</v>
      </c>
      <c r="AI774" s="17">
        <f t="shared" si="485"/>
        <v>0</v>
      </c>
      <c r="AJ774" s="28">
        <f t="shared" si="442"/>
        <v>0</v>
      </c>
      <c r="AK774" s="17">
        <f t="shared" si="486"/>
        <v>0</v>
      </c>
      <c r="AL774" s="28">
        <f t="shared" si="443"/>
        <v>0</v>
      </c>
      <c r="AM774" s="17">
        <f t="shared" si="487"/>
        <v>0</v>
      </c>
      <c r="AN774" s="28">
        <f t="shared" si="476"/>
        <v>0</v>
      </c>
      <c r="AO774" s="17">
        <f t="shared" si="479"/>
        <v>0</v>
      </c>
      <c r="AP774" s="28">
        <f t="shared" si="480"/>
        <v>0</v>
      </c>
      <c r="AQ774" s="17">
        <f t="shared" si="481"/>
        <v>0</v>
      </c>
      <c r="AR774" s="28">
        <f t="shared" si="482"/>
        <v>0</v>
      </c>
      <c r="AS774" s="17">
        <f t="shared" si="454"/>
        <v>0</v>
      </c>
      <c r="AT774" s="28">
        <f t="shared" si="455"/>
        <v>0</v>
      </c>
      <c r="AU774" s="17">
        <f t="shared" si="456"/>
        <v>0</v>
      </c>
      <c r="AV774" s="28">
        <f t="shared" si="457"/>
        <v>0</v>
      </c>
      <c r="AW774" s="17">
        <f t="shared" si="488"/>
        <v>0</v>
      </c>
      <c r="AX774" s="28">
        <f t="shared" si="489"/>
        <v>0</v>
      </c>
      <c r="AY774" s="17">
        <f t="shared" si="490"/>
        <v>0</v>
      </c>
      <c r="AZ774" s="28">
        <f t="shared" si="491"/>
        <v>0</v>
      </c>
      <c r="BA774" s="27">
        <f t="shared" si="492"/>
        <v>0</v>
      </c>
      <c r="BB774" s="27">
        <f t="shared" si="449"/>
        <v>0</v>
      </c>
      <c r="BC774" s="27">
        <f t="shared" si="451"/>
        <v>0</v>
      </c>
      <c r="BD774" s="27">
        <f t="shared" si="452"/>
        <v>0</v>
      </c>
      <c r="BE774" s="27">
        <f t="shared" si="453"/>
        <v>0</v>
      </c>
      <c r="BF774" s="29">
        <f t="shared" si="477"/>
        <v>0</v>
      </c>
      <c r="BH774" s="30">
        <f t="shared" si="448"/>
        <v>0</v>
      </c>
      <c r="BM774" s="2">
        <f t="shared" si="483"/>
        <v>0</v>
      </c>
      <c r="BP774" s="2">
        <f t="shared" si="484"/>
        <v>0</v>
      </c>
    </row>
    <row r="775" spans="1:68" ht="14.45" hidden="1" customHeight="1" thickBot="1" x14ac:dyDescent="0.3">
      <c r="A775" s="22" t="s">
        <v>783</v>
      </c>
      <c r="B775" s="23"/>
      <c r="C775" s="24"/>
      <c r="D775" s="24"/>
      <c r="E775" s="24"/>
      <c r="F775" s="31"/>
      <c r="G775" s="31"/>
      <c r="H775" s="31"/>
      <c r="I775" s="31"/>
      <c r="J775" s="31"/>
      <c r="K775" s="31"/>
      <c r="L775" s="31"/>
      <c r="M775" s="32"/>
      <c r="N775" s="32"/>
      <c r="O775" s="13"/>
      <c r="P775" s="23"/>
      <c r="Q775" s="24"/>
      <c r="R775" s="24"/>
      <c r="S775" s="31"/>
      <c r="T775" s="31"/>
      <c r="U775" s="31"/>
      <c r="V775" s="31"/>
      <c r="W775" s="31"/>
      <c r="X775" s="31"/>
      <c r="Y775" s="31"/>
      <c r="Z775" s="32"/>
      <c r="AA775" s="32"/>
      <c r="AB775" s="13"/>
      <c r="AC775" s="25"/>
      <c r="AD775" s="25">
        <f t="shared" si="469"/>
        <v>0</v>
      </c>
      <c r="AE775" s="26" t="s">
        <v>42</v>
      </c>
      <c r="AF775" s="27"/>
      <c r="AG775" s="17">
        <f t="shared" ref="AG775:AG784" si="493">SUM(F775:L775)-G775</f>
        <v>0</v>
      </c>
      <c r="AH775" s="28">
        <f t="shared" ref="AH775:AH784" si="494">+AG775*AF775</f>
        <v>0</v>
      </c>
      <c r="AI775" s="17">
        <f t="shared" si="485"/>
        <v>0</v>
      </c>
      <c r="AJ775" s="28">
        <f t="shared" ref="AJ775:AJ784" si="495">+AI775*AF775</f>
        <v>0</v>
      </c>
      <c r="AK775" s="17">
        <f t="shared" si="486"/>
        <v>0</v>
      </c>
      <c r="AL775" s="28">
        <f t="shared" ref="AL775:AL784" si="496">+AK775*AF775</f>
        <v>0</v>
      </c>
      <c r="AM775" s="17">
        <f t="shared" si="487"/>
        <v>0</v>
      </c>
      <c r="AN775" s="28">
        <f t="shared" si="476"/>
        <v>0</v>
      </c>
      <c r="AO775" s="17">
        <f t="shared" si="479"/>
        <v>0</v>
      </c>
      <c r="AP775" s="28">
        <f t="shared" si="480"/>
        <v>0</v>
      </c>
      <c r="AQ775" s="17">
        <f t="shared" si="481"/>
        <v>0</v>
      </c>
      <c r="AR775" s="28">
        <f t="shared" si="482"/>
        <v>0</v>
      </c>
      <c r="AS775" s="17">
        <f t="shared" si="454"/>
        <v>0</v>
      </c>
      <c r="AT775" s="28">
        <f t="shared" si="455"/>
        <v>0</v>
      </c>
      <c r="AU775" s="17">
        <f t="shared" si="456"/>
        <v>0</v>
      </c>
      <c r="AV775" s="28">
        <f t="shared" si="457"/>
        <v>0</v>
      </c>
      <c r="AW775" s="17">
        <f t="shared" si="488"/>
        <v>0</v>
      </c>
      <c r="AX775" s="28">
        <f t="shared" si="489"/>
        <v>0</v>
      </c>
      <c r="AY775" s="17">
        <f t="shared" si="490"/>
        <v>0</v>
      </c>
      <c r="AZ775" s="28">
        <f t="shared" si="491"/>
        <v>0</v>
      </c>
      <c r="BA775" s="27">
        <f t="shared" si="492"/>
        <v>0</v>
      </c>
      <c r="BB775" s="27">
        <f t="shared" si="449"/>
        <v>0</v>
      </c>
      <c r="BC775" s="27">
        <f t="shared" si="451"/>
        <v>0</v>
      </c>
      <c r="BD775" s="27">
        <f t="shared" si="452"/>
        <v>0</v>
      </c>
      <c r="BE775" s="27">
        <f t="shared" si="453"/>
        <v>0</v>
      </c>
      <c r="BF775" s="29">
        <f t="shared" si="477"/>
        <v>0</v>
      </c>
      <c r="BH775" s="30">
        <f t="shared" ref="BH775:BH784" si="497">+B775+C775+E775+G775+M775+N775+O775+(P775+Q775+S775+U775+Z775+AA775+AB775)</f>
        <v>0</v>
      </c>
      <c r="BM775" s="2">
        <f t="shared" si="483"/>
        <v>0</v>
      </c>
      <c r="BP775" s="2">
        <f t="shared" si="484"/>
        <v>0</v>
      </c>
    </row>
    <row r="776" spans="1:68" ht="14.45" hidden="1" customHeight="1" thickBot="1" x14ac:dyDescent="0.3">
      <c r="A776" s="22" t="s">
        <v>784</v>
      </c>
      <c r="B776" s="23"/>
      <c r="C776" s="24"/>
      <c r="D776" s="24"/>
      <c r="E776" s="24"/>
      <c r="F776" s="31"/>
      <c r="G776" s="31"/>
      <c r="H776" s="31"/>
      <c r="I776" s="31"/>
      <c r="J776" s="31"/>
      <c r="K776" s="31"/>
      <c r="L776" s="31"/>
      <c r="M776" s="32"/>
      <c r="N776" s="32"/>
      <c r="O776" s="13"/>
      <c r="P776" s="23"/>
      <c r="Q776" s="24"/>
      <c r="R776" s="24"/>
      <c r="S776" s="31"/>
      <c r="T776" s="31"/>
      <c r="U776" s="31"/>
      <c r="V776" s="31"/>
      <c r="W776" s="31"/>
      <c r="X776" s="31"/>
      <c r="Y776" s="31"/>
      <c r="Z776" s="32"/>
      <c r="AA776" s="32"/>
      <c r="AB776" s="13"/>
      <c r="AC776" s="25"/>
      <c r="AD776" s="25">
        <f t="shared" si="469"/>
        <v>0</v>
      </c>
      <c r="AE776" s="26" t="s">
        <v>42</v>
      </c>
      <c r="AF776" s="27"/>
      <c r="AG776" s="17">
        <f t="shared" si="493"/>
        <v>0</v>
      </c>
      <c r="AH776" s="28">
        <f t="shared" si="494"/>
        <v>0</v>
      </c>
      <c r="AI776" s="17">
        <f t="shared" si="485"/>
        <v>0</v>
      </c>
      <c r="AJ776" s="28">
        <f t="shared" si="495"/>
        <v>0</v>
      </c>
      <c r="AK776" s="17">
        <f t="shared" si="486"/>
        <v>0</v>
      </c>
      <c r="AL776" s="28">
        <f t="shared" si="496"/>
        <v>0</v>
      </c>
      <c r="AM776" s="17">
        <f t="shared" si="487"/>
        <v>0</v>
      </c>
      <c r="AN776" s="28">
        <f t="shared" si="476"/>
        <v>0</v>
      </c>
      <c r="AO776" s="17">
        <f t="shared" si="479"/>
        <v>0</v>
      </c>
      <c r="AP776" s="28">
        <f t="shared" si="480"/>
        <v>0</v>
      </c>
      <c r="AQ776" s="17">
        <f t="shared" si="481"/>
        <v>0</v>
      </c>
      <c r="AR776" s="28">
        <f t="shared" si="482"/>
        <v>0</v>
      </c>
      <c r="AS776" s="17">
        <f t="shared" si="454"/>
        <v>0</v>
      </c>
      <c r="AT776" s="28">
        <f t="shared" si="455"/>
        <v>0</v>
      </c>
      <c r="AU776" s="17">
        <f t="shared" si="456"/>
        <v>0</v>
      </c>
      <c r="AV776" s="28">
        <f t="shared" si="457"/>
        <v>0</v>
      </c>
      <c r="AW776" s="17">
        <f t="shared" si="488"/>
        <v>0</v>
      </c>
      <c r="AX776" s="28">
        <f t="shared" si="489"/>
        <v>0</v>
      </c>
      <c r="AY776" s="17">
        <f t="shared" si="490"/>
        <v>0</v>
      </c>
      <c r="AZ776" s="28">
        <f t="shared" si="491"/>
        <v>0</v>
      </c>
      <c r="BA776" s="27">
        <f t="shared" si="492"/>
        <v>0</v>
      </c>
      <c r="BB776" s="27">
        <f t="shared" ref="BB776:BB784" si="498">+AL776+AN776</f>
        <v>0</v>
      </c>
      <c r="BC776" s="27">
        <f t="shared" si="451"/>
        <v>0</v>
      </c>
      <c r="BD776" s="27">
        <f t="shared" si="452"/>
        <v>0</v>
      </c>
      <c r="BE776" s="27">
        <f t="shared" si="453"/>
        <v>0</v>
      </c>
      <c r="BF776" s="29">
        <f t="shared" si="477"/>
        <v>0</v>
      </c>
      <c r="BH776" s="30">
        <f t="shared" si="497"/>
        <v>0</v>
      </c>
      <c r="BM776" s="2">
        <f t="shared" si="483"/>
        <v>0</v>
      </c>
      <c r="BP776" s="2">
        <f t="shared" si="484"/>
        <v>0</v>
      </c>
    </row>
    <row r="777" spans="1:68" ht="14.45" hidden="1" customHeight="1" thickBot="1" x14ac:dyDescent="0.3">
      <c r="A777" s="22" t="s">
        <v>785</v>
      </c>
      <c r="B777" s="23"/>
      <c r="C777" s="24"/>
      <c r="D777" s="24"/>
      <c r="E777" s="24"/>
      <c r="F777" s="31"/>
      <c r="G777" s="31"/>
      <c r="H777" s="31"/>
      <c r="I777" s="31"/>
      <c r="J777" s="31"/>
      <c r="K777" s="31"/>
      <c r="L777" s="31"/>
      <c r="M777" s="32"/>
      <c r="N777" s="32"/>
      <c r="O777" s="13"/>
      <c r="P777" s="23"/>
      <c r="Q777" s="24"/>
      <c r="R777" s="24"/>
      <c r="S777" s="31"/>
      <c r="T777" s="31"/>
      <c r="U777" s="31"/>
      <c r="V777" s="31"/>
      <c r="W777" s="31"/>
      <c r="X777" s="31"/>
      <c r="Y777" s="31"/>
      <c r="Z777" s="32"/>
      <c r="AA777" s="32"/>
      <c r="AB777" s="13"/>
      <c r="AC777" s="25"/>
      <c r="AD777" s="25">
        <f t="shared" si="469"/>
        <v>0</v>
      </c>
      <c r="AE777" s="26" t="s">
        <v>42</v>
      </c>
      <c r="AF777" s="34"/>
      <c r="AG777" s="17">
        <f t="shared" si="493"/>
        <v>0</v>
      </c>
      <c r="AH777" s="28">
        <f t="shared" si="494"/>
        <v>0</v>
      </c>
      <c r="AI777" s="17">
        <f t="shared" si="485"/>
        <v>0</v>
      </c>
      <c r="AJ777" s="28">
        <f t="shared" si="495"/>
        <v>0</v>
      </c>
      <c r="AK777" s="17">
        <f t="shared" si="486"/>
        <v>0</v>
      </c>
      <c r="AL777" s="28">
        <f t="shared" si="496"/>
        <v>0</v>
      </c>
      <c r="AM777" s="17">
        <f t="shared" si="487"/>
        <v>0</v>
      </c>
      <c r="AN777" s="28">
        <f t="shared" si="476"/>
        <v>0</v>
      </c>
      <c r="AO777" s="17">
        <f t="shared" si="479"/>
        <v>0</v>
      </c>
      <c r="AP777" s="28">
        <f t="shared" si="480"/>
        <v>0</v>
      </c>
      <c r="AQ777" s="17">
        <f t="shared" si="481"/>
        <v>0</v>
      </c>
      <c r="AR777" s="28">
        <f t="shared" si="482"/>
        <v>0</v>
      </c>
      <c r="AS777" s="17">
        <f t="shared" si="454"/>
        <v>0</v>
      </c>
      <c r="AT777" s="28">
        <f t="shared" si="455"/>
        <v>0</v>
      </c>
      <c r="AU777" s="17">
        <f t="shared" si="456"/>
        <v>0</v>
      </c>
      <c r="AV777" s="28">
        <f t="shared" si="457"/>
        <v>0</v>
      </c>
      <c r="AW777" s="17">
        <f t="shared" si="488"/>
        <v>0</v>
      </c>
      <c r="AX777" s="28">
        <f t="shared" si="489"/>
        <v>0</v>
      </c>
      <c r="AY777" s="17">
        <f t="shared" si="490"/>
        <v>0</v>
      </c>
      <c r="AZ777" s="28">
        <f t="shared" si="491"/>
        <v>0</v>
      </c>
      <c r="BA777" s="27">
        <f t="shared" si="492"/>
        <v>0</v>
      </c>
      <c r="BB777" s="27">
        <f t="shared" si="498"/>
        <v>0</v>
      </c>
      <c r="BC777" s="27">
        <f t="shared" ref="BC777:BC784" si="499">+AP777+AR777</f>
        <v>0</v>
      </c>
      <c r="BD777" s="27">
        <f t="shared" ref="BD777:BD784" si="500">+AT777+AV777</f>
        <v>0</v>
      </c>
      <c r="BE777" s="27">
        <f t="shared" ref="BE777:BE784" si="501">+AX777+AZ777</f>
        <v>0</v>
      </c>
      <c r="BF777" s="29">
        <f t="shared" si="477"/>
        <v>0</v>
      </c>
      <c r="BH777" s="30">
        <f t="shared" si="497"/>
        <v>0</v>
      </c>
      <c r="BM777" s="2">
        <f t="shared" si="483"/>
        <v>0</v>
      </c>
      <c r="BP777" s="2">
        <f t="shared" si="484"/>
        <v>0</v>
      </c>
    </row>
    <row r="778" spans="1:68" ht="14.45" hidden="1" customHeight="1" thickBot="1" x14ac:dyDescent="0.3">
      <c r="A778" s="22" t="s">
        <v>786</v>
      </c>
      <c r="B778" s="23"/>
      <c r="C778" s="24"/>
      <c r="D778" s="24"/>
      <c r="E778" s="24"/>
      <c r="F778" s="31"/>
      <c r="G778" s="31"/>
      <c r="H778" s="31"/>
      <c r="I778" s="31"/>
      <c r="J778" s="31"/>
      <c r="K778" s="31"/>
      <c r="L778" s="31"/>
      <c r="M778" s="32"/>
      <c r="N778" s="32"/>
      <c r="O778" s="13"/>
      <c r="P778" s="23"/>
      <c r="Q778" s="24"/>
      <c r="R778" s="24"/>
      <c r="S778" s="31"/>
      <c r="T778" s="31"/>
      <c r="U778" s="31"/>
      <c r="V778" s="31"/>
      <c r="W778" s="31"/>
      <c r="X778" s="31"/>
      <c r="Y778" s="31"/>
      <c r="Z778" s="32"/>
      <c r="AA778" s="32"/>
      <c r="AB778" s="13"/>
      <c r="AC778" s="25"/>
      <c r="AD778" s="25">
        <f t="shared" si="469"/>
        <v>0</v>
      </c>
      <c r="AE778" s="26" t="s">
        <v>42</v>
      </c>
      <c r="AF778" s="27"/>
      <c r="AG778" s="17">
        <f t="shared" si="493"/>
        <v>0</v>
      </c>
      <c r="AH778" s="28">
        <f t="shared" si="494"/>
        <v>0</v>
      </c>
      <c r="AI778" s="17">
        <f t="shared" si="485"/>
        <v>0</v>
      </c>
      <c r="AJ778" s="28">
        <f t="shared" si="495"/>
        <v>0</v>
      </c>
      <c r="AK778" s="17">
        <f t="shared" si="486"/>
        <v>0</v>
      </c>
      <c r="AL778" s="28">
        <f t="shared" si="496"/>
        <v>0</v>
      </c>
      <c r="AM778" s="17">
        <f t="shared" si="487"/>
        <v>0</v>
      </c>
      <c r="AN778" s="28">
        <f t="shared" si="476"/>
        <v>0</v>
      </c>
      <c r="AO778" s="17">
        <f t="shared" si="479"/>
        <v>0</v>
      </c>
      <c r="AP778" s="28">
        <f t="shared" si="480"/>
        <v>0</v>
      </c>
      <c r="AQ778" s="17">
        <f t="shared" si="481"/>
        <v>0</v>
      </c>
      <c r="AR778" s="28">
        <f t="shared" si="482"/>
        <v>0</v>
      </c>
      <c r="AS778" s="17">
        <f t="shared" ref="AS778:AS784" si="502">+C778</f>
        <v>0</v>
      </c>
      <c r="AT778" s="28">
        <f t="shared" ref="AT778:AT784" si="503">+AS778*AF778</f>
        <v>0</v>
      </c>
      <c r="AU778" s="17">
        <f t="shared" ref="AU778:AU784" si="504">+Q778</f>
        <v>0</v>
      </c>
      <c r="AV778" s="28">
        <f t="shared" ref="AV778:AV784" si="505">+AU778*AF778</f>
        <v>0</v>
      </c>
      <c r="AW778" s="17">
        <f t="shared" si="488"/>
        <v>0</v>
      </c>
      <c r="AX778" s="28">
        <f t="shared" si="489"/>
        <v>0</v>
      </c>
      <c r="AY778" s="17">
        <f t="shared" si="490"/>
        <v>0</v>
      </c>
      <c r="AZ778" s="28">
        <f t="shared" si="491"/>
        <v>0</v>
      </c>
      <c r="BA778" s="27">
        <f t="shared" si="492"/>
        <v>0</v>
      </c>
      <c r="BB778" s="27">
        <f t="shared" si="498"/>
        <v>0</v>
      </c>
      <c r="BC778" s="27">
        <f t="shared" si="499"/>
        <v>0</v>
      </c>
      <c r="BD778" s="27">
        <f t="shared" si="500"/>
        <v>0</v>
      </c>
      <c r="BE778" s="27">
        <f t="shared" si="501"/>
        <v>0</v>
      </c>
      <c r="BF778" s="29">
        <f t="shared" si="477"/>
        <v>0</v>
      </c>
      <c r="BH778" s="30">
        <f t="shared" si="497"/>
        <v>0</v>
      </c>
      <c r="BM778" s="2">
        <f t="shared" si="483"/>
        <v>0</v>
      </c>
      <c r="BP778" s="2">
        <f t="shared" si="484"/>
        <v>0</v>
      </c>
    </row>
    <row r="779" spans="1:68" ht="14.45" hidden="1" customHeight="1" thickBot="1" x14ac:dyDescent="0.3">
      <c r="A779" s="56" t="s">
        <v>787</v>
      </c>
      <c r="B779" s="23"/>
      <c r="C779" s="24"/>
      <c r="D779" s="24"/>
      <c r="E779" s="24"/>
      <c r="F779" s="31"/>
      <c r="G779" s="31"/>
      <c r="H779" s="31"/>
      <c r="I779" s="31"/>
      <c r="J779" s="31"/>
      <c r="K779" s="31"/>
      <c r="L779" s="31"/>
      <c r="M779" s="32"/>
      <c r="N779" s="32"/>
      <c r="O779" s="13"/>
      <c r="P779" s="23"/>
      <c r="Q779" s="24"/>
      <c r="R779" s="24"/>
      <c r="S779" s="31"/>
      <c r="T779" s="31"/>
      <c r="U779" s="31"/>
      <c r="V779" s="31"/>
      <c r="W779" s="31"/>
      <c r="X779" s="31"/>
      <c r="Y779" s="31"/>
      <c r="Z779" s="32"/>
      <c r="AA779" s="32"/>
      <c r="AB779" s="13"/>
      <c r="AC779" s="25"/>
      <c r="AD779" s="25">
        <f t="shared" si="469"/>
        <v>0</v>
      </c>
      <c r="AE779" s="26" t="s">
        <v>42</v>
      </c>
      <c r="AF779" s="27"/>
      <c r="AG779" s="17">
        <f t="shared" si="493"/>
        <v>0</v>
      </c>
      <c r="AH779" s="28">
        <f t="shared" si="494"/>
        <v>0</v>
      </c>
      <c r="AI779" s="17">
        <f t="shared" si="485"/>
        <v>0</v>
      </c>
      <c r="AJ779" s="28">
        <f t="shared" si="495"/>
        <v>0</v>
      </c>
      <c r="AK779" s="17">
        <f t="shared" si="486"/>
        <v>0</v>
      </c>
      <c r="AL779" s="28">
        <f t="shared" si="496"/>
        <v>0</v>
      </c>
      <c r="AM779" s="17">
        <f t="shared" si="487"/>
        <v>0</v>
      </c>
      <c r="AN779" s="28">
        <f t="shared" si="476"/>
        <v>0</v>
      </c>
      <c r="AO779" s="17">
        <f t="shared" si="479"/>
        <v>0</v>
      </c>
      <c r="AP779" s="28">
        <f t="shared" si="480"/>
        <v>0</v>
      </c>
      <c r="AQ779" s="17">
        <f t="shared" si="481"/>
        <v>0</v>
      </c>
      <c r="AR779" s="28">
        <f t="shared" si="482"/>
        <v>0</v>
      </c>
      <c r="AS779" s="17">
        <f t="shared" si="502"/>
        <v>0</v>
      </c>
      <c r="AT779" s="28">
        <f t="shared" si="503"/>
        <v>0</v>
      </c>
      <c r="AU779" s="17">
        <f t="shared" si="504"/>
        <v>0</v>
      </c>
      <c r="AV779" s="28">
        <f t="shared" si="505"/>
        <v>0</v>
      </c>
      <c r="AW779" s="17">
        <f t="shared" si="488"/>
        <v>0</v>
      </c>
      <c r="AX779" s="28">
        <f t="shared" si="489"/>
        <v>0</v>
      </c>
      <c r="AY779" s="17">
        <f t="shared" si="490"/>
        <v>0</v>
      </c>
      <c r="AZ779" s="28">
        <f t="shared" si="491"/>
        <v>0</v>
      </c>
      <c r="BA779" s="27">
        <f t="shared" si="492"/>
        <v>0</v>
      </c>
      <c r="BB779" s="27">
        <f t="shared" si="498"/>
        <v>0</v>
      </c>
      <c r="BC779" s="27">
        <f t="shared" si="499"/>
        <v>0</v>
      </c>
      <c r="BD779" s="27">
        <f t="shared" si="500"/>
        <v>0</v>
      </c>
      <c r="BE779" s="27">
        <f t="shared" si="501"/>
        <v>0</v>
      </c>
      <c r="BF779" s="29">
        <f t="shared" si="477"/>
        <v>0</v>
      </c>
      <c r="BH779" s="30">
        <f t="shared" si="497"/>
        <v>0</v>
      </c>
      <c r="BM779" s="2">
        <f t="shared" si="483"/>
        <v>0</v>
      </c>
      <c r="BP779" s="2">
        <f t="shared" si="484"/>
        <v>0</v>
      </c>
    </row>
    <row r="780" spans="1:68" ht="14.45" hidden="1" customHeight="1" thickBot="1" x14ac:dyDescent="0.3">
      <c r="A780" s="22" t="s">
        <v>788</v>
      </c>
      <c r="B780" s="23"/>
      <c r="C780" s="24"/>
      <c r="D780" s="24"/>
      <c r="E780" s="24"/>
      <c r="F780" s="31"/>
      <c r="G780" s="31"/>
      <c r="H780" s="31"/>
      <c r="I780" s="31"/>
      <c r="J780" s="31"/>
      <c r="K780" s="31"/>
      <c r="L780" s="31"/>
      <c r="M780" s="32"/>
      <c r="N780" s="32"/>
      <c r="O780" s="13"/>
      <c r="P780" s="23"/>
      <c r="Q780" s="24"/>
      <c r="R780" s="24"/>
      <c r="S780" s="31"/>
      <c r="T780" s="31"/>
      <c r="U780" s="31"/>
      <c r="V780" s="31"/>
      <c r="W780" s="31"/>
      <c r="X780" s="31"/>
      <c r="Y780" s="31"/>
      <c r="Z780" s="32"/>
      <c r="AA780" s="32"/>
      <c r="AB780" s="13"/>
      <c r="AC780" s="25"/>
      <c r="AD780" s="25">
        <f t="shared" si="469"/>
        <v>0</v>
      </c>
      <c r="AE780" s="26" t="s">
        <v>42</v>
      </c>
      <c r="AF780" s="27"/>
      <c r="AG780" s="17">
        <f t="shared" si="493"/>
        <v>0</v>
      </c>
      <c r="AH780" s="28">
        <f t="shared" si="494"/>
        <v>0</v>
      </c>
      <c r="AI780" s="17">
        <f t="shared" si="485"/>
        <v>0</v>
      </c>
      <c r="AJ780" s="28">
        <f t="shared" si="495"/>
        <v>0</v>
      </c>
      <c r="AK780" s="17">
        <f t="shared" si="486"/>
        <v>0</v>
      </c>
      <c r="AL780" s="28">
        <f t="shared" si="496"/>
        <v>0</v>
      </c>
      <c r="AM780" s="17">
        <f t="shared" si="487"/>
        <v>0</v>
      </c>
      <c r="AN780" s="28">
        <f t="shared" si="476"/>
        <v>0</v>
      </c>
      <c r="AO780" s="17">
        <f t="shared" si="479"/>
        <v>0</v>
      </c>
      <c r="AP780" s="28">
        <f t="shared" si="480"/>
        <v>0</v>
      </c>
      <c r="AQ780" s="17">
        <f t="shared" si="481"/>
        <v>0</v>
      </c>
      <c r="AR780" s="28">
        <f t="shared" si="482"/>
        <v>0</v>
      </c>
      <c r="AS780" s="17">
        <f t="shared" si="502"/>
        <v>0</v>
      </c>
      <c r="AT780" s="28">
        <f t="shared" si="503"/>
        <v>0</v>
      </c>
      <c r="AU780" s="17">
        <f t="shared" si="504"/>
        <v>0</v>
      </c>
      <c r="AV780" s="28">
        <f t="shared" si="505"/>
        <v>0</v>
      </c>
      <c r="AW780" s="17">
        <f t="shared" si="488"/>
        <v>0</v>
      </c>
      <c r="AX780" s="28">
        <f t="shared" si="489"/>
        <v>0</v>
      </c>
      <c r="AY780" s="17">
        <f t="shared" si="490"/>
        <v>0</v>
      </c>
      <c r="AZ780" s="28">
        <f t="shared" si="491"/>
        <v>0</v>
      </c>
      <c r="BA780" s="27">
        <f t="shared" si="492"/>
        <v>0</v>
      </c>
      <c r="BB780" s="27">
        <f t="shared" si="498"/>
        <v>0</v>
      </c>
      <c r="BC780" s="27">
        <f t="shared" si="499"/>
        <v>0</v>
      </c>
      <c r="BD780" s="27">
        <f t="shared" si="500"/>
        <v>0</v>
      </c>
      <c r="BE780" s="27">
        <f t="shared" si="501"/>
        <v>0</v>
      </c>
      <c r="BF780" s="29">
        <f t="shared" si="477"/>
        <v>0</v>
      </c>
      <c r="BH780" s="30">
        <f t="shared" si="497"/>
        <v>0</v>
      </c>
      <c r="BM780" s="2">
        <f t="shared" si="483"/>
        <v>0</v>
      </c>
      <c r="BP780" s="2">
        <f t="shared" si="484"/>
        <v>0</v>
      </c>
    </row>
    <row r="781" spans="1:68" ht="14.45" hidden="1" customHeight="1" thickBot="1" x14ac:dyDescent="0.3">
      <c r="A781" s="56" t="s">
        <v>789</v>
      </c>
      <c r="B781" s="23"/>
      <c r="C781" s="24"/>
      <c r="D781" s="24"/>
      <c r="E781" s="24"/>
      <c r="F781" s="31"/>
      <c r="G781" s="31"/>
      <c r="H781" s="31"/>
      <c r="I781" s="31"/>
      <c r="J781" s="31"/>
      <c r="K781" s="31"/>
      <c r="L781" s="31"/>
      <c r="M781" s="32"/>
      <c r="N781" s="32"/>
      <c r="O781" s="13"/>
      <c r="P781" s="23"/>
      <c r="Q781" s="24"/>
      <c r="R781" s="24"/>
      <c r="S781" s="31"/>
      <c r="T781" s="31"/>
      <c r="U781" s="31"/>
      <c r="V781" s="31"/>
      <c r="W781" s="31"/>
      <c r="X781" s="31"/>
      <c r="Y781" s="31"/>
      <c r="Z781" s="32"/>
      <c r="AA781" s="32"/>
      <c r="AB781" s="13"/>
      <c r="AC781" s="25"/>
      <c r="AD781" s="25">
        <f t="shared" si="469"/>
        <v>0</v>
      </c>
      <c r="AE781" s="26" t="s">
        <v>42</v>
      </c>
      <c r="AF781" s="27"/>
      <c r="AG781" s="17">
        <f t="shared" si="493"/>
        <v>0</v>
      </c>
      <c r="AH781" s="28">
        <f t="shared" si="494"/>
        <v>0</v>
      </c>
      <c r="AI781" s="17">
        <f t="shared" si="485"/>
        <v>0</v>
      </c>
      <c r="AJ781" s="28">
        <f t="shared" si="495"/>
        <v>0</v>
      </c>
      <c r="AK781" s="17">
        <f t="shared" si="486"/>
        <v>0</v>
      </c>
      <c r="AL781" s="28">
        <f t="shared" si="496"/>
        <v>0</v>
      </c>
      <c r="AM781" s="17">
        <f t="shared" si="487"/>
        <v>0</v>
      </c>
      <c r="AN781" s="28">
        <f t="shared" si="476"/>
        <v>0</v>
      </c>
      <c r="AO781" s="17">
        <f t="shared" si="479"/>
        <v>0</v>
      </c>
      <c r="AP781" s="28">
        <f t="shared" si="480"/>
        <v>0</v>
      </c>
      <c r="AQ781" s="17">
        <f t="shared" si="481"/>
        <v>0</v>
      </c>
      <c r="AR781" s="28">
        <f t="shared" si="482"/>
        <v>0</v>
      </c>
      <c r="AS781" s="17">
        <f t="shared" si="502"/>
        <v>0</v>
      </c>
      <c r="AT781" s="28">
        <f t="shared" si="503"/>
        <v>0</v>
      </c>
      <c r="AU781" s="17">
        <f t="shared" si="504"/>
        <v>0</v>
      </c>
      <c r="AV781" s="28">
        <f t="shared" si="505"/>
        <v>0</v>
      </c>
      <c r="AW781" s="17">
        <f t="shared" si="488"/>
        <v>0</v>
      </c>
      <c r="AX781" s="28">
        <f t="shared" si="489"/>
        <v>0</v>
      </c>
      <c r="AY781" s="17">
        <f t="shared" si="490"/>
        <v>0</v>
      </c>
      <c r="AZ781" s="28">
        <f t="shared" si="491"/>
        <v>0</v>
      </c>
      <c r="BA781" s="27">
        <f t="shared" si="492"/>
        <v>0</v>
      </c>
      <c r="BB781" s="27">
        <f t="shared" si="498"/>
        <v>0</v>
      </c>
      <c r="BC781" s="27">
        <f t="shared" si="499"/>
        <v>0</v>
      </c>
      <c r="BD781" s="27">
        <f t="shared" si="500"/>
        <v>0</v>
      </c>
      <c r="BE781" s="27">
        <f t="shared" si="501"/>
        <v>0</v>
      </c>
      <c r="BF781" s="29">
        <f t="shared" si="477"/>
        <v>0</v>
      </c>
      <c r="BH781" s="30">
        <f t="shared" si="497"/>
        <v>0</v>
      </c>
      <c r="BM781" s="2">
        <f t="shared" si="483"/>
        <v>0</v>
      </c>
      <c r="BP781" s="2">
        <f t="shared" si="484"/>
        <v>0</v>
      </c>
    </row>
    <row r="782" spans="1:68" ht="14.45" hidden="1" customHeight="1" thickBot="1" x14ac:dyDescent="0.3">
      <c r="A782" s="56" t="s">
        <v>790</v>
      </c>
      <c r="B782" s="23"/>
      <c r="C782" s="24"/>
      <c r="D782" s="24"/>
      <c r="E782" s="24"/>
      <c r="F782" s="31"/>
      <c r="G782" s="31"/>
      <c r="H782" s="31"/>
      <c r="I782" s="31"/>
      <c r="J782" s="31"/>
      <c r="K782" s="31"/>
      <c r="L782" s="31"/>
      <c r="M782" s="32"/>
      <c r="N782" s="32"/>
      <c r="O782" s="13"/>
      <c r="P782" s="23"/>
      <c r="Q782" s="24"/>
      <c r="R782" s="24"/>
      <c r="S782" s="31"/>
      <c r="T782" s="31"/>
      <c r="U782" s="31"/>
      <c r="V782" s="31"/>
      <c r="W782" s="31"/>
      <c r="X782" s="31"/>
      <c r="Y782" s="31"/>
      <c r="Z782" s="32"/>
      <c r="AA782" s="32"/>
      <c r="AB782" s="13"/>
      <c r="AC782" s="25"/>
      <c r="AD782" s="25">
        <f t="shared" si="469"/>
        <v>0</v>
      </c>
      <c r="AE782" s="26" t="s">
        <v>42</v>
      </c>
      <c r="AF782" s="27"/>
      <c r="AG782" s="17">
        <f t="shared" si="493"/>
        <v>0</v>
      </c>
      <c r="AH782" s="28">
        <f t="shared" si="494"/>
        <v>0</v>
      </c>
      <c r="AI782" s="17">
        <f t="shared" si="485"/>
        <v>0</v>
      </c>
      <c r="AJ782" s="28">
        <f t="shared" si="495"/>
        <v>0</v>
      </c>
      <c r="AK782" s="17">
        <f t="shared" si="486"/>
        <v>0</v>
      </c>
      <c r="AL782" s="28">
        <f t="shared" si="496"/>
        <v>0</v>
      </c>
      <c r="AM782" s="17">
        <f t="shared" si="487"/>
        <v>0</v>
      </c>
      <c r="AN782" s="28">
        <f t="shared" si="476"/>
        <v>0</v>
      </c>
      <c r="AO782" s="17">
        <f t="shared" si="479"/>
        <v>0</v>
      </c>
      <c r="AP782" s="28">
        <f t="shared" si="480"/>
        <v>0</v>
      </c>
      <c r="AQ782" s="17">
        <f t="shared" si="481"/>
        <v>0</v>
      </c>
      <c r="AR782" s="28">
        <f t="shared" si="482"/>
        <v>0</v>
      </c>
      <c r="AS782" s="17">
        <f t="shared" si="502"/>
        <v>0</v>
      </c>
      <c r="AT782" s="28">
        <f t="shared" si="503"/>
        <v>0</v>
      </c>
      <c r="AU782" s="17">
        <f t="shared" si="504"/>
        <v>0</v>
      </c>
      <c r="AV782" s="28">
        <f t="shared" si="505"/>
        <v>0</v>
      </c>
      <c r="AW782" s="17">
        <f t="shared" si="488"/>
        <v>0</v>
      </c>
      <c r="AX782" s="28">
        <f t="shared" si="489"/>
        <v>0</v>
      </c>
      <c r="AY782" s="17">
        <f t="shared" si="490"/>
        <v>0</v>
      </c>
      <c r="AZ782" s="28">
        <f t="shared" si="491"/>
        <v>0</v>
      </c>
      <c r="BA782" s="27">
        <f t="shared" si="492"/>
        <v>0</v>
      </c>
      <c r="BB782" s="27">
        <f t="shared" si="498"/>
        <v>0</v>
      </c>
      <c r="BC782" s="27">
        <f t="shared" si="499"/>
        <v>0</v>
      </c>
      <c r="BD782" s="27">
        <f t="shared" si="500"/>
        <v>0</v>
      </c>
      <c r="BE782" s="27">
        <f t="shared" si="501"/>
        <v>0</v>
      </c>
      <c r="BF782" s="29">
        <f t="shared" si="477"/>
        <v>0</v>
      </c>
      <c r="BH782" s="30">
        <f t="shared" si="497"/>
        <v>0</v>
      </c>
      <c r="BM782" s="2">
        <f t="shared" si="483"/>
        <v>0</v>
      </c>
      <c r="BP782" s="2">
        <f t="shared" si="484"/>
        <v>0</v>
      </c>
    </row>
    <row r="783" spans="1:68" ht="14.45" hidden="1" customHeight="1" thickBot="1" x14ac:dyDescent="0.3">
      <c r="A783" s="56" t="s">
        <v>791</v>
      </c>
      <c r="B783" s="23"/>
      <c r="C783" s="24"/>
      <c r="D783" s="24"/>
      <c r="E783" s="24"/>
      <c r="F783" s="31"/>
      <c r="G783" s="31"/>
      <c r="H783" s="31"/>
      <c r="I783" s="31"/>
      <c r="J783" s="31"/>
      <c r="K783" s="31"/>
      <c r="L783" s="31"/>
      <c r="M783" s="32"/>
      <c r="N783" s="32"/>
      <c r="O783" s="13"/>
      <c r="P783" s="23"/>
      <c r="Q783" s="24"/>
      <c r="R783" s="24"/>
      <c r="S783" s="31"/>
      <c r="T783" s="31"/>
      <c r="U783" s="31"/>
      <c r="V783" s="31"/>
      <c r="W783" s="31"/>
      <c r="X783" s="31"/>
      <c r="Y783" s="31"/>
      <c r="Z783" s="32"/>
      <c r="AA783" s="32"/>
      <c r="AB783" s="13"/>
      <c r="AC783" s="25"/>
      <c r="AD783" s="25">
        <f t="shared" si="469"/>
        <v>0</v>
      </c>
      <c r="AE783" s="26" t="s">
        <v>42</v>
      </c>
      <c r="AF783" s="27"/>
      <c r="AG783" s="17">
        <f t="shared" si="493"/>
        <v>0</v>
      </c>
      <c r="AH783" s="28">
        <f t="shared" si="494"/>
        <v>0</v>
      </c>
      <c r="AI783" s="17">
        <f t="shared" si="485"/>
        <v>0</v>
      </c>
      <c r="AJ783" s="28">
        <f t="shared" si="495"/>
        <v>0</v>
      </c>
      <c r="AK783" s="17">
        <f t="shared" si="486"/>
        <v>0</v>
      </c>
      <c r="AL783" s="28">
        <f t="shared" si="496"/>
        <v>0</v>
      </c>
      <c r="AM783" s="17">
        <f t="shared" si="487"/>
        <v>0</v>
      </c>
      <c r="AN783" s="28">
        <f t="shared" si="476"/>
        <v>0</v>
      </c>
      <c r="AO783" s="17">
        <f t="shared" si="479"/>
        <v>0</v>
      </c>
      <c r="AP783" s="28">
        <f t="shared" si="480"/>
        <v>0</v>
      </c>
      <c r="AQ783" s="17">
        <f t="shared" si="481"/>
        <v>0</v>
      </c>
      <c r="AR783" s="28">
        <f t="shared" si="482"/>
        <v>0</v>
      </c>
      <c r="AS783" s="17">
        <f t="shared" si="502"/>
        <v>0</v>
      </c>
      <c r="AT783" s="28">
        <f t="shared" si="503"/>
        <v>0</v>
      </c>
      <c r="AU783" s="17">
        <f t="shared" si="504"/>
        <v>0</v>
      </c>
      <c r="AV783" s="28">
        <f t="shared" si="505"/>
        <v>0</v>
      </c>
      <c r="AW783" s="17">
        <f t="shared" si="488"/>
        <v>0</v>
      </c>
      <c r="AX783" s="28">
        <f t="shared" si="489"/>
        <v>0</v>
      </c>
      <c r="AY783" s="17">
        <f t="shared" si="490"/>
        <v>0</v>
      </c>
      <c r="AZ783" s="28">
        <f t="shared" si="491"/>
        <v>0</v>
      </c>
      <c r="BA783" s="27">
        <f t="shared" si="492"/>
        <v>0</v>
      </c>
      <c r="BB783" s="27">
        <f t="shared" si="498"/>
        <v>0</v>
      </c>
      <c r="BC783" s="27">
        <f t="shared" si="499"/>
        <v>0</v>
      </c>
      <c r="BD783" s="27">
        <f t="shared" si="500"/>
        <v>0</v>
      </c>
      <c r="BE783" s="27">
        <f t="shared" si="501"/>
        <v>0</v>
      </c>
      <c r="BF783" s="29">
        <f t="shared" si="477"/>
        <v>0</v>
      </c>
      <c r="BH783" s="30">
        <f t="shared" si="497"/>
        <v>0</v>
      </c>
      <c r="BM783" s="2">
        <f t="shared" si="483"/>
        <v>0</v>
      </c>
      <c r="BP783" s="2">
        <f t="shared" si="484"/>
        <v>0</v>
      </c>
    </row>
    <row r="784" spans="1:68" ht="15.75" thickBot="1" x14ac:dyDescent="0.3">
      <c r="A784" s="57" t="s">
        <v>792</v>
      </c>
      <c r="B784" s="58"/>
      <c r="C784" s="59"/>
      <c r="D784" s="59"/>
      <c r="E784" s="59"/>
      <c r="F784" s="60"/>
      <c r="G784" s="60"/>
      <c r="H784" s="60"/>
      <c r="I784" s="60"/>
      <c r="J784" s="60"/>
      <c r="K784" s="60"/>
      <c r="L784" s="60"/>
      <c r="M784" s="61"/>
      <c r="N784" s="61"/>
      <c r="O784" s="62"/>
      <c r="P784" s="58"/>
      <c r="Q784" s="59"/>
      <c r="R784" s="59"/>
      <c r="S784" s="60"/>
      <c r="T784" s="60"/>
      <c r="U784" s="60"/>
      <c r="V784" s="60"/>
      <c r="W784" s="60"/>
      <c r="X784" s="60"/>
      <c r="Y784" s="60"/>
      <c r="Z784" s="61"/>
      <c r="AA784" s="61"/>
      <c r="AB784" s="62"/>
      <c r="AC784" s="63"/>
      <c r="AD784" s="63">
        <f t="shared" si="469"/>
        <v>0</v>
      </c>
      <c r="AE784" s="64"/>
      <c r="AF784" s="65"/>
      <c r="AG784" s="17">
        <f t="shared" si="493"/>
        <v>0</v>
      </c>
      <c r="AH784" s="28">
        <f t="shared" si="494"/>
        <v>0</v>
      </c>
      <c r="AI784" s="17">
        <f t="shared" si="485"/>
        <v>0</v>
      </c>
      <c r="AJ784" s="28">
        <f t="shared" si="495"/>
        <v>0</v>
      </c>
      <c r="AK784" s="17">
        <f>+M784+N784+O784</f>
        <v>0</v>
      </c>
      <c r="AL784" s="28">
        <f t="shared" si="496"/>
        <v>0</v>
      </c>
      <c r="AM784" s="17">
        <f>+Z784+AA784+AB784</f>
        <v>0</v>
      </c>
      <c r="AN784" s="28">
        <f t="shared" si="476"/>
        <v>0</v>
      </c>
      <c r="AO784" s="17">
        <f t="shared" si="479"/>
        <v>0</v>
      </c>
      <c r="AP784" s="28">
        <f t="shared" si="480"/>
        <v>0</v>
      </c>
      <c r="AQ784" s="17">
        <f t="shared" si="481"/>
        <v>0</v>
      </c>
      <c r="AR784" s="28">
        <f t="shared" si="482"/>
        <v>0</v>
      </c>
      <c r="AS784" s="17">
        <f t="shared" si="502"/>
        <v>0</v>
      </c>
      <c r="AT784" s="28">
        <f t="shared" si="503"/>
        <v>0</v>
      </c>
      <c r="AU784" s="17">
        <f t="shared" si="504"/>
        <v>0</v>
      </c>
      <c r="AV784" s="28">
        <f t="shared" si="505"/>
        <v>0</v>
      </c>
      <c r="AW784" s="17">
        <f>+H784</f>
        <v>0</v>
      </c>
      <c r="AX784" s="28">
        <f t="shared" ref="AX784" si="506">+AW784*AJ784</f>
        <v>0</v>
      </c>
      <c r="AY784" s="17">
        <f>+V784</f>
        <v>0</v>
      </c>
      <c r="AZ784" s="28">
        <f t="shared" ref="AZ784" si="507">+AY784*AJ784</f>
        <v>0</v>
      </c>
      <c r="BA784" s="27">
        <f t="shared" si="492"/>
        <v>0</v>
      </c>
      <c r="BB784" s="27">
        <f t="shared" si="498"/>
        <v>0</v>
      </c>
      <c r="BC784" s="27">
        <f t="shared" si="499"/>
        <v>0</v>
      </c>
      <c r="BD784" s="27">
        <f t="shared" si="500"/>
        <v>0</v>
      </c>
      <c r="BE784" s="27">
        <f t="shared" si="501"/>
        <v>0</v>
      </c>
      <c r="BF784" s="29">
        <f t="shared" si="477"/>
        <v>0</v>
      </c>
      <c r="BH784" s="66">
        <f t="shared" si="497"/>
        <v>0</v>
      </c>
      <c r="BM784" s="2">
        <f t="shared" si="483"/>
        <v>0</v>
      </c>
      <c r="BP784" s="2">
        <f t="shared" si="484"/>
        <v>0</v>
      </c>
    </row>
    <row r="785" spans="1:65" ht="16.5" thickTop="1" thickBot="1" x14ac:dyDescent="0.3">
      <c r="A785" s="67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M785" s="2">
        <f t="shared" si="483"/>
        <v>0</v>
      </c>
    </row>
    <row r="786" spans="1:65" ht="19.5" thickBot="1" x14ac:dyDescent="0.35">
      <c r="AH786" s="69">
        <f>SUM(AH8:AH784)</f>
        <v>7934880</v>
      </c>
      <c r="AI786" s="70"/>
      <c r="AJ786" s="71">
        <f>SUM(AJ8:AJ784)</f>
        <v>0</v>
      </c>
      <c r="AK786" s="71"/>
      <c r="AL786" s="71">
        <f>SUM(AL8:AL784)</f>
        <v>111115967.26199999</v>
      </c>
      <c r="AM786" s="71"/>
      <c r="AN786" s="71">
        <f>SUM(AN8:AN784)</f>
        <v>26404069</v>
      </c>
      <c r="AO786" s="71"/>
      <c r="AP786" s="71">
        <f>SUM(AP8:AP784)</f>
        <v>0</v>
      </c>
      <c r="AQ786" s="71"/>
      <c r="AR786" s="71">
        <f>SUM(AR8:AR784)</f>
        <v>0</v>
      </c>
      <c r="AS786" s="71"/>
      <c r="AT786" s="71">
        <f>SUM(AT8:AT784)</f>
        <v>3460800</v>
      </c>
      <c r="AU786" s="71"/>
      <c r="AV786" s="71">
        <f>SUM(AV8:AV784)</f>
        <v>0</v>
      </c>
      <c r="AW786" s="71"/>
      <c r="AX786" s="71">
        <f>SUM(AX8:AX784)</f>
        <v>7803306058.8920002</v>
      </c>
      <c r="AY786" s="71"/>
      <c r="AZ786" s="71">
        <f>SUM(AZ8:AZ784)</f>
        <v>37578406</v>
      </c>
      <c r="BA786" s="71">
        <f>SUM(BA8:BA784)</f>
        <v>7934880</v>
      </c>
      <c r="BB786" s="71">
        <f>SUM(BB8:BB784)</f>
        <v>137520036.26199999</v>
      </c>
      <c r="BC786" s="71">
        <f t="shared" ref="BC786:BE786" si="508">SUM(BC8:BC784)</f>
        <v>0</v>
      </c>
      <c r="BD786" s="71">
        <f t="shared" si="508"/>
        <v>3460800</v>
      </c>
      <c r="BE786" s="71">
        <f t="shared" si="508"/>
        <v>7840884464.8920002</v>
      </c>
      <c r="BF786" s="72">
        <f>SUM(BF8:BF785)</f>
        <v>132891870.26199999</v>
      </c>
      <c r="BM786" s="2">
        <f t="shared" si="483"/>
        <v>0</v>
      </c>
    </row>
    <row r="794" spans="1:65" s="1" customFormat="1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2"/>
      <c r="AD794" s="2"/>
      <c r="AE794" s="3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</row>
    <row r="795" spans="1:65" s="1" customFormat="1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3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</row>
  </sheetData>
  <mergeCells count="43">
    <mergeCell ref="AG5:AH5"/>
    <mergeCell ref="A5:A7"/>
    <mergeCell ref="B5:AB5"/>
    <mergeCell ref="AC5:AC7"/>
    <mergeCell ref="AE5:AE7"/>
    <mergeCell ref="AF5:AF7"/>
    <mergeCell ref="AX6:AX7"/>
    <mergeCell ref="AY6:AY7"/>
    <mergeCell ref="AZ6:AZ7"/>
    <mergeCell ref="AI5:AJ5"/>
    <mergeCell ref="AK5:AL5"/>
    <mergeCell ref="AM5:AN5"/>
    <mergeCell ref="AO5:AP5"/>
    <mergeCell ref="AQ5:AR5"/>
    <mergeCell ref="AS5:AT5"/>
    <mergeCell ref="AW6:AW7"/>
    <mergeCell ref="AL6:AL7"/>
    <mergeCell ref="AM6:AM7"/>
    <mergeCell ref="AN6:AN7"/>
    <mergeCell ref="AO6:AO7"/>
    <mergeCell ref="AP6:AP7"/>
    <mergeCell ref="AQ6:AQ7"/>
    <mergeCell ref="BD5:BD7"/>
    <mergeCell ref="BE5:BE7"/>
    <mergeCell ref="BF5:BF7"/>
    <mergeCell ref="B6:O6"/>
    <mergeCell ref="P6:AB6"/>
    <mergeCell ref="AG6:AG7"/>
    <mergeCell ref="AH6:AH7"/>
    <mergeCell ref="AI6:AI7"/>
    <mergeCell ref="AJ6:AJ7"/>
    <mergeCell ref="AK6:AK7"/>
    <mergeCell ref="AU5:AV5"/>
    <mergeCell ref="AW5:AX5"/>
    <mergeCell ref="AY5:AZ5"/>
    <mergeCell ref="BA5:BA7"/>
    <mergeCell ref="BB5:BB7"/>
    <mergeCell ref="BC5:BC7"/>
    <mergeCell ref="AR6:AR7"/>
    <mergeCell ref="AS6:AS7"/>
    <mergeCell ref="AT6:AT7"/>
    <mergeCell ref="AU6:AU7"/>
    <mergeCell ref="AV6:AV7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40" orientation="landscape" r:id="rId1"/>
  <headerFooter>
    <oddHeader>&amp;C&amp;"Arial Black,Normal"&amp;24INVENTAIRE ANNUEL EXERCICE 2023&amp;R&amp;18&amp;A</oddHeader>
    <oddFooter>&amp;C&amp;12&amp;P/&amp;N</oddFooter>
  </headerFooter>
  <rowBreaks count="3" manualBreakCount="3">
    <brk id="188" max="26" man="1"/>
    <brk id="460" max="26" man="1"/>
    <brk id="669" max="26" man="1"/>
  </rowBreaks>
  <colBreaks count="2" manualBreakCount="2">
    <brk id="29" max="786" man="1"/>
    <brk id="30" max="6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Inventaire exercise 2025 valeur</vt:lpstr>
      <vt:lpstr>'Inventaire exercise 2025 valeur'!Impression_des_titres</vt:lpstr>
      <vt:lpstr>'Inventaire exercise 2025 valeur'!Zone_d_impression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 kasse</dc:creator>
  <cp:lastModifiedBy>Badara THIAW</cp:lastModifiedBy>
  <dcterms:created xsi:type="dcterms:W3CDTF">2026-03-04T09:36:01Z</dcterms:created>
  <dcterms:modified xsi:type="dcterms:W3CDTF">2026-07-03T12:45:39Z</dcterms:modified>
</cp:coreProperties>
</file>